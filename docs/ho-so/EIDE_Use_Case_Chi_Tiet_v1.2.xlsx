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 Hướng dẫn" sheetId="1" state="visible" r:id="rId1"/>
    <sheet xmlns:r="http://schemas.openxmlformats.org/officeDocument/2006/relationships" name="1. Tác nhân &amp; cổng" sheetId="2" state="visible" r:id="rId2"/>
    <sheet xmlns:r="http://schemas.openxmlformats.org/officeDocument/2006/relationships" name="2. Danh mục UC" sheetId="3" state="visible" r:id="rId3"/>
    <sheet xmlns:r="http://schemas.openxmlformats.org/officeDocument/2006/relationships" name="3. Luồng chính" sheetId="4" state="visible" r:id="rId4"/>
    <sheet xmlns:r="http://schemas.openxmlformats.org/officeDocument/2006/relationships" name="4. Luồng thay thế" sheetId="5" state="visible" r:id="rId5"/>
    <sheet xmlns:r="http://schemas.openxmlformats.org/officeDocument/2006/relationships" name="5. Kịch bản mẫu" sheetId="6" state="visible" r:id="rId6"/>
    <sheet xmlns:r="http://schemas.openxmlformats.org/officeDocument/2006/relationships" name="6. Truy vết" sheetId="7" state="visible" r:id="rId7"/>
    <sheet xmlns:r="http://schemas.openxmlformats.org/officeDocument/2006/relationships" name="7. Phân loại 3 mức" sheetId="8" state="visible" r:id="rId8"/>
    <sheet xmlns:r="http://schemas.openxmlformats.org/officeDocument/2006/relationships" name="8. Năng lực" sheetId="9" state="visible" r:id="rId9"/>
    <sheet xmlns:r="http://schemas.openxmlformats.org/officeDocument/2006/relationships" name="9. Đầu vào trống" sheetId="10" state="visible" r:id="rId10"/>
    <sheet xmlns:r="http://schemas.openxmlformats.org/officeDocument/2006/relationships" name="10. Sequence (Mermaid)" sheetId="11" state="visible" r:id="rId11"/>
    <sheet xmlns:r="http://schemas.openxmlformats.org/officeDocument/2006/relationships" name="11. Bước ↔ năng lực"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B8121F"/>
      <sz val="14"/>
    </font>
    <font>
      <name val="Arial"/>
      <charset val="1"/>
      <family val="0"/>
      <i val="1"/>
      <color rgb="FF2F4858"/>
      <sz val="10"/>
    </font>
    <font>
      <name val="Arial"/>
      <charset val="1"/>
      <family val="0"/>
      <i val="1"/>
      <sz val="10"/>
    </font>
    <font>
      <name val="Arial"/>
      <charset val="1"/>
      <family val="0"/>
      <b val="1"/>
      <sz val="11"/>
    </font>
    <font>
      <name val="Arial"/>
      <charset val="1"/>
      <family val="0"/>
      <sz val="10"/>
    </font>
    <font>
      <name val="Arial"/>
      <charset val="1"/>
      <family val="0"/>
      <i val="1"/>
      <color rgb="FF595959"/>
      <sz val="9"/>
    </font>
    <font>
      <name val="Arial"/>
      <charset val="1"/>
      <family val="0"/>
      <b val="1"/>
      <color rgb="FFB8121F"/>
      <sz val="12"/>
    </font>
    <font>
      <name val="Arial"/>
      <charset val="1"/>
      <family val="0"/>
      <b val="1"/>
      <color rgb="FFFFFFFF"/>
      <sz val="10"/>
    </font>
    <font>
      <name val="Arial"/>
      <charset val="1"/>
      <family val="0"/>
      <b val="1"/>
      <sz val="10"/>
    </font>
    <font>
      <name val="Arial"/>
      <b val="1"/>
      <color rgb="00B8121F"/>
      <sz val="10"/>
    </font>
    <font>
      <name val="Arial"/>
      <sz val="10"/>
    </font>
    <font>
      <name val="Arial"/>
      <b val="1"/>
      <color rgb="00FFFFFF"/>
      <sz val="10"/>
    </font>
    <font>
      <name val="Consolas"/>
      <sz val="9"/>
    </font>
  </fonts>
  <fills count="11">
    <fill>
      <patternFill/>
    </fill>
    <fill>
      <patternFill patternType="gray125"/>
    </fill>
    <fill>
      <patternFill patternType="solid">
        <fgColor rgb="FFB8121F"/>
        <bgColor rgb="FF800000"/>
      </patternFill>
    </fill>
    <fill>
      <patternFill patternType="solid">
        <fgColor rgb="FFFFF4E6"/>
        <bgColor rgb="FFFFF2CC"/>
      </patternFill>
    </fill>
    <fill>
      <patternFill patternType="solid">
        <fgColor rgb="FFDDEBF7"/>
        <bgColor rgb="FFE2F0D9"/>
      </patternFill>
    </fill>
    <fill>
      <patternFill patternType="solid">
        <fgColor rgb="FFE2F0D9"/>
        <bgColor rgb="FFDDEBF7"/>
      </patternFill>
    </fill>
    <fill>
      <patternFill patternType="solid">
        <fgColor rgb="FFFFF2CC"/>
        <bgColor rgb="FFFFF4E6"/>
      </patternFill>
    </fill>
    <fill>
      <patternFill patternType="solid">
        <fgColor rgb="FFF8D7D5"/>
        <bgColor rgb="FFFFF2CC"/>
      </patternFill>
    </fill>
    <fill>
      <patternFill patternType="solid">
        <fgColor rgb="00F2F6FB"/>
      </patternFill>
    </fill>
    <fill>
      <patternFill patternType="solid">
        <fgColor rgb="00FFF4D6"/>
      </patternFill>
    </fill>
    <fill>
      <patternFill patternType="solid">
        <fgColor rgb="00B8121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D0D5DD"/>
      </left>
      <right style="thin">
        <color rgb="00D0D5DD"/>
      </right>
      <top style="thin">
        <color rgb="00D0D5DD"/>
      </top>
      <bottom style="thin">
        <color rgb="00D0D5DD"/>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1" applyAlignment="1" pivotButton="0" quotePrefix="0" xfId="0">
      <alignment horizontal="general" vertical="bottom"/>
    </xf>
    <xf numFmtId="0" fontId="8" fillId="0" borderId="1" applyAlignment="1" pivotButton="0" quotePrefix="0" xfId="0">
      <alignment horizontal="general" vertical="top" wrapText="1"/>
    </xf>
    <xf numFmtId="0" fontId="11" fillId="2" borderId="1" applyAlignment="1" pivotButton="0" quotePrefix="0" xfId="0">
      <alignment horizontal="general" vertical="center" wrapText="1"/>
    </xf>
    <xf numFmtId="0" fontId="8" fillId="3" borderId="1" applyAlignment="1" pivotButton="0" quotePrefix="0" xfId="0">
      <alignment horizontal="general" vertical="top" wrapText="1"/>
    </xf>
    <xf numFmtId="0" fontId="8" fillId="4" borderId="1" applyAlignment="1" pivotButton="0" quotePrefix="0" xfId="0">
      <alignment horizontal="center" vertical="top"/>
    </xf>
    <xf numFmtId="0" fontId="8" fillId="5" borderId="1" applyAlignment="1" pivotButton="0" quotePrefix="0" xfId="0">
      <alignment horizontal="center" vertical="top"/>
    </xf>
    <xf numFmtId="0" fontId="8" fillId="6" borderId="1" applyAlignment="1" pivotButton="0" quotePrefix="0" xfId="0">
      <alignment horizontal="center" vertical="top"/>
    </xf>
    <xf numFmtId="0" fontId="8" fillId="7" borderId="1" applyAlignment="1" pivotButton="0" quotePrefix="0" xfId="0">
      <alignment horizontal="center" vertical="top"/>
    </xf>
    <xf numFmtId="0" fontId="8" fillId="0" borderId="0" applyAlignment="1" pivotButton="0" quotePrefix="0" xfId="0">
      <alignment horizontal="general" vertical="bottom"/>
    </xf>
    <xf numFmtId="0" fontId="12" fillId="0" borderId="0" applyAlignment="1" pivotButton="0" quotePrefix="0" xfId="0">
      <alignment horizontal="general" vertical="bottom"/>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8" fillId="7"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0" applyAlignment="1" pivotButton="0" quotePrefix="0" xfId="0">
      <alignment horizontal="general" vertical="bottom"/>
    </xf>
    <xf numFmtId="9" fontId="8" fillId="0" borderId="0" applyAlignment="1" pivotButton="0" quotePrefix="0" xfId="0">
      <alignment horizontal="general" vertical="bottom"/>
    </xf>
    <xf numFmtId="0" fontId="8" fillId="6" borderId="0" applyAlignment="1" pivotButton="0" quotePrefix="0" xfId="0">
      <alignment horizontal="general" vertical="bottom"/>
    </xf>
    <xf numFmtId="0" fontId="8" fillId="7"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13" fillId="0" borderId="0" pivotButton="0" quotePrefix="0" xfId="0"/>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1" applyAlignment="1" pivotButton="0" quotePrefix="0" xfId="0">
      <alignment horizontal="general" vertical="bottom"/>
    </xf>
    <xf numFmtId="0" fontId="8" fillId="0" borderId="1" applyAlignment="1" pivotButton="0" quotePrefix="0" xfId="0">
      <alignment horizontal="general" vertical="top" wrapText="1"/>
    </xf>
    <xf numFmtId="0" fontId="11" fillId="2" borderId="1" applyAlignment="1" pivotButton="0" quotePrefix="0" xfId="0">
      <alignment horizontal="general" vertical="center" wrapText="1"/>
    </xf>
    <xf numFmtId="0" fontId="14" fillId="0" borderId="2" applyAlignment="1" pivotButton="0" quotePrefix="0" xfId="0">
      <alignment vertical="top" wrapText="1"/>
    </xf>
    <xf numFmtId="0" fontId="14" fillId="8" borderId="2" applyAlignment="1" pivotButton="0" quotePrefix="0" xfId="0">
      <alignment vertical="top" wrapText="1"/>
    </xf>
    <xf numFmtId="0" fontId="8" fillId="3" borderId="1" applyAlignment="1" pivotButton="0" quotePrefix="0" xfId="0">
      <alignment horizontal="general" vertical="top" wrapText="1"/>
    </xf>
    <xf numFmtId="0" fontId="8" fillId="4" borderId="1" applyAlignment="1" pivotButton="0" quotePrefix="0" xfId="0">
      <alignment horizontal="center" vertical="top"/>
    </xf>
    <xf numFmtId="0" fontId="8" fillId="5" borderId="1" applyAlignment="1" pivotButton="0" quotePrefix="0" xfId="0">
      <alignment horizontal="center" vertical="top"/>
    </xf>
    <xf numFmtId="0" fontId="8" fillId="6" borderId="1" applyAlignment="1" pivotButton="0" quotePrefix="0" xfId="0">
      <alignment horizontal="center" vertical="top"/>
    </xf>
    <xf numFmtId="0" fontId="8" fillId="7" borderId="1" applyAlignment="1" pivotButton="0" quotePrefix="0" xfId="0">
      <alignment horizontal="center" vertical="top"/>
    </xf>
    <xf numFmtId="0" fontId="14" fillId="9" borderId="2" applyAlignment="1" pivotButton="0" quotePrefix="0" xfId="0">
      <alignment vertical="top" wrapText="1"/>
    </xf>
    <xf numFmtId="0" fontId="8" fillId="0" borderId="0" applyAlignment="1" pivotButton="0" quotePrefix="0" xfId="0">
      <alignment horizontal="general" vertical="bottom"/>
    </xf>
    <xf numFmtId="0" fontId="12" fillId="0" borderId="0" applyAlignment="1" pivotButton="0" quotePrefix="0" xfId="0">
      <alignment horizontal="general" vertical="bottom"/>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8" fillId="7"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0" applyAlignment="1" pivotButton="0" quotePrefix="0" xfId="0">
      <alignment horizontal="general" vertical="bottom"/>
    </xf>
    <xf numFmtId="9" fontId="8" fillId="0" borderId="0" applyAlignment="1" pivotButton="0" quotePrefix="0" xfId="0">
      <alignment horizontal="general" vertical="bottom"/>
    </xf>
    <xf numFmtId="0" fontId="8" fillId="6" borderId="0" applyAlignment="1" pivotButton="0" quotePrefix="0" xfId="0">
      <alignment horizontal="general" vertical="bottom"/>
    </xf>
    <xf numFmtId="0" fontId="8" fillId="7" borderId="0" applyAlignment="1" pivotButton="0" quotePrefix="0" xfId="0">
      <alignment horizontal="general" vertical="bottom"/>
    </xf>
    <xf numFmtId="0" fontId="15" fillId="10" borderId="2" pivotButton="0" quotePrefix="0" xfId="0"/>
    <xf numFmtId="0" fontId="16" fillId="8" borderId="2" applyAlignment="1" pivotButton="0" quotePrefix="0" xfId="0">
      <alignment vertical="top" wrapText="1"/>
    </xf>
    <xf numFmtId="0" fontId="16"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B8121F"/>
          <bgColor rgb="FF000000"/>
        </patternFill>
      </fill>
    </dxf>
    <dxf>
      <fill>
        <patternFill patternType="solid">
          <bgColor rgb="FF000000"/>
        </patternFill>
      </fill>
    </dxf>
    <dxf>
      <fill>
        <patternFill patternType="solid">
          <fgColor rgb="FFFFFFFF"/>
          <bgColor rgb="FF000000"/>
        </patternFill>
      </fill>
    </dxf>
    <dxf>
      <fill>
        <patternFill patternType="solid">
          <fgColor rgb="FFFFF4E6"/>
          <bgColor rgb="FF000000"/>
        </patternFill>
      </fill>
    </dxf>
    <dxf>
      <fill>
        <patternFill patternType="solid">
          <fgColor rgb="FFDDEBF7"/>
          <bgColor rgb="FF000000"/>
        </patternFill>
      </fill>
    </dxf>
    <dxf>
      <fill>
        <patternFill patternType="solid">
          <fgColor rgb="FFE2F0D9"/>
          <bgColor rgb="FF000000"/>
        </patternFill>
      </fill>
    </dxf>
    <dxf>
      <fill>
        <patternFill patternType="solid">
          <fgColor rgb="FFF8D7D5"/>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4E6"/>
      <rgbColor rgb="FF99CCFF"/>
      <rgbColor rgb="FFFF99CC"/>
      <rgbColor rgb="FFCC99FF"/>
      <rgbColor rgb="FFF8D7D5"/>
      <rgbColor rgb="FF3366FF"/>
      <rgbColor rgb="FF33CCCC"/>
      <rgbColor rgb="FF99CC00"/>
      <rgbColor rgb="FFFFCC00"/>
      <rgbColor rgb="FFFF9900"/>
      <rgbColor rgb="FFFF6600"/>
      <rgbColor rgb="FF595959"/>
      <rgbColor rgb="FF969696"/>
      <rgbColor rgb="FF003366"/>
      <rgbColor rgb="FF339966"/>
      <rgbColor rgb="FF003300"/>
      <rgbColor rgb="FF333300"/>
      <rgbColor rgb="FFB8121F"/>
      <rgbColor rgb="FF993366"/>
      <rgbColor rgb="FF333399"/>
      <rgbColor rgb="FF2F485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DanhMucUC" displayName="DanhMucUC" ref="A1:R57" headerRowCount="1" totalsRowCount="0" totalsRowShown="0">
  <autoFilter ref="A1:R46"/>
  <tableColumns count="18">
    <tableColumn id="1" name="Mã UC"/>
    <tableColumn id="2" name="Tên use case"/>
    <tableColumn id="3" name="Nhóm / quy trình"/>
    <tableColumn id="4" name="Tác nhân chính"/>
    <tableColumn id="5" name="Tác nhân phụ"/>
    <tableColumn id="6" name="Mục tiêu"/>
    <tableColumn id="7" name="Kích hoạt"/>
    <tableColumn id="8" name="Tiền điều kiện"/>
    <tableColumn id="9" name="Hậu điều kiện"/>
    <tableColumn id="10" name="Cổng người"/>
    <tableColumn id="11" name="Tri thức sinh ra"/>
    <tableColumn id="12" name="Ưu tiên"/>
    <tableColumn id="13" name="Mốc"/>
    <tableColumn id="14" name="FR liên quan"/>
    <tableColumn id="15" name="UR liên quan"/>
    <tableColumn id="16" name="Màn hình UI"/>
    <tableColumn id="17" name="Số bước"/>
    <tableColumn id="18" name="Số luồng thay thế"/>
  </tableColumns>
</table>
</file>

<file path=xl/tables/table2.xml><?xml version="1.0" encoding="utf-8"?>
<table xmlns="http://schemas.openxmlformats.org/spreadsheetml/2006/main" id="2" name="LuongChinh" displayName="LuongChinh" ref="A1:I247" headerRowCount="1" totalsRowCount="0" totalsRowShown="0">
  <autoFilter ref="A1:I186"/>
  <tableColumns count="9">
    <tableColumn id="1" name="Mã UC"/>
    <tableColumn id="2" name="Tên use case"/>
    <tableColumn id="3" name="Bước"/>
    <tableColumn id="4" name="Làn"/>
    <tableColumn id="5" name="Hành động"/>
    <tableColumn id="6" name="Đầu vào"/>
    <tableColumn id="7" name="Đầu ra"/>
    <tableColumn id="8" name="Cổng / ghi chú"/>
    <tableColumn id="9" name="Mức tự chủ (APD)"/>
  </tableColumns>
</table>
</file>

<file path=xl/tables/table3.xml><?xml version="1.0" encoding="utf-8"?>
<table xmlns="http://schemas.openxmlformats.org/spreadsheetml/2006/main" id="3" name="LuongThayThe" displayName="LuongThayThe" ref="A1:E74" headerRowCount="1" totalsRowCount="0" totalsRowShown="0">
  <autoFilter ref="A1:E54"/>
  <tableColumns count="5">
    <tableColumn id="1" name="Mã UC"/>
    <tableColumn id="2" name="Tên use case"/>
    <tableColumn id="3" name="Mã luồng"/>
    <tableColumn id="4" name="Điều kiện"/>
    <tableColumn id="5" name="Xử lý"/>
  </tableColumns>
</table>
</file>

<file path=xl/tables/table4.xml><?xml version="1.0" encoding="utf-8"?>
<table xmlns="http://schemas.openxmlformats.org/spreadsheetml/2006/main" id="4" name="KichBanMau" displayName="KichBanMau" ref="A1:F18" headerRowCount="1" totalsRowCount="0" totalsRowShown="0">
  <autoFilter ref="A1:F18"/>
  <tableColumns count="6">
    <tableColumn id="1" name="Bước"/>
    <tableColumn id="2" name="Việc xảy ra (kịch bản: board mới, zip hỗn hợp, thiếu thông tin, mô phỏng trước khi có board)"/>
    <tableColumn id="3" name="Use case"/>
    <tableColumn id="4" name="Ai"/>
    <tableColumn id="5" name="Cổng người"/>
    <tableColumn id="6" name="Kết quả / tri thức sinh ra"/>
  </tableColumns>
</table>
</file>

<file path=xl/tables/table5.xml><?xml version="1.0" encoding="utf-8"?>
<table xmlns="http://schemas.openxmlformats.org/spreadsheetml/2006/main" id="5" name="PhanLoai3Muc" displayName="PhanLoai3Muc" ref="A9:G63" headerRowCount="1" totalsRowCount="0" totalsRowShown="0">
  <autoFilter ref="A9:G63"/>
  <tableColumns count="7">
    <tableColumn id="1" name="Quy trình"/>
    <tableColumn id="2" name="Công việc"/>
    <tableColumn id="3" name="Mức"/>
    <tableColumn id="4" name="Đặc điểm nhận biết (lý do xếp mức)"/>
    <tableColumn id="5" name="Cách giao trong EIDE"/>
    <tableColumn id="6" name="UC liên quan"/>
    <tableColumn id="7" name="Cổng cũ (APD thay bằng chính sách)"/>
  </tableColumns>
</table>
</file>

<file path=xl/tables/table6.xml><?xml version="1.0" encoding="utf-8"?>
<table xmlns="http://schemas.openxmlformats.org/spreadsheetml/2006/main" id="6" name="NangLuc" displayName="NangLuc" ref="A2:G47" headerRowCount="1" totalsRowCount="0" totalsRowShown="0">
  <autoFilter ref="A2:G47"/>
  <tableColumns count="7">
    <tableColumn id="1" name="Mã UC"/>
    <tableColumn id="2" name="Năng lực (tên gọi trong Engine / MCP)"/>
    <tableColumn id="3" name="Tham số vào"/>
    <tableColumn id="4" name="Kết quả ra"/>
    <tableColumn id="5" name="Ví dụ câu lệnh kích hoạt (hoặc tự gọi)"/>
    <tableColumn id="6" name="Màn hình xem kết quả"/>
    <tableColumn id="7" name="Mức tự chủ (sheet 7)"/>
  </tableColumns>
</table>
</file>

<file path=xl/tables/table7.xml><?xml version="1.0" encoding="utf-8"?>
<table xmlns="http://schemas.openxmlformats.org/spreadsheetml/2006/main" id="7" name="KichBanDauVaoTrong" displayName="KichBanDauVaoTrong" ref="A13:H23" headerRowCount="1" totalsRowCount="0" totalsRowShown="0">
  <autoFilter ref="A13:H23"/>
  <tableColumns count="8">
    <tableColumn id="1" name="Mã"/>
    <tableColumn id="2" name="Câu lệnh của kỹ sư"/>
    <tableColumn id="3" name="Tác tử kiểm tra (grounding)"/>
    <tableColumn id="4" name="Kết quả kiểm tra"/>
    <tableColumn id="5" name="Tác tử làm / hỏi"/>
    <tableColumn id="6" name="Câu hỏi mẫu (tối đa 1, có mặc định)"/>
    <tableColumn id="7" name="Mặc định khi im lặng"/>
    <tableColumn id="8" name="UC / năng lực"/>
  </tableColumns>
</table>
</file>

<file path=xl/tables/table8.xml><?xml version="1.0" encoding="utf-8"?>
<table xmlns="http://schemas.openxmlformats.org/spreadsheetml/2006/main" id="8" name="NoiMoTa" displayName="NoiMoTa" ref="A26:C31" headerRowCount="1" totalsRowCount="0" totalsRowShown="0">
  <autoFilter ref="A26:C31"/>
  <tableColumns count="3">
    <tableColumn id="1" name="Nội dung"/>
    <tableColumn id="2" name="Nơi mô tả"/>
    <tableColumn id="3" name="Lý do"/>
  </tableColumns>
</table>
</file>

<file path=xl/tables/table9.xml><?xml version="1.0" encoding="utf-8"?>
<table xmlns="http://schemas.openxmlformats.org/spreadsheetml/2006/main" id="9" name="QuyTacHoiThoai" displayName="QuyTacHoiThoai" ref="A2:D10" headerRowCount="1" totalsRowCount="0" totalsRowShown="0">
  <autoFilter ref="A2:D10"/>
  <tableColumns count="4">
    <tableColumn id="1" name="Mã"/>
    <tableColumn id="2" name="Quy tắc"/>
    <tableColumn id="3" name="Nội dung"/>
    <tableColumn id="4" name="Vì sa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 Type="http://schemas.openxmlformats.org/officeDocument/2006/relationships/table" Target="/xl/tables/table9.xml" Id="rId3"/></Relationships>
</file>

<file path=xl/worksheets/sheet1.xml><?xml version="1.0" encoding="utf-8"?>
<worksheet xmlns="http://schemas.openxmlformats.org/spreadsheetml/2006/main">
  <sheetPr filterMode="0">
    <outlinePr summaryBelow="1" summaryRight="1"/>
    <pageSetUpPr fitToPage="0"/>
  </sheetPr>
  <dimension ref="A1:A2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0" customWidth="1" style="28" min="1" max="1"/>
  </cols>
  <sheetData>
    <row r="1" ht="17.25" customHeight="1" s="29">
      <c r="A1" s="30" t="inlineStr">
        <is>
          <t>EIDE — DANH MỤC USE CASE CHI TIẾT</t>
        </is>
      </c>
    </row>
    <row r="2" ht="15" customHeight="1" s="29">
      <c r="A2" s="31" t="inlineStr">
        <is>
          <t>Đề án tốt nghiệp Thạc sĩ ngành Kỹ thuật Điện tử — Học viện Công nghệ Bưu chính Viễn thông (PTIT) · Học viên: Vũ Trí Công · Người hướng dẫn: TS. Nguyễn Trung Hiếu</t>
        </is>
      </c>
    </row>
    <row r="3" ht="15" customHeight="1" s="29">
      <c r="A3" s="32" t="inlineStr">
        <is>
          <t>v1.2 (05/09/2026): thêm 11 use case nhóm I (kỹ nghệ), J (tri thức &amp; dò tìm), K (tự tạo công cụ) — 56 UC; sheet 10 sơ đồ tuần tự Mermaid cho mọi UC; sheet 11 ánh xạ bước ↔ năng lực ↔ màn hình; cổng theo chính sách (APD-08/POL-17).</t>
        </is>
      </c>
    </row>
    <row r="4" ht="15" customHeight="1" s="29">
      <c r="A4" s="33" t="inlineStr">
        <is>
          <t>Embedded IDE trên nền GEditor · Knowledge Plane cục bộ · Bộ hồ sơ HKW/EIDE v1.0 · 05/09/2026 · Người lập: Vũ Trí Công (hỗ trợ: Claude)</t>
        </is>
      </c>
    </row>
    <row r="5" ht="15" customHeight="1" s="29">
      <c r="A5" s="34" t="n"/>
    </row>
    <row r="6" ht="15" customHeight="1" s="29">
      <c r="A6" s="35" t="inlineStr">
        <is>
          <t>Cách đọc bộ sổ tính này</t>
        </is>
      </c>
    </row>
    <row r="7" ht="15" customHeight="1" s="29">
      <c r="A7" s="36" t="inlineStr">
        <is>
          <t>1. Tác nhân &amp; cổng — ai tham gia, cổng người nào tồn tại và đứng ở đâu.</t>
        </is>
      </c>
    </row>
    <row r="8" ht="15" customHeight="1" s="29">
      <c r="A8" s="36" t="inlineStr">
        <is>
          <t>2. Danh mục UC — mỗi dòng một use case: mục tiêu, kích hoạt, tiền/hậu điều kiện, cổng, tri thức sinh ra, ưu tiên (M/S/C), mốc (M0–M5), truy vết FR/UR, màn hình UI.</t>
        </is>
      </c>
    </row>
    <row r="9" ht="15" customHeight="1" s="29">
      <c r="A9" s="36" t="inlineStr">
        <is>
          <t>3. Luồng chính — từng bước của mỗi UC: làn (N = người, T = tác tử, K = Knowledge Plane, H = công cụ/phần cứng), hành động, đầu vào → đầu ra, cổng/ghi chú.</t>
        </is>
      </c>
    </row>
    <row r="10" ht="15" customHeight="1" s="29">
      <c r="A10" s="36" t="inlineStr">
        <is>
          <t>4. Luồng thay thế — điều kiện ngoại lệ và cách xử lý cho mỗi UC.</t>
        </is>
      </c>
    </row>
    <row r="11" ht="15" customHeight="1" s="29">
      <c r="A11" s="36" t="inlineStr">
        <is>
          <t>5. Kịch bản mẫu — tình huống anh nêu (một board mới, zip hỗn hợp, thiếu thông tin → tìm mạng có phê duyệt, dựng mô phỏng) ánh xạ thành chuỗi UC theo thời gian.</t>
        </is>
      </c>
    </row>
    <row r="12" ht="15" customHeight="1" s="29">
      <c r="A12" s="36" t="inlineStr">
        <is>
          <t>6. Truy vết — ma trận UC ↔ nhóm quy trình ↔ FR ↔ UR ↔ màn hình, kèm thống kê bằng công thức.</t>
        </is>
      </c>
    </row>
    <row r="13" ht="23.25" customHeight="1" s="29">
      <c r="A13" s="34" t="n"/>
    </row>
    <row r="14" ht="15" customHeight="1" s="29">
      <c r="A14" s="35" t="inlineStr">
        <is>
          <t>Quy ước</t>
        </is>
      </c>
    </row>
    <row r="15" ht="15" customHeight="1" s="29">
      <c r="A15" s="36" t="inlineStr">
        <is>
          <t>Mã UC: UC-&lt;nhóm&gt;&lt;số&gt;; nhóm A dự án &amp; môi trường, B nhận tri thức, C mạch &amp; tài nguyên, D kế hoạch &amp; sinh mã, E mô phỏng, F xác minh &amp; gỡ lỗi, G chia sẻ &amp; đánh giá, H tương tác tác tử.</t>
        </is>
      </c>
    </row>
    <row r="16" ht="15" customHeight="1" s="29">
      <c r="A16" s="36" t="inlineStr">
        <is>
          <t>Ưu tiên MoSCoW: M bắt buộc, S nên có, C có thể có. Mốc M0–M5 theo lộ trình HKW-PDA-00 §12.</t>
        </is>
      </c>
    </row>
    <row r="17" ht="15" customHeight="1" s="29">
      <c r="A17" s="36" t="inlineStr">
        <is>
          <t>Ô nền vàng nhạt trong sheet 3 = bước có cổng người (không thể bỏ qua bằng phần mềm).</t>
        </is>
      </c>
    </row>
    <row r="18" ht="15" customHeight="1" s="29">
      <c r="A18" s="36" t="inlineStr">
        <is>
          <t>FR/UR tham chiếu HKW-SRS-02 và HKW-URD-01 (một số UR tham chiếu EAA-URD-06 khi ghi chú 'EAA').</t>
        </is>
      </c>
    </row>
    <row r="19" ht="23.25" customHeight="1" s="29">
      <c r="A19" s="36" t="inlineStr">
        <is>
          <t>Sheet 2, 3, 4 là bảng Excel (Table) — dùng bộ lọc trên tiêu đề để lọc theo nhóm, tác nhân, cổng, mốc.</t>
        </is>
      </c>
    </row>
    <row r="20" ht="23.25" customHeight="1" s="29">
      <c r="A20" s="37" t="inlineStr">
        <is>
          <t>Nguồn: HKW-PDA-00, URD-01, SRS-02, SAD-03, SDD-04, STP-05, BPD-06, KAD-07 (05/09/2026); mã nguồn hkw-core M0.</t>
        </is>
      </c>
    </row>
    <row r="21" ht="23.25" customHeight="1" s="29">
      <c r="A21" s="36" t="inlineStr">
        <is>
          <t>7. Phân loại 3 mức — mọi công việc của EIDE xếp vào T1 AI làm trọn / T2 AI làm — người duyệt / T3 Người làm (theo EIDE-APD-08). Sheet 3 có thêm cột 'Mức tự chủ': 'Lệnh' = kỹ sư chỉ ra lệnh bằng ngôn ngữ tự nhiên; T1* = bước có cổng nhưng chính sách tự phê duyệt khi đủ bằng chứng (A3), rơi về T2 khi thiếu.</t>
        </is>
      </c>
    </row>
    <row r="22" ht="23.85" customHeight="1" s="29">
      <c r="A22" s="36" t="inlineStr">
        <is>
          <t>8. Năng lực — mỗi UC là một năng lực có tên, tham số, kết quả; tác tử gọi chúng theo lệnh ngôn ngữ tự nhiên hoặc tự gọi theo chính sách; cùng bộ năng lực phơi ra qua MCP cho IDE ngoài.</t>
        </is>
      </c>
    </row>
    <row r="23">
      <c r="A23" s="36" t="inlineStr">
        <is>
          <t>9. Đầu vào trống — quy tắc hội thoại chung D1–D8, 10 kịch bản 'đầu vào chưa có gì' (kiểm tra tồn tại → dùng luôn/nhân bản/tạo mới, mẫu tham chiếu, ảnh không tài liệu…), và bảng 'mô tả ở đâu' trong bộ hồ sơ.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8" min="1" max="1"/>
    <col width="22" customWidth="1" style="28" min="2" max="2"/>
    <col width="100" customWidth="1" style="28" min="3" max="3"/>
  </cols>
  <sheetData>
    <row r="1" ht="15" customHeight="1" s="29">
      <c r="A1" s="38" t="inlineStr">
        <is>
          <t>TÁC NHÂN</t>
        </is>
      </c>
    </row>
    <row r="2" ht="15" customHeight="1" s="29">
      <c r="A2" s="39" t="inlineStr">
        <is>
          <t>Tác nhân</t>
        </is>
      </c>
      <c r="B2" s="39" t="inlineStr">
        <is>
          <t>Loại</t>
        </is>
      </c>
      <c r="C2" s="39" t="inlineStr">
        <is>
          <t>Vai trò</t>
        </is>
      </c>
    </row>
    <row r="3" ht="15" customHeight="1" s="29">
      <c r="A3" s="40" t="inlineStr">
        <is>
          <t>Kỹ sư</t>
        </is>
      </c>
      <c r="B3" s="40" t="inlineStr">
        <is>
          <t>Người dùng chính</t>
        </is>
      </c>
      <c r="C3" s="40" t="inlineStr">
        <is>
          <t>Tạo dự án, nạp tài liệu, ra lệnh, phê duyệt tại mọi cổng, quan sát phần cứng</t>
        </is>
      </c>
    </row>
    <row r="4" ht="15" customHeight="1" s="29">
      <c r="A4" s="40" t="inlineStr">
        <is>
          <t>Người phê duyệt</t>
        </is>
      </c>
      <c r="B4" s="40" t="inlineStr">
        <is>
          <t>Người dùng</t>
        </is>
      </c>
      <c r="C4" s="40" t="inlineStr">
        <is>
          <t>Có thể trùng kỹ sư; duyệt G-SRC/G-FACT/G1/G3/G4/G5; cấp quyền G-OPS</t>
        </is>
      </c>
    </row>
    <row r="5" ht="15" customHeight="1" s="29">
      <c r="A5" s="40" t="inlineStr">
        <is>
          <t>Pack owner</t>
        </is>
      </c>
      <c r="B5" s="40" t="inlineStr">
        <is>
          <t>Người dùng</t>
        </is>
      </c>
      <c r="C5" s="40" t="inlineStr">
        <is>
          <t>Soạn skill, benchmark; kiểm định và phát hành gói</t>
        </is>
      </c>
    </row>
    <row r="6" ht="15" customHeight="1" s="29">
      <c r="A6" s="40" t="inlineStr">
        <is>
          <t>Librarian</t>
        </is>
      </c>
      <c r="B6" s="40" t="inlineStr">
        <is>
          <t>Tác tử</t>
        </is>
      </c>
      <c r="C6" s="40" t="inlineStr">
        <is>
          <t>Phân loại, tìm nguồn, điều phối trích xuất, trả lời tra cứu có trích dẫn</t>
        </is>
      </c>
    </row>
    <row r="7" ht="15" customHeight="1" s="29">
      <c r="A7" s="40" t="inlineStr">
        <is>
          <t>Cartographer</t>
        </is>
      </c>
      <c r="B7" s="40" t="inlineStr">
        <is>
          <t>Tác tử</t>
        </is>
      </c>
      <c r="C7" s="40" t="inlineStr">
        <is>
          <t>Dựng BoardPassport từ CAD/ảnh; kiểm xung đột chân</t>
        </is>
      </c>
    </row>
    <row r="8" ht="15" customHeight="1" s="29">
      <c r="A8" s="40" t="inlineStr">
        <is>
          <t>Planner</t>
        </is>
      </c>
      <c r="B8" s="40" t="inlineStr">
        <is>
          <t>Tác tử</t>
        </is>
      </c>
      <c r="C8" s="40" t="inlineStr">
        <is>
          <t>Lập kế hoạch có trích dẫn; tự đánh giá đủ thông tin</t>
        </is>
      </c>
    </row>
    <row r="9" ht="15" customHeight="1" s="29">
      <c r="A9" s="40" t="inlineStr">
        <is>
          <t>Coder</t>
        </is>
      </c>
      <c r="B9" s="40" t="inlineStr">
        <is>
          <t>Tác tử</t>
        </is>
      </c>
      <c r="C9" s="40" t="inlineStr">
        <is>
          <t>Sinh/sửa mã với hkw:fact cho mọi hằng số</t>
        </is>
      </c>
    </row>
    <row r="10" ht="15" customHeight="1" s="29">
      <c r="A10" s="40" t="inlineStr">
        <is>
          <t>Reviewer</t>
        </is>
      </c>
      <c r="B10" s="40" t="inlineStr">
        <is>
          <t>Tác tử (khác hãng)</t>
        </is>
      </c>
      <c r="C10" s="40" t="inlineStr">
        <is>
          <t>Chấm CodePatch theo checklist Pack</t>
        </is>
      </c>
    </row>
    <row r="11" ht="15" customHeight="1" s="29">
      <c r="A11" s="40" t="inlineStr">
        <is>
          <t>Tester</t>
        </is>
      </c>
      <c r="B11" s="40" t="inlineStr">
        <is>
          <t>Tác tử</t>
        </is>
      </c>
      <c r="C11" s="40" t="inlineStr">
        <is>
          <t>Sinh kịch bản, dựng mô phỏng, chạy SIL/HIL, benchmark, huy hiệu</t>
        </is>
      </c>
    </row>
    <row r="12" ht="15" customHeight="1" s="29">
      <c r="A12" s="40" t="inlineStr">
        <is>
          <t>Debugger</t>
        </is>
      </c>
      <c r="B12" s="40" t="inlineStr">
        <is>
          <t>Tác tử</t>
        </is>
      </c>
      <c r="C12" s="40" t="inlineStr">
        <is>
          <t>Giả thuyết, thí nghiệm phân biệt, gói chứng cứ</t>
        </is>
      </c>
    </row>
    <row r="13" ht="15" customHeight="1" s="29">
      <c r="A13" s="40" t="inlineStr">
        <is>
          <t>Knowledge Plane</t>
        </is>
      </c>
      <c r="B13" s="40" t="inlineStr">
        <is>
          <t>Hệ thống</t>
        </is>
      </c>
      <c r="C13" s="40" t="inlineStr">
        <is>
          <t>Store, đồ thị, cổng người, hooks, ledger, router mô hình</t>
        </is>
      </c>
    </row>
    <row r="14" ht="15" customHeight="1" s="29">
      <c r="A14" s="40" t="inlineStr">
        <is>
          <t>Tool Layer / Phần cứng</t>
        </is>
      </c>
      <c r="B14" s="40" t="inlineStr">
        <is>
          <t>Hệ thống/vật lý</t>
        </is>
      </c>
      <c r="C14" s="40" t="inlineStr">
        <is>
          <t>Toolchain, flash, serial, probe, mô phỏng, thiết bị đo</t>
        </is>
      </c>
    </row>
    <row r="15" ht="15" customHeight="1" s="29">
      <c r="A15" s="40" t="inlineStr">
        <is>
          <t>Nguồn ngoài</t>
        </is>
      </c>
      <c r="B15" s="40" t="inlineStr">
        <is>
          <t>Hệ thống ngoài</t>
        </is>
      </c>
      <c r="C15" s="40" t="inlineStr">
        <is>
          <t>Registry, kho hãng (SVD/ATDF), docs MCP, web</t>
        </is>
      </c>
    </row>
    <row r="17" ht="15" customHeight="1" s="29">
      <c r="A17" s="40" t="inlineStr">
        <is>
          <t>CỔNG NGƯỜI (GATE)</t>
        </is>
      </c>
    </row>
    <row r="18" ht="15" customHeight="1" s="29">
      <c r="A18" s="39" t="inlineStr">
        <is>
          <t>Mã</t>
        </is>
      </c>
      <c r="B18" s="39" t="inlineStr">
        <is>
          <t>Tên</t>
        </is>
      </c>
      <c r="C18" s="39" t="inlineStr">
        <is>
          <t>Đứng ở đâu</t>
        </is>
      </c>
    </row>
    <row r="19" ht="15" customHeight="1" s="29">
      <c r="A19" s="40" t="inlineStr">
        <is>
          <t>G-SRC</t>
        </is>
      </c>
      <c r="B19" s="40" t="inlineStr">
        <is>
          <t>Chọn nguồn</t>
        </is>
      </c>
      <c r="C19" s="40" t="inlineStr">
        <is>
          <t>Trước khi tải/trích xuất bất kỳ tài liệu nào tìm được trên mạng hoặc registry</t>
        </is>
      </c>
    </row>
    <row r="20" ht="15" customHeight="1" s="29">
      <c r="A20" s="40" t="inlineStr">
        <is>
          <t>G-FACT</t>
        </is>
      </c>
      <c r="B20" s="40" t="inlineStr">
        <is>
          <t>Duyệt fact</t>
        </is>
      </c>
      <c r="C20" s="40" t="inlineStr">
        <is>
          <t>Trước khi fact tầng bạc/đồng được dùng cho sinh mã; duyệt theo nhóm có ảnh cắt</t>
        </is>
      </c>
    </row>
    <row r="21" ht="15" customHeight="1" s="29">
      <c r="A21" s="40" t="inlineStr">
        <is>
          <t>G1</t>
        </is>
      </c>
      <c r="B21" s="40" t="inlineStr">
        <is>
          <t>Duyệt kế hoạch</t>
        </is>
      </c>
      <c r="C21" s="40" t="inlineStr">
        <is>
          <t>Trước khi viết mã</t>
        </is>
      </c>
    </row>
    <row r="22" ht="15" customHeight="1" s="29">
      <c r="A22" s="40" t="inlineStr">
        <is>
          <t>G3</t>
        </is>
      </c>
      <c r="B22" s="40" t="inlineStr">
        <is>
          <t>Duyệt merge</t>
        </is>
      </c>
      <c r="C22" s="40" t="inlineStr">
        <is>
          <t>Sau 4 cổng công cụ + reviewer khác hãng; trước khi mã vào nhánh chính</t>
        </is>
      </c>
    </row>
    <row r="23" ht="15" customHeight="1" s="29">
      <c r="A23" s="40" t="inlineStr">
        <is>
          <t>G4</t>
        </is>
      </c>
      <c r="B23" s="40" t="inlineStr">
        <is>
          <t>Xác nhận vật lý</t>
        </is>
      </c>
      <c r="C23" s="40" t="inlineStr">
        <is>
          <t>Người quan sát board (LED, chuyển động, số đo) trước khi tính năng passing</t>
        </is>
      </c>
    </row>
    <row r="24" ht="15" customHeight="1" s="29">
      <c r="A24" s="40" t="inlineStr">
        <is>
          <t>G5</t>
        </is>
      </c>
      <c r="B24" s="40" t="inlineStr">
        <is>
          <t>Duyệt bàn giao/phát hành</t>
        </is>
      </c>
      <c r="C24" s="40" t="inlineStr">
        <is>
          <t>Trước khi xuất báo cáo, đóng gói, publish</t>
        </is>
      </c>
    </row>
    <row r="25" ht="23.25" customHeight="1" s="29">
      <c r="A25" s="40" t="inlineStr">
        <is>
          <t>G-OPS</t>
        </is>
      </c>
      <c r="B25" s="40" t="inlineStr">
        <is>
          <t>Cấp quyền thao tác nguy hiểm</t>
        </is>
      </c>
      <c r="C25" s="40" t="inlineStr">
        <is>
          <t>Nạp, xóa flash, ghi bộ nhớ, ghi fuse, cài phần mềm, tải tệp lớn — theo phiên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R5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8" min="1" max="1"/>
    <col width="34" customWidth="1" style="28" min="2" max="2"/>
    <col width="20" customWidth="1" style="28" min="3" max="3"/>
    <col width="16" customWidth="1" style="28" min="4" max="4"/>
    <col width="22" customWidth="1" style="28" min="5" max="5"/>
    <col width="40" customWidth="1" style="28" min="6" max="6"/>
    <col width="30" customWidth="1" style="28" min="7" max="7"/>
    <col width="26" customWidth="1" style="28" min="8" max="8"/>
    <col width="36" customWidth="1" style="28" min="9" max="9"/>
    <col width="14" customWidth="1" style="28" min="10" max="10"/>
    <col width="24" customWidth="1" style="28" min="11" max="11"/>
    <col width="8" customWidth="1" style="28" min="12" max="12"/>
    <col width="7" customWidth="1" style="28" min="13" max="13"/>
    <col width="22" customWidth="1" style="28" min="14" max="14"/>
    <col width="20" customWidth="1" style="28" min="15" max="16"/>
    <col width="8" customWidth="1" style="28" min="17" max="17"/>
    <col width="10" customWidth="1" style="28" min="18" max="18"/>
  </cols>
  <sheetData>
    <row r="1" ht="30" customHeight="1" s="29">
      <c r="A1" s="41" t="inlineStr">
        <is>
          <t>Mã UC</t>
        </is>
      </c>
      <c r="B1" s="41" t="inlineStr">
        <is>
          <t>Tên use case</t>
        </is>
      </c>
      <c r="C1" s="41" t="inlineStr">
        <is>
          <t>Nhóm / quy trình</t>
        </is>
      </c>
      <c r="D1" s="41" t="inlineStr">
        <is>
          <t>Tác nhân chính</t>
        </is>
      </c>
      <c r="E1" s="41" t="inlineStr">
        <is>
          <t>Tác nhân phụ</t>
        </is>
      </c>
      <c r="F1" s="41" t="inlineStr">
        <is>
          <t>Mục tiêu</t>
        </is>
      </c>
      <c r="G1" s="41" t="inlineStr">
        <is>
          <t>Kích hoạt</t>
        </is>
      </c>
      <c r="H1" s="41" t="inlineStr">
        <is>
          <t>Tiền điều kiện</t>
        </is>
      </c>
      <c r="I1" s="41" t="inlineStr">
        <is>
          <t>Hậu điều kiện</t>
        </is>
      </c>
      <c r="J1" s="41" t="inlineStr">
        <is>
          <t>Cổng người</t>
        </is>
      </c>
      <c r="K1" s="41" t="inlineStr">
        <is>
          <t>Tri thức sinh ra</t>
        </is>
      </c>
      <c r="L1" s="41" t="inlineStr">
        <is>
          <t>Ưu tiên</t>
        </is>
      </c>
      <c r="M1" s="41" t="inlineStr">
        <is>
          <t>Mốc</t>
        </is>
      </c>
      <c r="N1" s="41" t="inlineStr">
        <is>
          <t>FR liên quan</t>
        </is>
      </c>
      <c r="O1" s="41" t="inlineStr">
        <is>
          <t>UR liên quan</t>
        </is>
      </c>
      <c r="P1" s="41" t="inlineStr">
        <is>
          <t>Màn hình UI</t>
        </is>
      </c>
      <c r="Q1" s="41" t="inlineStr">
        <is>
          <t>Số bước</t>
        </is>
      </c>
      <c r="R1" s="41" t="inlineStr">
        <is>
          <t>Số luồng thay thế</t>
        </is>
      </c>
    </row>
    <row r="2" ht="45.75" customHeight="1" s="29">
      <c r="A2" s="40" t="inlineStr">
        <is>
          <t>UC-A01</t>
        </is>
      </c>
      <c r="B2" s="40" t="inlineStr">
        <is>
          <t>Tạo dự án mới</t>
        </is>
      </c>
      <c r="C2" s="40" t="inlineStr">
        <is>
          <t>A. Dự án &amp; môi trường</t>
        </is>
      </c>
      <c r="D2" s="40" t="inlineStr">
        <is>
          <t>Kỹ sư</t>
        </is>
      </c>
      <c r="E2" s="40" t="inlineStr">
        <is>
          <t>Knowledge Plane</t>
        </is>
      </c>
      <c r="F2" s="40" t="inlineStr">
        <is>
          <t>Có một thư mục dự án với .hkw/, tệp tiến độ, cấu hình mô hình, sẵn sàng nhận tài liệu</t>
        </is>
      </c>
      <c r="G2" s="40" t="inlineStr">
        <is>
          <t>Kỹ sư bấm 'Dự án mới' hoặc chạy eide init</t>
        </is>
      </c>
      <c r="H2" s="40" t="inlineStr">
        <is>
          <t>EIDE đã cài; eide doctor cơ bản đạt</t>
        </is>
      </c>
      <c r="I2" s="40" t="inlineStr">
        <is>
          <t>Thư mục .hkw/ (store.sqlite, FEATURES.json, PROGRESS.md, models.yaml, constraints.yaml) được tạo và commit Git</t>
        </is>
      </c>
      <c r="J2" s="40" t="inlineStr">
        <is>
          <t>—</t>
        </is>
      </c>
      <c r="K2" s="40" t="inlineStr">
        <is>
          <t>K6 (dự án): tên, mô tả, ISA/chip/board nếu đã biết</t>
        </is>
      </c>
      <c r="L2" s="40" t="inlineStr">
        <is>
          <t>M</t>
        </is>
      </c>
      <c r="M2" s="40" t="inlineStr">
        <is>
          <t>M0</t>
        </is>
      </c>
      <c r="N2" s="40" t="inlineStr">
        <is>
          <t>FR-GOV-03, FR-PSP-03</t>
        </is>
      </c>
      <c r="O2" s="40" t="inlineStr">
        <is>
          <t>UR-QT-03, UR-QT-04</t>
        </is>
      </c>
      <c r="P2" s="40" t="inlineStr">
        <is>
          <t>Tổng quan</t>
        </is>
      </c>
      <c r="Q2" s="40" t="n">
        <v>5</v>
      </c>
      <c r="R2" s="40" t="n">
        <v>2</v>
      </c>
    </row>
    <row r="3" ht="34.5" customHeight="1" s="29">
      <c r="A3" s="40" t="inlineStr">
        <is>
          <t>UC-A02</t>
        </is>
      </c>
      <c r="B3" s="40" t="inlineStr">
        <is>
          <t>Khai báo hoặc suy ra chip / ISA / board của dự án</t>
        </is>
      </c>
      <c r="C3" s="40" t="inlineStr">
        <is>
          <t>A. Dự án &amp; môi trường</t>
        </is>
      </c>
      <c r="D3" s="40" t="inlineStr">
        <is>
          <t>Kỹ sư</t>
        </is>
      </c>
      <c r="E3" s="40" t="inlineStr">
        <is>
          <t>Librarian, Knowledge Plane</t>
        </is>
      </c>
      <c r="F3" s="40" t="inlineStr">
        <is>
          <t>Dự án biết mình chạy trên tập lệnh nào, chip nào, mạch nào — hoặc biết là chưa biết và cần nhận tri thức</t>
        </is>
      </c>
      <c r="G3" s="40" t="inlineStr">
        <is>
          <t>Sau UC-A01 hoặc sau khi nhập tài liệu phát hiện chip</t>
        </is>
      </c>
      <c r="H3" s="40" t="inlineStr">
        <is>
          <t>Dự án đã tạo</t>
        </is>
      </c>
      <c r="I3" s="40" t="inlineStr">
        <is>
          <t>constraints.yaml có isa/chip/board (hoặc 'unknown' kèm AcquisitionRequest mở)</t>
        </is>
      </c>
      <c r="J3" s="40" t="inlineStr">
        <is>
          <t>G-FACT nếu suy ra từ tài liệu</t>
        </is>
      </c>
      <c r="K3" s="40" t="inlineStr">
        <is>
          <t>K1 ISA profile, K2 lõi (pin), K3 board (nếu có)</t>
        </is>
      </c>
      <c r="L3" s="40" t="inlineStr">
        <is>
          <t>M</t>
        </is>
      </c>
      <c r="M3" s="40" t="inlineStr">
        <is>
          <t>M0</t>
        </is>
      </c>
      <c r="N3" s="40" t="inlineStr">
        <is>
          <t>FR-PSP-01, FR-BRD-01</t>
        </is>
      </c>
      <c r="O3" s="40" t="inlineStr">
        <is>
          <t>UR-TT-02, UR-PK-03</t>
        </is>
      </c>
      <c r="P3" s="40" t="inlineStr">
        <is>
          <t>Tổng quan / Hộ chiếu chip</t>
        </is>
      </c>
      <c r="Q3" s="40" t="n">
        <v>5</v>
      </c>
      <c r="R3" s="40" t="n">
        <v>2</v>
      </c>
    </row>
    <row r="4" ht="34.5" customHeight="1" s="29">
      <c r="A4" s="40" t="inlineStr">
        <is>
          <t>UC-A03</t>
        </is>
      </c>
      <c r="B4" s="40" t="inlineStr">
        <is>
          <t>Khám phá, cài đặt và khóa toolchain (eide doctor)</t>
        </is>
      </c>
      <c r="C4" s="40" t="inlineStr">
        <is>
          <t>A. Dự án &amp; môi trường</t>
        </is>
      </c>
      <c r="D4" s="40" t="inlineStr">
        <is>
          <t>Kỹ sư</t>
        </is>
      </c>
      <c r="E4" s="40" t="inlineStr">
        <is>
          <t>Knowledge Plane, Tool Layer</t>
        </is>
      </c>
      <c r="F4" s="40" t="inlineStr">
        <is>
          <t>Máy có đủ công cụ biên dịch/nạp/mô phỏng cho ISA của dự án, phiên bản được khóa để tái lập</t>
        </is>
      </c>
      <c r="G4" s="40" t="inlineStr">
        <is>
          <t>Sau UC-A02; hoặc khi một cổng công cụ báo thiếu công cụ; hoặc lệnh eide doctor</t>
        </is>
      </c>
      <c r="H4" s="40" t="inlineStr">
        <is>
          <t>ISA profile đã chọn (có toolchain manifest)</t>
        </is>
      </c>
      <c r="I4" s="40" t="inlineStr">
        <is>
          <t>tools.lock ghi tên/phiên bản/hash; báo cáo môi trường; công cụ tùy chọn được đánh dấu</t>
        </is>
      </c>
      <c r="J4" s="40" t="inlineStr">
        <is>
          <t>G-OPS cho mỗi lệnh cài</t>
        </is>
      </c>
      <c r="K4" s="40" t="inlineStr">
        <is>
          <t>K8 (môi trường), hồ sơ tái lập</t>
        </is>
      </c>
      <c r="L4" s="40" t="inlineStr">
        <is>
          <t>M</t>
        </is>
      </c>
      <c r="M4" s="40" t="inlineStr">
        <is>
          <t>M1</t>
        </is>
      </c>
      <c r="N4" s="40" t="inlineStr">
        <is>
          <t>FR-GOV-04</t>
        </is>
      </c>
      <c r="O4" s="40" t="inlineStr">
        <is>
          <t>UR-QT-05, UR-PK-05</t>
        </is>
      </c>
      <c r="P4" s="40" t="inlineStr">
        <is>
          <t>Môi trường &amp; báo cáo</t>
        </is>
      </c>
      <c r="Q4" s="40" t="n">
        <v>6</v>
      </c>
      <c r="R4" s="40" t="n">
        <v>3</v>
      </c>
    </row>
    <row r="5" ht="23.25" customHeight="1" s="29">
      <c r="A5" s="40" t="inlineStr">
        <is>
          <t>UC-A04</t>
        </is>
      </c>
      <c r="B5" s="40" t="inlineStr">
        <is>
          <t>Cấu hình mô hình ngôn ngữ và chế độ cục bộ</t>
        </is>
      </c>
      <c r="C5" s="40" t="inlineStr">
        <is>
          <t>A. Dự án &amp; môi trường</t>
        </is>
      </c>
      <c r="D5" s="40" t="inlineStr">
        <is>
          <t>Kỹ sư</t>
        </is>
      </c>
      <c r="E5" s="40" t="inlineStr">
        <is>
          <t>Knowledge Plane</t>
        </is>
      </c>
      <c r="F5" s="40" t="inlineStr">
        <is>
          <t>Chọn mô hình theo vai trò, ngân sách ngày, chế độ cục bộ (không gửi tài liệu ra ngoài)</t>
        </is>
      </c>
      <c r="G5" s="40" t="inlineStr">
        <is>
          <t>Lần đầu tạo dự án; dự án nhạy cảm; đổi nhà cung cấp</t>
        </is>
      </c>
      <c r="H5" s="40" t="inlineStr">
        <is>
          <t>models.yaml mặc định tồn tại</t>
        </is>
      </c>
      <c r="I5" s="40" t="inlineStr">
        <is>
          <t>models.yaml hợp lệ; router kiểm được ứng viên; egress-guard bật/tắt theo cấu hình</t>
        </is>
      </c>
      <c r="J5" s="40" t="inlineStr">
        <is>
          <t>—</t>
        </is>
      </c>
      <c r="K5" s="40" t="inlineStr">
        <is>
          <t>K8 chính sách mô hình</t>
        </is>
      </c>
      <c r="L5" s="40" t="inlineStr">
        <is>
          <t>M</t>
        </is>
      </c>
      <c r="M5" s="40" t="inlineStr">
        <is>
          <t>M0</t>
        </is>
      </c>
      <c r="N5" s="40" t="inlineStr">
        <is>
          <t>FR-LLM-02, FR-AGT-04, FR-LLM-04</t>
        </is>
      </c>
      <c r="O5" s="40" t="inlineStr">
        <is>
          <t>UR-MH-01, UR-MH-02, UR-MH-03</t>
        </is>
      </c>
      <c r="P5" s="40" t="inlineStr">
        <is>
          <t>Mô hình &amp; chi phí</t>
        </is>
      </c>
      <c r="Q5" s="40" t="n">
        <v>4</v>
      </c>
      <c r="R5" s="40" t="n">
        <v>2</v>
      </c>
    </row>
    <row r="6" ht="34.5" customHeight="1" s="29">
      <c r="A6" s="40" t="inlineStr">
        <is>
          <t>UC-A05</t>
        </is>
      </c>
      <c r="B6" s="40" t="inlineStr">
        <is>
          <t>Nhập dự án mã nguồn có sẵn</t>
        </is>
      </c>
      <c r="C6" s="40" t="inlineStr">
        <is>
          <t>A. Dự án &amp; môi trường</t>
        </is>
      </c>
      <c r="D6" s="40" t="inlineStr">
        <is>
          <t>Kỹ sư</t>
        </is>
      </c>
      <c r="E6" s="40" t="inlineStr">
        <is>
          <t>Librarian, Coder</t>
        </is>
      </c>
      <c r="F6" s="40" t="inlineStr">
        <is>
          <t>EIDE hiểu repo hiện có: quy ước, cấu trúc, lệnh build, các hằng số phần cứng đang dùng</t>
        </is>
      </c>
      <c r="G6" s="40" t="inlineStr">
        <is>
          <t>Kỹ sư mở một repo có sẵn</t>
        </is>
      </c>
      <c r="H6" s="40" t="inlineStr">
        <is>
          <t>Repo có mã C/C++/Rust</t>
        </is>
      </c>
      <c r="I6" s="40" t="inlineStr">
        <is>
          <t>CONVENTIONS.md; CodeUnit với USES/CITES sơ bộ; danh sách hằng số chưa có nguồn</t>
        </is>
      </c>
      <c r="J6" s="40" t="inlineStr">
        <is>
          <t>—</t>
        </is>
      </c>
      <c r="K6" s="40" t="inlineStr">
        <is>
          <t>K6 quy ước; đồ thị USES</t>
        </is>
      </c>
      <c r="L6" s="40" t="inlineStr">
        <is>
          <t>S</t>
        </is>
      </c>
      <c r="M6" s="40" t="inlineStr">
        <is>
          <t>M2</t>
        </is>
      </c>
      <c r="N6" s="40" t="inlineStr">
        <is>
          <t>FR-PSP-05, FR-AGT-03</t>
        </is>
      </c>
      <c r="O6" s="40" t="inlineStr">
        <is>
          <t>UR-MA-04, UR-QT-04</t>
        </is>
      </c>
      <c r="P6" s="40" t="inlineStr">
        <is>
          <t>Mã nguồn</t>
        </is>
      </c>
      <c r="Q6" s="40" t="n">
        <v>4</v>
      </c>
      <c r="R6" s="40" t="n">
        <v>1</v>
      </c>
    </row>
    <row r="7" ht="34.5" customHeight="1" s="29">
      <c r="A7" s="40" t="inlineStr">
        <is>
          <t>UC-A06</t>
        </is>
      </c>
      <c r="B7" s="40" t="inlineStr">
        <is>
          <t>Tiếp tục phiên làm việc</t>
        </is>
      </c>
      <c r="C7" s="40" t="inlineStr">
        <is>
          <t>A. Dự án &amp; môi trường</t>
        </is>
      </c>
      <c r="D7" s="40" t="inlineStr">
        <is>
          <t>Kỹ sư</t>
        </is>
      </c>
      <c r="E7" s="40" t="inlineStr">
        <is>
          <t>Knowledge Plane</t>
        </is>
      </c>
      <c r="F7" s="40" t="inlineStr">
        <is>
          <t>Sau khi tắt máy/crash, mở lại dự án đúng trạng thái và biết việc tiếp theo</t>
        </is>
      </c>
      <c r="G7" s="40" t="inlineStr">
        <is>
          <t>Mở dự án</t>
        </is>
      </c>
      <c r="H7" s="40" t="inlineStr">
        <is>
          <t>.hkw/ tồn tại</t>
        </is>
      </c>
      <c r="I7" s="40" t="inlineStr">
        <is>
          <t>Trạng thái máy trạng thái, gate đang mở, FEATURES/PROGRESS được hiển thị; build known-good chạy lại</t>
        </is>
      </c>
      <c r="J7" s="40" t="inlineStr">
        <is>
          <t>—</t>
        </is>
      </c>
      <c r="K7" s="40" t="inlineStr">
        <is>
          <t>K7 (đọc)</t>
        </is>
      </c>
      <c r="L7" s="40" t="inlineStr">
        <is>
          <t>M</t>
        </is>
      </c>
      <c r="M7" s="40" t="inlineStr">
        <is>
          <t>M2</t>
        </is>
      </c>
      <c r="N7" s="40" t="inlineStr">
        <is>
          <t>FR-GOV-03, NFR-04</t>
        </is>
      </c>
      <c r="O7" s="40" t="inlineStr">
        <is>
          <t>UR-QT-03</t>
        </is>
      </c>
      <c r="P7" s="40" t="inlineStr">
        <is>
          <t>Tổng quan</t>
        </is>
      </c>
      <c r="Q7" s="40" t="n">
        <v>4</v>
      </c>
      <c r="R7" s="40" t="n">
        <v>2</v>
      </c>
    </row>
    <row r="8" ht="68.25" customHeight="1" s="29">
      <c r="A8" s="40" t="inlineStr">
        <is>
          <t>UC-B01</t>
        </is>
      </c>
      <c r="B8" s="40" t="inlineStr">
        <is>
          <t>Nhập gói tài liệu hỗn hợp (zip có mạch, ảnh, PDF, tệp linh tinh)</t>
        </is>
      </c>
      <c r="C8" s="40" t="inlineStr">
        <is>
          <t>B. Nhận tri thức</t>
        </is>
      </c>
      <c r="D8" s="40" t="inlineStr">
        <is>
          <t>Kỹ sư</t>
        </is>
      </c>
      <c r="E8" s="40" t="inlineStr">
        <is>
          <t>Librarian, Knowledge Plane</t>
        </is>
      </c>
      <c r="F8" s="40" t="inlineStr">
        <is>
          <t>Mọi tệp trong gói được mở, phân loại theo nội dung, xếp đường đi theo tầng tin cậy; không tệp nào bị 'bịa' thành tri thức</t>
        </is>
      </c>
      <c r="G8" s="40" t="inlineStr">
        <is>
          <t>Kỹ sư kéo thả zip/thư mục vào EIDE hoặc eide ingest</t>
        </is>
      </c>
      <c r="H8" s="40" t="inlineStr">
        <is>
          <t>Dự án đã tạo</t>
        </is>
      </c>
      <c r="I8" s="40" t="inlineStr">
        <is>
          <t>Bảng phân loại; hàng đợi trích xuất; các AcquisitionRequest cho tệp cần duyệt</t>
        </is>
      </c>
      <c r="J8" s="40" t="inlineStr">
        <is>
          <t>G-SRC (ngầm định: tệp do người đưa vào = đã chọn nguồn); G-FACT cho tầng bạc</t>
        </is>
      </c>
      <c r="K8" s="40" t="inlineStr">
        <is>
          <t>Source (hash, kind, tier) cho từng tệp</t>
        </is>
      </c>
      <c r="L8" s="40" t="inlineStr">
        <is>
          <t>M</t>
        </is>
      </c>
      <c r="M8" s="40" t="inlineStr">
        <is>
          <t>M1</t>
        </is>
      </c>
      <c r="N8" s="40" t="inlineStr">
        <is>
          <t>FR-ACQ-01, FR-ACQ-05</t>
        </is>
      </c>
      <c r="O8" s="40" t="inlineStr">
        <is>
          <t>UR-TT-01</t>
        </is>
      </c>
      <c r="P8" s="40" t="inlineStr">
        <is>
          <t>Nhập tài liệu</t>
        </is>
      </c>
      <c r="Q8" s="40" t="n">
        <v>7</v>
      </c>
      <c r="R8" s="40" t="n">
        <v>4</v>
      </c>
    </row>
    <row r="9" ht="34.5" customHeight="1" s="29">
      <c r="A9" s="40" t="inlineStr">
        <is>
          <t>UC-B02</t>
        </is>
      </c>
      <c r="B9" s="40" t="inlineStr">
        <is>
          <t>Suy ra chip / linh kiện từ tài liệu và ảnh</t>
        </is>
      </c>
      <c r="C9" s="40" t="inlineStr">
        <is>
          <t>B. Nhận tri thức</t>
        </is>
      </c>
      <c r="D9" s="40" t="inlineStr">
        <is>
          <t>Librarian</t>
        </is>
      </c>
      <c r="E9" s="40" t="inlineStr">
        <is>
          <t>Cartographer, Kỹ sư</t>
        </is>
      </c>
      <c r="F9" s="40" t="inlineStr">
        <is>
          <t>Từ tên tệp, nội dung PDF, ảnh board/schematic, xác định MCU và các linh kiện chính để biết cần hộ chiếu nào</t>
        </is>
      </c>
      <c r="G9" s="40" t="inlineStr">
        <is>
          <t>Sau UC-B01 khi dự án chưa khai báo chip, hoặc gói có linh kiện mới</t>
        </is>
      </c>
      <c r="H9" s="40" t="inlineStr">
        <is>
          <t>Bảng phân loại</t>
        </is>
      </c>
      <c r="I9" s="40" t="inlineStr">
        <is>
          <t>Danh sách 'chip/linh kiện phát hiện' với mức tin cậy; người xác nhận; tạo yêu cầu hộ chiếu cho từng cái</t>
        </is>
      </c>
      <c r="J9" s="40" t="inlineStr">
        <is>
          <t>G-FACT</t>
        </is>
      </c>
      <c r="K9" s="40" t="inlineStr">
        <is>
          <t>Đề xuất K2/K4 (đồng → chờ)</t>
        </is>
      </c>
      <c r="L9" s="40" t="inlineStr">
        <is>
          <t>M</t>
        </is>
      </c>
      <c r="M9" s="40" t="inlineStr">
        <is>
          <t>M1</t>
        </is>
      </c>
      <c r="N9" s="40" t="inlineStr">
        <is>
          <t>FR-ACQ-04, FR-BRD-02</t>
        </is>
      </c>
      <c r="O9" s="40" t="inlineStr">
        <is>
          <t>UR-MC-02, UR-TT-02</t>
        </is>
      </c>
      <c r="P9" s="40" t="inlineStr">
        <is>
          <t>Nhập tài liệu / Hàng đợi xác nhận</t>
        </is>
      </c>
      <c r="Q9" s="40" t="n">
        <v>5</v>
      </c>
      <c r="R9" s="40" t="n">
        <v>1</v>
      </c>
    </row>
    <row r="10" ht="34.5" customHeight="1" s="29">
      <c r="A10" s="40" t="inlineStr">
        <is>
          <t>UC-B03</t>
        </is>
      </c>
      <c r="B10" s="40" t="inlineStr">
        <is>
          <t>Nhập nguồn cấu trúc chính hãng (SVD / ATDF / EDC / header)</t>
        </is>
      </c>
      <c r="C10" s="40" t="inlineStr">
        <is>
          <t>B. Nhận tri thức</t>
        </is>
      </c>
      <c r="D10" s="40" t="inlineStr">
        <is>
          <t>Knowledge Plane</t>
        </is>
      </c>
      <c r="E10" s="40" t="inlineStr">
        <is>
          <t>Kỹ sư</t>
        </is>
      </c>
      <c r="F10" s="40" t="inlineStr">
        <is>
          <t>Bản đồ thanh ghi tầng vàng vào Passport Store bằng parser xác định, không cần duyệt từng fact</t>
        </is>
      </c>
      <c r="G10" s="40" t="inlineStr">
        <is>
          <t>Tệp vàng trong UC-B01; pull registry; khai báo chip</t>
        </is>
      </c>
      <c r="H10" s="40" t="inlineStr">
        <is>
          <t>Tệp hợp lệ</t>
        </is>
      </c>
      <c r="I10" s="40" t="inlineStr">
        <is>
          <t>ChipPassport &lt;ns.part@ver&gt; với fact reviewed; ledger; nếu đã có phiên bản khác → báo diff</t>
        </is>
      </c>
      <c r="J10" s="40" t="inlineStr">
        <is>
          <t>G-SRC (chọn phiên bản) khi có nhiều bản</t>
        </is>
      </c>
      <c r="K10" s="40" t="inlineStr">
        <is>
          <t>K2 lõi</t>
        </is>
      </c>
      <c r="L10" s="40" t="inlineStr">
        <is>
          <t>M</t>
        </is>
      </c>
      <c r="M10" s="40" t="inlineStr">
        <is>
          <t>M0</t>
        </is>
      </c>
      <c r="N10" s="40" t="inlineStr">
        <is>
          <t>FR-ACQ-02, FR-PSP-01, FR-PSP-02</t>
        </is>
      </c>
      <c r="O10" s="40" t="inlineStr">
        <is>
          <t>UR-TT-02, UR-TT-03</t>
        </is>
      </c>
      <c r="P10" s="40" t="inlineStr">
        <is>
          <t>Hộ chiếu chip</t>
        </is>
      </c>
      <c r="Q10" s="40" t="n">
        <v>5</v>
      </c>
      <c r="R10" s="40" t="n">
        <v>2</v>
      </c>
    </row>
    <row r="11" ht="34.5" customHeight="1" s="29">
      <c r="A11" s="40" t="inlineStr">
        <is>
          <t>UC-B04</t>
        </is>
      </c>
      <c r="B11" s="40" t="inlineStr">
        <is>
          <t>Trích xuất tri thức từ PDF (datasheet, reference manual, errata)</t>
        </is>
      </c>
      <c r="C11" s="40" t="inlineStr">
        <is>
          <t>B. Nhận tri thức</t>
        </is>
      </c>
      <c r="D11" s="40" t="inlineStr">
        <is>
          <t>Librarian</t>
        </is>
      </c>
      <c r="E11" s="40" t="inlineStr">
        <is>
          <t>Kỹ sư</t>
        </is>
      </c>
      <c r="F11" s="40" t="inlineStr">
        <is>
          <t>Bảng thanh ghi, thông số điện, timing, errata trở thành fact tầng bạc có trang/bbox/ảnh cắt, chờ duyệt</t>
        </is>
      </c>
      <c r="G11" s="40" t="inlineStr">
        <is>
          <t>Tệp PDF trong hàng đợi CONFIRMED</t>
        </is>
      </c>
      <c r="H11" s="40" t="inlineStr">
        <is>
          <t>PDF trích được văn bản (không phải ảnh scan) hoặc có OCR</t>
        </is>
      </c>
      <c r="I11" s="40" t="inlineStr">
        <is>
          <t>Fact NORMALIZED theo nhóm; ảnh cắt trong cache; AcquisitionRequest → EXTRACTED</t>
        </is>
      </c>
      <c r="J11" s="40" t="inlineStr">
        <is>
          <t>G-FACT (sau đó)</t>
        </is>
      </c>
      <c r="K11" s="40" t="inlineStr">
        <is>
          <t>K2′ (chip) hoặc K4 (ngoại vi ngoài)</t>
        </is>
      </c>
      <c r="L11" s="40" t="inlineStr">
        <is>
          <t>M</t>
        </is>
      </c>
      <c r="M11" s="40" t="inlineStr">
        <is>
          <t>M1</t>
        </is>
      </c>
      <c r="N11" s="40" t="inlineStr">
        <is>
          <t>FR-ACQ-03, FR-ACQ-07</t>
        </is>
      </c>
      <c r="O11" s="40" t="inlineStr">
        <is>
          <t>UR-TT-01, UR-TT-05</t>
        </is>
      </c>
      <c r="P11" s="40" t="inlineStr">
        <is>
          <t>Hàng đợi xác nhận</t>
        </is>
      </c>
      <c r="Q11" s="40" t="n">
        <v>5</v>
      </c>
      <c r="R11" s="40" t="n">
        <v>3</v>
      </c>
    </row>
    <row r="12" ht="23.25" customHeight="1" s="29">
      <c r="A12" s="40" t="inlineStr">
        <is>
          <t>UC-B05</t>
        </is>
      </c>
      <c r="B12" s="40" t="inlineStr">
        <is>
          <t>Trích xuất từ ảnh (schematic chụp, ảnh board, ảnh màn hình đo)</t>
        </is>
      </c>
      <c r="C12" s="40" t="inlineStr">
        <is>
          <t>B. Nhận tri thức</t>
        </is>
      </c>
      <c r="D12" s="40" t="inlineStr">
        <is>
          <t>Cartographer</t>
        </is>
      </c>
      <c r="E12" s="40" t="inlineStr">
        <is>
          <t>Kỹ sư</t>
        </is>
      </c>
      <c r="F12" s="40" t="inlineStr">
        <is>
          <t>Ảnh trở thành đề xuất có cấu trúc (net, linh kiện, giá trị) để người xác nhận</t>
        </is>
      </c>
      <c r="G12" s="40" t="inlineStr">
        <is>
          <t>Ảnh trong hàng đợi</t>
        </is>
      </c>
      <c r="H12" s="40" t="inlineStr">
        <is>
          <t>Mô hình thị giác khả dụng (đám mây hoặc cục bộ)</t>
        </is>
      </c>
      <c r="I12" s="40" t="inlineStr">
        <is>
          <t>Đề xuất tầng bạc/đồng chờ duyệt; không bao giờ tự thành fact</t>
        </is>
      </c>
      <c r="J12" s="40" t="inlineStr">
        <is>
          <t>G-FACT</t>
        </is>
      </c>
      <c r="K12" s="40" t="inlineStr">
        <is>
          <t>K3 (mạch) đề xuất</t>
        </is>
      </c>
      <c r="L12" s="40" t="inlineStr">
        <is>
          <t>S</t>
        </is>
      </c>
      <c r="M12" s="40" t="inlineStr">
        <is>
          <t>M2</t>
        </is>
      </c>
      <c r="N12" s="40" t="inlineStr">
        <is>
          <t>FR-ACQ-04, FR-BRD-02</t>
        </is>
      </c>
      <c r="O12" s="40" t="inlineStr">
        <is>
          <t>UR-MC-02</t>
        </is>
      </c>
      <c r="P12" s="40" t="inlineStr">
        <is>
          <t>Hàng đợi xác nhận</t>
        </is>
      </c>
      <c r="Q12" s="40" t="n">
        <v>4</v>
      </c>
      <c r="R12" s="40" t="n">
        <v>1</v>
      </c>
    </row>
    <row r="13" ht="34.5" customHeight="1" s="29">
      <c r="A13" s="40" t="inlineStr">
        <is>
          <t>UC-B06</t>
        </is>
      </c>
      <c r="B13" s="40" t="inlineStr">
        <is>
          <t>Nhập schematic KiCad và dựng hộ chiếu mạch</t>
        </is>
      </c>
      <c r="C13" s="40" t="inlineStr">
        <is>
          <t>B. Nhận tri thức</t>
        </is>
      </c>
      <c r="D13" s="40" t="inlineStr">
        <is>
          <t>Cartographer</t>
        </is>
      </c>
      <c r="E13" s="40" t="inlineStr">
        <is>
          <t>Kỹ sư</t>
        </is>
      </c>
      <c r="F13" s="40" t="inlineStr">
        <is>
          <t>BoardPassport có net, chân, linh kiện, bus, địa chỉ suy ra; ràng buộc điện; xung đột được phát hiện</t>
        </is>
      </c>
      <c r="G13" s="40" t="inlineStr">
        <is>
          <t>.kicad_sch trong gói</t>
        </is>
      </c>
      <c r="H13" s="40" t="inlineStr">
        <is>
          <t>kicad-cli có trên máy (UC-A03)</t>
        </is>
      </c>
      <c r="I13" s="40" t="inlineStr">
        <is>
          <t>BoardPassport NORMALIZED chờ duyệt; kg.conflicts chạy; constraints cho Coder</t>
        </is>
      </c>
      <c r="J13" s="40" t="inlineStr">
        <is>
          <t>G-FACT</t>
        </is>
      </c>
      <c r="K13" s="40" t="inlineStr">
        <is>
          <t>K3</t>
        </is>
      </c>
      <c r="L13" s="40" t="inlineStr">
        <is>
          <t>M</t>
        </is>
      </c>
      <c r="M13" s="40" t="inlineStr">
        <is>
          <t>M2</t>
        </is>
      </c>
      <c r="N13" s="40" t="inlineStr">
        <is>
          <t>FR-BRD-01, FR-BRD-03, FR-BRD-04</t>
        </is>
      </c>
      <c r="O13" s="40" t="inlineStr">
        <is>
          <t>UR-MC-01, UR-MC-03, UR-MC-04</t>
        </is>
      </c>
      <c r="P13" s="40" t="inlineStr">
        <is>
          <t>Hộ chiếu mạch</t>
        </is>
      </c>
      <c r="Q13" s="40" t="n">
        <v>5</v>
      </c>
      <c r="R13" s="40" t="n">
        <v>2</v>
      </c>
    </row>
    <row r="14" ht="45.75" customHeight="1" s="29">
      <c r="A14" s="40" t="inlineStr">
        <is>
          <t>UC-B07</t>
        </is>
      </c>
      <c r="B14" s="40" t="inlineStr">
        <is>
          <t>Phát hiện thiếu tri thức và tạo yêu cầu nhận tri thức</t>
        </is>
      </c>
      <c r="C14" s="40" t="inlineStr">
        <is>
          <t>B. Nhận tri thức</t>
        </is>
      </c>
      <c r="D14" s="40" t="inlineStr">
        <is>
          <t>Librarian / Planner</t>
        </is>
      </c>
      <c r="E14" s="40" t="inlineStr">
        <is>
          <t>Knowledge Plane</t>
        </is>
      </c>
      <c r="F14" s="40" t="inlineStr">
        <is>
          <t>Mọi 'thiếu' đều thành một yêu cầu có thể theo dõi, thay vì tác tử đoán</t>
        </is>
      </c>
      <c r="G14" s="40" t="inlineStr">
        <is>
          <t>passport.query không khớp; Planner tự đánh giá thiếu; constant-guard chặn; UC-B02 phát hiện linh kiện mới; người tạo tay</t>
        </is>
      </c>
      <c r="H14" s="40" t="inlineStr">
        <is>
          <t>—</t>
        </is>
      </c>
      <c r="I14" s="40" t="inlineStr">
        <is>
          <t>AcquisitionRequest REQUESTED với need/part/peripheral; xuất hiện trong hàng đợi</t>
        </is>
      </c>
      <c r="J14" s="40" t="inlineStr">
        <is>
          <t>—</t>
        </is>
      </c>
      <c r="K14" s="40" t="inlineStr">
        <is>
          <t>Yêu cầu (K6)</t>
        </is>
      </c>
      <c r="L14" s="40" t="inlineStr">
        <is>
          <t>M</t>
        </is>
      </c>
      <c r="M14" s="40" t="inlineStr">
        <is>
          <t>M1</t>
        </is>
      </c>
      <c r="N14" s="40" t="inlineStr">
        <is>
          <t>FR-ACQ-05</t>
        </is>
      </c>
      <c r="O14" s="40" t="inlineStr">
        <is>
          <t>UR-TT-04, UR-TT-02</t>
        </is>
      </c>
      <c r="P14" s="40" t="inlineStr">
        <is>
          <t>Hàng đợi xác nhận / Trò chuyện</t>
        </is>
      </c>
      <c r="Q14" s="40" t="n">
        <v>4</v>
      </c>
      <c r="R14" s="40" t="n">
        <v>1</v>
      </c>
    </row>
    <row r="15" ht="34.5" customHeight="1" s="29">
      <c r="A15" s="40" t="inlineStr">
        <is>
          <t>UC-B08</t>
        </is>
      </c>
      <c r="B15" s="40" t="inlineStr">
        <is>
          <t>Tìm nguồn tri thức (registry → kho hãng → docs MCP → web)</t>
        </is>
      </c>
      <c r="C15" s="40" t="inlineStr">
        <is>
          <t>B. Nhận tri thức</t>
        </is>
      </c>
      <c r="D15" s="40" t="inlineStr">
        <is>
          <t>Librarian</t>
        </is>
      </c>
      <c r="E15" s="40" t="inlineStr">
        <is>
          <t>Nguồn ngoài, Kỹ sư</t>
        </is>
      </c>
      <c r="F15" s="40" t="inlineStr">
        <is>
          <t>Đưa ra danh sách ứng viên nguồn có đủ thông tin để người quyết định, KHÔNG tải và KHÔNG trích xuất trước khi được chọn</t>
        </is>
      </c>
      <c r="G15" s="40" t="inlineStr">
        <is>
          <t>Yêu cầu ở REQUESTED và người chọn 'tìm tự động'</t>
        </is>
      </c>
      <c r="H15" s="40" t="inlineStr">
        <is>
          <t>Chế độ online (hoặc registry nội bộ trong offline)</t>
        </is>
      </c>
      <c r="I15" s="40" t="inlineStr">
        <is>
          <t>Yêu cầu → CANDIDATES với ứng viên {uri, kind, size, license?, hash?, ngày}</t>
        </is>
      </c>
      <c r="J15" s="40" t="inlineStr">
        <is>
          <t>G-SRC (bước tiếp)</t>
        </is>
      </c>
      <c r="K15" s="40" t="inlineStr">
        <is>
          <t>Candidate (chưa phải fact)</t>
        </is>
      </c>
      <c r="L15" s="40" t="inlineStr">
        <is>
          <t>M</t>
        </is>
      </c>
      <c r="M15" s="40" t="inlineStr">
        <is>
          <t>M1</t>
        </is>
      </c>
      <c r="N15" s="40" t="inlineStr">
        <is>
          <t>FR-ACQ-06, FR-ACQ-09</t>
        </is>
      </c>
      <c r="O15" s="40" t="inlineStr">
        <is>
          <t>UR-TT-04</t>
        </is>
      </c>
      <c r="P15" s="40" t="inlineStr">
        <is>
          <t>Hàng đợi xác nhận</t>
        </is>
      </c>
      <c r="Q15" s="40" t="n">
        <v>5</v>
      </c>
      <c r="R15" s="40" t="n">
        <v>3</v>
      </c>
    </row>
    <row r="16" ht="34.5" customHeight="1" s="29">
      <c r="A16" s="40" t="inlineStr">
        <is>
          <t>UC-B09</t>
        </is>
      </c>
      <c r="B16" s="40" t="inlineStr">
        <is>
          <t>Xác nhận nguồn (G-SRC): xem thông tin, chọn, tải</t>
        </is>
      </c>
      <c r="C16" s="40" t="inlineStr">
        <is>
          <t>B. Nhận tri thức</t>
        </is>
      </c>
      <c r="D16" s="40" t="inlineStr">
        <is>
          <t>Người phê duyệt</t>
        </is>
      </c>
      <c r="E16" s="40" t="inlineStr">
        <is>
          <t>Librarian, Knowledge Plane</t>
        </is>
      </c>
      <c r="F16" s="40" t="inlineStr">
        <is>
          <t>Chỉ nguồn được người chọn mới được tải và trích xuất; quyết định có nhật ký</t>
        </is>
      </c>
      <c r="G16" s="40" t="inlineStr">
        <is>
          <t>Yêu cầu ở CANDIDATES</t>
        </is>
      </c>
      <c r="H16" s="40" t="inlineStr">
        <is>
          <t>Danh sách ứng viên</t>
        </is>
      </c>
      <c r="I16" s="40" t="inlineStr">
        <is>
          <t>Yêu cầu → CONFIRMED; tệp tải về cache với hash; Source được tạo; ledger ghi ai/khi/lý do</t>
        </is>
      </c>
      <c r="J16" s="40" t="inlineStr">
        <is>
          <t>G-SRC</t>
        </is>
      </c>
      <c r="K16" s="40" t="inlineStr">
        <is>
          <t>Source</t>
        </is>
      </c>
      <c r="L16" s="40" t="inlineStr">
        <is>
          <t>M</t>
        </is>
      </c>
      <c r="M16" s="40" t="inlineStr">
        <is>
          <t>M1</t>
        </is>
      </c>
      <c r="N16" s="40" t="inlineStr">
        <is>
          <t>FR-ACQ-05, FR-ACQ-06</t>
        </is>
      </c>
      <c r="O16" s="40" t="inlineStr">
        <is>
          <t>UR-TT-04</t>
        </is>
      </c>
      <c r="P16" s="40" t="inlineStr">
        <is>
          <t>Hàng đợi xác nhận</t>
        </is>
      </c>
      <c r="Q16" s="40" t="n">
        <v>6</v>
      </c>
      <c r="R16" s="40" t="n">
        <v>2</v>
      </c>
    </row>
    <row r="17" ht="34.5" customHeight="1" s="29">
      <c r="A17" s="40" t="inlineStr">
        <is>
          <t>UC-B10</t>
        </is>
      </c>
      <c r="B17" s="40" t="inlineStr">
        <is>
          <t>Duyệt fact (G-FACT) theo nhóm với ảnh cắt</t>
        </is>
      </c>
      <c r="C17" s="40" t="inlineStr">
        <is>
          <t>B. Nhận tri thức</t>
        </is>
      </c>
      <c r="D17" s="40" t="inlineStr">
        <is>
          <t>Người phê duyệt</t>
        </is>
      </c>
      <c r="E17" s="40" t="inlineStr">
        <is>
          <t>Knowledge Plane</t>
        </is>
      </c>
      <c r="F17" s="40" t="inlineStr">
        <is>
          <t>Fact tầng bạc được người kiểm với bằng chứng trực quan, theo nhóm để nhanh, vào đồ thị tri thức của dự án</t>
        </is>
      </c>
      <c r="G17" s="40" t="inlineStr">
        <is>
          <t>Yêu cầu ở NORMALIZED</t>
        </is>
      </c>
      <c r="H17" s="40" t="inlineStr">
        <is>
          <t>Fact có locator/ảnh cắt</t>
        </is>
      </c>
      <c r="I17" s="40" t="inlineStr">
        <is>
          <t>Fact → reviewed (confirmed_by/at); yêu cầu → REVIEWED; đồ thị cập nhật; kg.impact nếu thay fact cũ</t>
        </is>
      </c>
      <c r="J17" s="40" t="inlineStr">
        <is>
          <t>G-FACT</t>
        </is>
      </c>
      <c r="K17" s="40" t="inlineStr">
        <is>
          <t>K2′/K3/K4 reviewed</t>
        </is>
      </c>
      <c r="L17" s="40" t="inlineStr">
        <is>
          <t>M</t>
        </is>
      </c>
      <c r="M17" s="40" t="inlineStr">
        <is>
          <t>M1</t>
        </is>
      </c>
      <c r="N17" s="40" t="inlineStr">
        <is>
          <t>FR-ACQ-08, FR-PSP-05</t>
        </is>
      </c>
      <c r="O17" s="40" t="inlineStr">
        <is>
          <t>UR-TT-05, UR-TT-06</t>
        </is>
      </c>
      <c r="P17" s="40" t="inlineStr">
        <is>
          <t>Hàng đợi xác nhận</t>
        </is>
      </c>
      <c r="Q17" s="40" t="n">
        <v>5</v>
      </c>
      <c r="R17" s="40" t="n">
        <v>2</v>
      </c>
    </row>
    <row r="18" ht="34.5" customHeight="1" s="29">
      <c r="A18" s="40" t="inlineStr">
        <is>
          <t>UC-B11</t>
        </is>
      </c>
      <c r="B18" s="40" t="inlineStr">
        <is>
          <t>Giải quyết mâu thuẫn giữa các nguồn</t>
        </is>
      </c>
      <c r="C18" s="40" t="inlineStr">
        <is>
          <t>B. Nhận tri thức</t>
        </is>
      </c>
      <c r="D18" s="40" t="inlineStr">
        <is>
          <t>Người phê duyệt</t>
        </is>
      </c>
      <c r="E18" s="40" t="inlineStr">
        <is>
          <t>Librarian</t>
        </is>
      </c>
      <c r="F18" s="40" t="inlineStr">
        <is>
          <t>Không tồn tại hai giá trị 'hiện hành' cho cùng subject/predicate mà không ai quyết</t>
        </is>
      </c>
      <c r="G18" s="40" t="inlineStr">
        <is>
          <t>conflict table có mục chưa giải quyết</t>
        </is>
      </c>
      <c r="H18" s="40" t="inlineStr">
        <is>
          <t>Hai fact cùng tier khác giá trị</t>
        </is>
      </c>
      <c r="I18" s="40" t="inlineStr">
        <is>
          <t>Một fact hiện hành, fact kia superseded hoặc cả hai 'đúng theo điều kiện' (ghi chú); ledger</t>
        </is>
      </c>
      <c r="J18" s="40" t="inlineStr">
        <is>
          <t>G-FACT</t>
        </is>
      </c>
      <c r="K18" s="40" t="inlineStr">
        <is>
          <t>Quyết định + lý do</t>
        </is>
      </c>
      <c r="L18" s="40" t="inlineStr">
        <is>
          <t>M</t>
        </is>
      </c>
      <c r="M18" s="40" t="inlineStr">
        <is>
          <t>M1</t>
        </is>
      </c>
      <c r="N18" s="40" t="inlineStr">
        <is>
          <t>FR-ACQ-07</t>
        </is>
      </c>
      <c r="O18" s="40" t="inlineStr">
        <is>
          <t>UR-TT-03</t>
        </is>
      </c>
      <c r="P18" s="40" t="inlineStr">
        <is>
          <t>Hàng đợi xác nhận / Hộ chiếu chip</t>
        </is>
      </c>
      <c r="Q18" s="40" t="n">
        <v>4</v>
      </c>
      <c r="R18" s="40" t="n">
        <v>1</v>
      </c>
    </row>
    <row r="19" ht="34.5" customHeight="1" s="29">
      <c r="A19" s="40" t="inlineStr">
        <is>
          <t>UC-B12</t>
        </is>
      </c>
      <c r="B19" s="40" t="inlineStr">
        <is>
          <t>Kiểm định hộ chiếu trên board thật</t>
        </is>
      </c>
      <c r="C19" s="40" t="inlineStr">
        <is>
          <t>B. Nhận tri thức</t>
        </is>
      </c>
      <c r="D19" s="40" t="inlineStr">
        <is>
          <t>Tester</t>
        </is>
      </c>
      <c r="E19" s="40" t="inlineStr">
        <is>
          <t>Kỹ sư, Tool Layer</t>
        </is>
      </c>
      <c r="F19" s="40" t="inlineStr">
        <is>
          <t>Bằng chứng vật lý rằng hộ chiếu đúng với chip/mạch trước mặt; gắn huy hiệu</t>
        </is>
      </c>
      <c r="G19" s="40" t="inlineStr">
        <is>
          <t>Người bấm 'Kiểm định trên board'; sau UC-B10; trước phát hành</t>
        </is>
      </c>
      <c r="H19" s="40" t="inlineStr">
        <is>
          <t>Board nối máy (probe hoặc bootloader/serial); toolchain đã khóa</t>
        </is>
      </c>
      <c r="I19" s="40" t="inlineStr">
        <is>
          <t>Badge verified_on_board {board, date, by, log hash}; fact liên quan → verified</t>
        </is>
      </c>
      <c r="J19" s="40" t="inlineStr">
        <is>
          <t>G-OPS (nạp)</t>
        </is>
      </c>
      <c r="K19" s="40" t="inlineStr">
        <is>
          <t>K7 (Measurement), badge</t>
        </is>
      </c>
      <c r="L19" s="40" t="inlineStr">
        <is>
          <t>M</t>
        </is>
      </c>
      <c r="M19" s="40" t="inlineStr">
        <is>
          <t>M1</t>
        </is>
      </c>
      <c r="N19" s="40" t="inlineStr">
        <is>
          <t>FR-BEN-02, FR-VER-02</t>
        </is>
      </c>
      <c r="O19" s="40" t="inlineStr">
        <is>
          <t>UR-TT-06</t>
        </is>
      </c>
      <c r="P19" s="40" t="inlineStr">
        <is>
          <t>Hộ chiếu chip / Gỡ lỗi probe</t>
        </is>
      </c>
      <c r="Q19" s="40" t="n">
        <v>6</v>
      </c>
      <c r="R19" s="40" t="n">
        <v>2</v>
      </c>
    </row>
    <row r="20" ht="34.5" customHeight="1" s="29">
      <c r="A20" s="40" t="inlineStr">
        <is>
          <t>UC-B13</t>
        </is>
      </c>
      <c r="B20" s="40" t="inlineStr">
        <is>
          <t>Cập nhật phiên bản tri thức (SVD/datasheet mới) và phân tích ảnh hưởng</t>
        </is>
      </c>
      <c r="C20" s="40" t="inlineStr">
        <is>
          <t>B. Nhận tri thức</t>
        </is>
      </c>
      <c r="D20" s="40" t="inlineStr">
        <is>
          <t>Kỹ sư</t>
        </is>
      </c>
      <c r="E20" s="40" t="inlineStr">
        <is>
          <t>Knowledge Plane, Librarian</t>
        </is>
      </c>
      <c r="F20" s="40" t="inlineStr">
        <is>
          <t>Nâng phiên bản lõi/overlay có kiểm soát: biết fact nào đổi, mã nào bị ảnh hưởng, tính năng nào phải kiểm lại</t>
        </is>
      </c>
      <c r="G20" s="40" t="inlineStr">
        <is>
          <t>Registry/hãng có phiên bản mới; người nhập tệp mới</t>
        </is>
      </c>
      <c r="H20" s="40" t="inlineStr">
        <is>
          <t>Hộ chiếu phiên bản cũ đang ghim</t>
        </is>
      </c>
      <c r="I20" s="40" t="inlineStr">
        <is>
          <t>Hộ chiếu phiên bản mới nhập; báo cáo diff; quyết định ghim; backlog kiểm lại</t>
        </is>
      </c>
      <c r="J20" s="40" t="inlineStr">
        <is>
          <t>G1 (quyết định nâng)</t>
        </is>
      </c>
      <c r="K20" s="40" t="inlineStr">
        <is>
          <t>K2 phiên bản mới; stale list</t>
        </is>
      </c>
      <c r="L20" s="40" t="inlineStr">
        <is>
          <t>M</t>
        </is>
      </c>
      <c r="M20" s="40" t="inlineStr">
        <is>
          <t>M2</t>
        </is>
      </c>
      <c r="N20" s="40" t="inlineStr">
        <is>
          <t>FR-PSP-02, FR-PSP-05</t>
        </is>
      </c>
      <c r="O20" s="40" t="inlineStr">
        <is>
          <t>UR-TT-08</t>
        </is>
      </c>
      <c r="P20" s="40" t="inlineStr">
        <is>
          <t>Hộ chiếu chip</t>
        </is>
      </c>
      <c r="Q20" s="40" t="n">
        <v>5</v>
      </c>
      <c r="R20" s="40" t="n">
        <v>1</v>
      </c>
    </row>
    <row r="21" ht="34.5" customHeight="1" s="29">
      <c r="A21" s="40" t="inlineStr">
        <is>
          <t>UC-B14</t>
        </is>
      </c>
      <c r="B21" s="40" t="inlineStr">
        <is>
          <t>Hỏi đáp tra cứu hộ chiếu (ngôn ngữ tự nhiên có trích dẫn)</t>
        </is>
      </c>
      <c r="C21" s="40" t="inlineStr">
        <is>
          <t>B. Nhận tri thức</t>
        </is>
      </c>
      <c r="D21" s="40" t="inlineStr">
        <is>
          <t>Kỹ sư</t>
        </is>
      </c>
      <c r="E21" s="40" t="inlineStr">
        <is>
          <t>Librarian, Knowledge Plane</t>
        </is>
      </c>
      <c r="F21" s="40" t="inlineStr">
        <is>
          <t>Trả lời câu hỏi về thanh ghi/chân/timing/điện kèm nguồn, tầng, trạng thái; nói 'không có' khi không có</t>
        </is>
      </c>
      <c r="G21" s="40" t="inlineStr">
        <is>
          <t>Người gõ câu hỏi ở thanh tìm hoặc chat</t>
        </is>
      </c>
      <c r="H21" s="40" t="inlineStr">
        <is>
          <t>Hộ chiếu tồn tại</t>
        </is>
      </c>
      <c r="I21" s="40" t="inlineStr">
        <is>
          <t>Câu trả lời + fact id + nguồn; nếu thiếu → UC-B07</t>
        </is>
      </c>
      <c r="J21" s="40" t="inlineStr">
        <is>
          <t>—</t>
        </is>
      </c>
      <c r="K21" s="40" t="inlineStr">
        <is>
          <t>—</t>
        </is>
      </c>
      <c r="L21" s="40" t="inlineStr">
        <is>
          <t>M</t>
        </is>
      </c>
      <c r="M21" s="40" t="inlineStr">
        <is>
          <t>M0</t>
        </is>
      </c>
      <c r="N21" s="40" t="inlineStr">
        <is>
          <t>FR-PSP-04, FR-PSP-06</t>
        </is>
      </c>
      <c r="O21" s="40" t="inlineStr">
        <is>
          <t>UR-TT-07</t>
        </is>
      </c>
      <c r="P21" s="40" t="inlineStr">
        <is>
          <t>Mọi màn hình (thanh tìm) / Trò chuyện</t>
        </is>
      </c>
      <c r="Q21" s="40" t="n">
        <v>4</v>
      </c>
      <c r="R21" s="40" t="n">
        <v>1</v>
      </c>
    </row>
    <row r="22" ht="23.25" customHeight="1" s="29">
      <c r="A22" s="40" t="inlineStr">
        <is>
          <t>UC-C01</t>
        </is>
      </c>
      <c r="B22" s="40" t="inlineStr">
        <is>
          <t>Kiểm xung đột tài nguyên trước khi sinh mã</t>
        </is>
      </c>
      <c r="C22" s="40" t="inlineStr">
        <is>
          <t>C. Mạch &amp; tài nguyên</t>
        </is>
      </c>
      <c r="D22" s="40" t="inlineStr">
        <is>
          <t>Knowledge Plane</t>
        </is>
      </c>
      <c r="E22" s="40" t="inlineStr">
        <is>
          <t>Planner, Kỹ sư</t>
        </is>
      </c>
      <c r="F22" s="40" t="inlineStr">
        <is>
          <t>Không có hai module dùng một chân/ngoại vi trái nhau; chân reserved không bị dùng</t>
        </is>
      </c>
      <c r="G22" s="40" t="inlineStr">
        <is>
          <t>Trước G1 và trước G3; khi BoardPassport thay đổi</t>
        </is>
      </c>
      <c r="H22" s="40" t="inlineStr">
        <is>
          <t>BoardPassport + đồ thị USES</t>
        </is>
      </c>
      <c r="I22" s="40" t="inlineStr">
        <is>
          <t>Danh sách xung đột với gợi ý; chặn G1/G3 nếu xung đột chưa giải quyết</t>
        </is>
      </c>
      <c r="J22" s="40" t="inlineStr">
        <is>
          <t>G1</t>
        </is>
      </c>
      <c r="K22" s="40" t="inlineStr">
        <is>
          <t>Cảnh báo</t>
        </is>
      </c>
      <c r="L22" s="40" t="inlineStr">
        <is>
          <t>M</t>
        </is>
      </c>
      <c r="M22" s="40" t="inlineStr">
        <is>
          <t>M2</t>
        </is>
      </c>
      <c r="N22" s="40" t="inlineStr">
        <is>
          <t>FR-BRD-03, FR-PSP-05</t>
        </is>
      </c>
      <c r="O22" s="40" t="inlineStr">
        <is>
          <t>UR-MC-03</t>
        </is>
      </c>
      <c r="P22" s="40" t="inlineStr">
        <is>
          <t>Hộ chiếu mạch / Kế hoạch</t>
        </is>
      </c>
      <c r="Q22" s="40" t="n">
        <v>4</v>
      </c>
      <c r="R22" s="40" t="n">
        <v>0</v>
      </c>
    </row>
    <row r="23" ht="34.5" customHeight="1" s="29">
      <c r="A23" s="40" t="inlineStr">
        <is>
          <t>UC-D01</t>
        </is>
      </c>
      <c r="B23" s="40" t="inlineStr">
        <is>
          <t>Mô tả tính năng và tạo STEP</t>
        </is>
      </c>
      <c r="C23" s="40" t="inlineStr">
        <is>
          <t>D. Kế hoạch &amp; sinh mã</t>
        </is>
      </c>
      <c r="D23" s="40" t="inlineStr">
        <is>
          <t>Kỹ sư</t>
        </is>
      </c>
      <c r="E23" s="40" t="inlineStr">
        <is>
          <t>Planner</t>
        </is>
      </c>
      <c r="F23" s="40" t="inlineStr">
        <is>
          <t>Ý định của người được ghi thành STEP.md/FEATURES.json để tác tử làm việc từng bước nhỏ</t>
        </is>
      </c>
      <c r="G23" s="40" t="inlineStr">
        <is>
          <t>Người mô tả trong chat hoặc bấm '+ Tính năng mới'</t>
        </is>
      </c>
      <c r="H23" s="40" t="inlineStr">
        <is>
          <t>Dự án có hộ chiếu chip (ít nhất lõi)</t>
        </is>
      </c>
      <c r="I23" s="40" t="inlineStr">
        <is>
          <t>Feature failing + STEP.md; ARCHITECTURE/PLAN cập nhật nếu cần</t>
        </is>
      </c>
      <c r="J23" s="40" t="inlineStr">
        <is>
          <t>—</t>
        </is>
      </c>
      <c r="K23" s="40" t="inlineStr">
        <is>
          <t>K6</t>
        </is>
      </c>
      <c r="L23" s="40" t="inlineStr">
        <is>
          <t>M</t>
        </is>
      </c>
      <c r="M23" s="40" t="inlineStr">
        <is>
          <t>M2</t>
        </is>
      </c>
      <c r="N23" s="40" t="inlineStr">
        <is>
          <t>FR-GOV-03</t>
        </is>
      </c>
      <c r="O23" s="40" t="inlineStr">
        <is>
          <t>UR-SM-05 (EAA-URD)</t>
        </is>
      </c>
      <c r="P23" s="40" t="inlineStr">
        <is>
          <t>Trò chuyện / Tổng quan</t>
        </is>
      </c>
      <c r="Q23" s="40" t="n">
        <v>3</v>
      </c>
      <c r="R23" s="40" t="n">
        <v>0</v>
      </c>
    </row>
    <row r="24" ht="23.25" customHeight="1" s="29">
      <c r="A24" s="40" t="inlineStr">
        <is>
          <t>UC-D02</t>
        </is>
      </c>
      <c r="B24" s="40" t="inlineStr">
        <is>
          <t>Lập kế hoạch có trích dẫn và duyệt G1</t>
        </is>
      </c>
      <c r="C24" s="40" t="inlineStr">
        <is>
          <t>D. Kế hoạch &amp; sinh mã</t>
        </is>
      </c>
      <c r="D24" s="40" t="inlineStr">
        <is>
          <t>Planner</t>
        </is>
      </c>
      <c r="E24" s="40" t="inlineStr">
        <is>
          <t>Người phê duyệt, Knowledge Plane</t>
        </is>
      </c>
      <c r="F24" s="40" t="inlineStr">
        <is>
          <t>Kế hoạch từng bước, mỗi bước có fact id; thiếu tri thức được phát hiện trước khi viết mã</t>
        </is>
      </c>
      <c r="G24" s="40" t="inlineStr">
        <is>
          <t>Feature failing được chọn</t>
        </is>
      </c>
      <c r="H24" s="40" t="inlineStr">
        <is>
          <t>Hộ chiếu chip+mạch; skill Pack</t>
        </is>
      </c>
      <c r="I24" s="40" t="inlineStr">
        <is>
          <t>Plan approved; Feature con; hoặc AcquisitionRequest nếu thiếu</t>
        </is>
      </c>
      <c r="J24" s="40" t="inlineStr">
        <is>
          <t>G1</t>
        </is>
      </c>
      <c r="K24" s="40" t="inlineStr">
        <is>
          <t>K6 (kế hoạch)</t>
        </is>
      </c>
      <c r="L24" s="40" t="inlineStr">
        <is>
          <t>M</t>
        </is>
      </c>
      <c r="M24" s="40" t="inlineStr">
        <is>
          <t>M2</t>
        </is>
      </c>
      <c r="N24" s="40" t="inlineStr">
        <is>
          <t>FR-AGT-01, FR-AGT-02, FR-PSP-06</t>
        </is>
      </c>
      <c r="O24" s="40" t="inlineStr">
        <is>
          <t>UR-MA-03</t>
        </is>
      </c>
      <c r="P24" s="40" t="inlineStr">
        <is>
          <t>Kế hoạch &amp; mã</t>
        </is>
      </c>
      <c r="Q24" s="40" t="n">
        <v>6</v>
      </c>
      <c r="R24" s="40" t="n">
        <v>1</v>
      </c>
    </row>
    <row r="25" ht="23.25" customHeight="1" s="29">
      <c r="A25" s="40" t="inlineStr">
        <is>
          <t>UC-D03</t>
        </is>
      </c>
      <c r="B25" s="40" t="inlineStr">
        <is>
          <t>Sinh mã với hằng số có nguồn (constant-guard)</t>
        </is>
      </c>
      <c r="C25" s="40" t="inlineStr">
        <is>
          <t>D. Kế hoạch &amp; sinh mã</t>
        </is>
      </c>
      <c r="D25" s="40" t="inlineStr">
        <is>
          <t>Coder</t>
        </is>
      </c>
      <c r="E25" s="40" t="inlineStr">
        <is>
          <t>Knowledge Plane, Tool Layer</t>
        </is>
      </c>
      <c r="F25" s="40" t="inlineStr">
        <is>
          <t>CodePatch mà mọi hằng số phần cứng trỏ fact id hợp lệ, qua 4 cổng công cụ, tự sửa ≤ 3 vòng</t>
        </is>
      </c>
      <c r="G25" s="40" t="inlineStr">
        <is>
          <t>Bước kế hoạch được chọn</t>
        </is>
      </c>
      <c r="H25" s="40" t="inlineStr">
        <is>
          <t>G1 approved</t>
        </is>
      </c>
      <c r="I25" s="40" t="inlineStr">
        <is>
          <t>CodePatch + 4 ToolReport đạt → chờ Reviewer; hoặc bàn giao người</t>
        </is>
      </c>
      <c r="J25" s="40" t="inlineStr">
        <is>
          <t>—</t>
        </is>
      </c>
      <c r="K25" s="40" t="inlineStr">
        <is>
          <t>CodeUnit CITES/USES</t>
        </is>
      </c>
      <c r="L25" s="40" t="inlineStr">
        <is>
          <t>M</t>
        </is>
      </c>
      <c r="M25" s="40" t="inlineStr">
        <is>
          <t>M2</t>
        </is>
      </c>
      <c r="N25" s="40" t="inlineStr">
        <is>
          <t>FR-AGT-03, FR-VER-01, FR-LLM-03</t>
        </is>
      </c>
      <c r="O25" s="40" t="inlineStr">
        <is>
          <t>UR-MA-02, UR-MA-04</t>
        </is>
      </c>
      <c r="P25" s="40" t="inlineStr">
        <is>
          <t>Mã nguồn</t>
        </is>
      </c>
      <c r="Q25" s="40" t="n">
        <v>5</v>
      </c>
      <c r="R25" s="40" t="n">
        <v>3</v>
      </c>
    </row>
    <row r="26" ht="23.25" customHeight="1" s="29">
      <c r="A26" s="40" t="inlineStr">
        <is>
          <t>UC-D04</t>
        </is>
      </c>
      <c r="B26" s="40" t="inlineStr">
        <is>
          <t>Review khác hãng và duyệt merge (G3)</t>
        </is>
      </c>
      <c r="C26" s="40" t="inlineStr">
        <is>
          <t>D. Kế hoạch &amp; sinh mã</t>
        </is>
      </c>
      <c r="D26" s="40" t="inlineStr">
        <is>
          <t>Người phê duyệt</t>
        </is>
      </c>
      <c r="E26" s="40" t="inlineStr">
        <is>
          <t>Reviewer, Knowledge Plane</t>
        </is>
      </c>
      <c r="F26" s="40" t="inlineStr">
        <is>
          <t>Mã chỉ vào nhánh chính khi có ý kiến độc lập và người duyệt với đầy đủ bằng chứng</t>
        </is>
      </c>
      <c r="G26" s="40" t="inlineStr">
        <is>
          <t>CodePatch qua 4 cổng</t>
        </is>
      </c>
      <c r="H26" s="40" t="inlineStr">
        <is>
          <t>Reviewer cấu hình khác hãng</t>
        </is>
      </c>
      <c r="I26" s="40" t="inlineStr">
        <is>
          <t>Merge với commit có fact ids/model/prompt hash; hoặc reject → sổ lỗi</t>
        </is>
      </c>
      <c r="J26" s="40" t="inlineStr">
        <is>
          <t>G3</t>
        </is>
      </c>
      <c r="K26" s="40" t="inlineStr">
        <is>
          <t>K7 (lý do reject)</t>
        </is>
      </c>
      <c r="L26" s="40" t="inlineStr">
        <is>
          <t>M</t>
        </is>
      </c>
      <c r="M26" s="40" t="inlineStr">
        <is>
          <t>M2</t>
        </is>
      </c>
      <c r="N26" s="40" t="inlineStr">
        <is>
          <t>FR-AGT-06, FR-AGT-07</t>
        </is>
      </c>
      <c r="O26" s="40" t="inlineStr">
        <is>
          <t>UR-MA-03</t>
        </is>
      </c>
      <c r="P26" s="40" t="inlineStr">
        <is>
          <t>Kế hoạch &amp; mã</t>
        </is>
      </c>
      <c r="Q26" s="40" t="n">
        <v>4</v>
      </c>
      <c r="R26" s="40" t="n">
        <v>1</v>
      </c>
    </row>
    <row r="27" ht="23.25" customHeight="1" s="29">
      <c r="A27" s="40" t="inlineStr">
        <is>
          <t>UC-D05</t>
        </is>
      </c>
      <c r="B27" s="40" t="inlineStr">
        <is>
          <t>Kỹ sư sửa mã tay và đối chiếu hộ chiếu</t>
        </is>
      </c>
      <c r="C27" s="40" t="inlineStr">
        <is>
          <t>D. Kế hoạch &amp; sinh mã</t>
        </is>
      </c>
      <c r="D27" s="40" t="inlineStr">
        <is>
          <t>Kỹ sư</t>
        </is>
      </c>
      <c r="E27" s="40" t="inlineStr">
        <is>
          <t>Knowledge Plane</t>
        </is>
      </c>
      <c r="F27" s="40" t="inlineStr">
        <is>
          <t>Mã do người viết cũng được kiểm hằng số và giữ truy vết</t>
        </is>
      </c>
      <c r="G27" s="40" t="inlineStr">
        <is>
          <t>Lưu tệp trong trình soạn thảo</t>
        </is>
      </c>
      <c r="H27" s="40" t="inlineStr">
        <is>
          <t>—</t>
        </is>
      </c>
      <c r="I27" s="40" t="inlineStr">
        <is>
          <t>Cảnh báo hằng số không nguồn; gợi ý fact; CodeUnit cập nhật</t>
        </is>
      </c>
      <c r="J27" s="40" t="inlineStr">
        <is>
          <t>—</t>
        </is>
      </c>
      <c r="K27" s="40" t="inlineStr">
        <is>
          <t>USES/CITES</t>
        </is>
      </c>
      <c r="L27" s="40" t="inlineStr">
        <is>
          <t>S</t>
        </is>
      </c>
      <c r="M27" s="40" t="inlineStr">
        <is>
          <t>M3</t>
        </is>
      </c>
      <c r="N27" s="40" t="inlineStr">
        <is>
          <t>FR-AGT-03, FR-UI-05</t>
        </is>
      </c>
      <c r="O27" s="40" t="inlineStr">
        <is>
          <t>UR-QS-04</t>
        </is>
      </c>
      <c r="P27" s="40" t="inlineStr">
        <is>
          <t>Mã nguồn</t>
        </is>
      </c>
      <c r="Q27" s="40" t="n">
        <v>3</v>
      </c>
      <c r="R27" s="40" t="n">
        <v>0</v>
      </c>
    </row>
    <row r="28" ht="23.25" customHeight="1" s="29">
      <c r="A28" s="40" t="inlineStr">
        <is>
          <t>UC-D06</t>
        </is>
      </c>
      <c r="B28" s="40" t="inlineStr">
        <is>
          <t>Hoàn tác về phiên bản known-good</t>
        </is>
      </c>
      <c r="C28" s="40" t="inlineStr">
        <is>
          <t>D. Kế hoạch &amp; sinh mã</t>
        </is>
      </c>
      <c r="D28" s="40" t="inlineStr">
        <is>
          <t>Kỹ sư</t>
        </is>
      </c>
      <c r="E28" s="40" t="inlineStr">
        <is>
          <t>Knowledge Plane, Tool Layer</t>
        </is>
      </c>
      <c r="F28" s="40" t="inlineStr">
        <is>
          <t>Một lệnh đưa dự án về trạng thái đã chứng minh chạy trên board</t>
        </is>
      </c>
      <c r="G28" s="40" t="inlineStr">
        <is>
          <t>Người bấm rollback</t>
        </is>
      </c>
      <c r="H28" s="40" t="inlineStr">
        <is>
          <t>Có tag known-good</t>
        </is>
      </c>
      <c r="I28" s="40" t="inlineStr">
        <is>
          <t>Mã và FEATURES về tag; build đạt; ledger</t>
        </is>
      </c>
      <c r="J28" s="40" t="inlineStr">
        <is>
          <t>—</t>
        </is>
      </c>
      <c r="K28" s="40" t="inlineStr">
        <is>
          <t>—</t>
        </is>
      </c>
      <c r="L28" s="40" t="inlineStr">
        <is>
          <t>M</t>
        </is>
      </c>
      <c r="M28" s="40" t="inlineStr">
        <is>
          <t>M2</t>
        </is>
      </c>
      <c r="N28" s="40" t="inlineStr">
        <is>
          <t>FR-GOV-02</t>
        </is>
      </c>
      <c r="O28" s="40" t="inlineStr">
        <is>
          <t>UR-QT-02</t>
        </is>
      </c>
      <c r="P28" s="40" t="inlineStr">
        <is>
          <t>Tổng quan</t>
        </is>
      </c>
      <c r="Q28" s="40" t="n">
        <v>3</v>
      </c>
      <c r="R28" s="40" t="n">
        <v>0</v>
      </c>
    </row>
    <row r="29" ht="57" customHeight="1" s="29">
      <c r="A29" s="40" t="inlineStr">
        <is>
          <t>UC-E01</t>
        </is>
      </c>
      <c r="B29" s="40" t="inlineStr">
        <is>
          <t>Tác tử dựng môi trường mô phỏng cho chip/mạch (SIL)</t>
        </is>
      </c>
      <c r="C29" s="40" t="inlineStr">
        <is>
          <t>E. Mô phỏng</t>
        </is>
      </c>
      <c r="D29" s="40" t="inlineStr">
        <is>
          <t>Tester</t>
        </is>
      </c>
      <c r="E29" s="40" t="inlineStr">
        <is>
          <t>Kỹ sư, Tool Layer, Knowledge Plane</t>
        </is>
      </c>
      <c r="F29" s="40" t="inlineStr">
        <is>
          <t>Có một nền tảng mô phỏng (Renode .repl / simavr / mô phỏng tự xây) khớp hộ chiếu chip và mạch để chạy firmware thật trước khi có board</t>
        </is>
      </c>
      <c r="G29" s="40" t="inlineStr">
        <is>
          <t>Sau khi có hộ chiếu chip (+ mạch); người bấm 'Tạo mô phỏng' hoặc Planner cần cổng SIL</t>
        </is>
      </c>
      <c r="H29" s="40" t="inlineStr">
        <is>
          <t>ISA profile có sim manifest; toolchain mô phỏng đã cài (UC-A03)</t>
        </is>
      </c>
      <c r="I29" s="40" t="inlineStr">
        <is>
          <t>Thư mục sim/ với mô tả nền tảng, mock ngoại vi, kịch bản khói; ToolReport sim đạt cho firmware 'hello'</t>
        </is>
      </c>
      <c r="J29" s="40" t="inlineStr">
        <is>
          <t>G-FACT cho tham số mô hình suy ra; G-OPS cho cài Renode/QEMU</t>
        </is>
      </c>
      <c r="K29" s="40" t="inlineStr">
        <is>
          <t>K5 (mô hình mô phỏng như skill của dự án), K7</t>
        </is>
      </c>
      <c r="L29" s="40" t="inlineStr">
        <is>
          <t>M</t>
        </is>
      </c>
      <c r="M29" s="40" t="inlineStr">
        <is>
          <t>M3</t>
        </is>
      </c>
      <c r="N29" s="40" t="inlineStr">
        <is>
          <t>FR-VER-04</t>
        </is>
      </c>
      <c r="O29" s="40" t="inlineStr">
        <is>
          <t>UR-XM-03</t>
        </is>
      </c>
      <c r="P29" s="40" t="inlineStr">
        <is>
          <t>Mô phỏng</t>
        </is>
      </c>
      <c r="Q29" s="40" t="n">
        <v>6</v>
      </c>
      <c r="R29" s="40" t="n">
        <v>3</v>
      </c>
    </row>
    <row r="30" ht="34.5" customHeight="1" s="29">
      <c r="A30" s="40" t="inlineStr">
        <is>
          <t>UC-E02</t>
        </is>
      </c>
      <c r="B30" s="40" t="inlineStr">
        <is>
          <t>Mô hình hóa đối tượng điều khiển (plant) và cảm biến</t>
        </is>
      </c>
      <c r="C30" s="40" t="inlineStr">
        <is>
          <t>E. Mô phỏng</t>
        </is>
      </c>
      <c r="D30" s="40" t="inlineStr">
        <is>
          <t>Tester</t>
        </is>
      </c>
      <c r="E30" s="40" t="inlineStr">
        <is>
          <t>Kỹ sư</t>
        </is>
      </c>
      <c r="F30" s="40" t="inlineStr">
        <is>
          <t>Mô hình động lực học (ví dụ robot 2 bánh) và mock cảm biến/động cơ để kiểm thuật toán (MIL/SIL)</t>
        </is>
      </c>
      <c r="G30" s="40" t="inlineStr">
        <is>
          <t>Tính năng điều khiển (PID, bộ lọc) cần kiểm</t>
        </is>
      </c>
      <c r="H30" s="40" t="inlineStr">
        <is>
          <t>UC-E01</t>
        </is>
      </c>
      <c r="I30" s="40" t="inlineStr">
        <is>
          <t>Mô hình plant có tham số nguồn; kịch bản kiểm; đối chiếu nghiệm giải tích</t>
        </is>
      </c>
      <c r="J30" s="40" t="inlineStr">
        <is>
          <t>G-FACT (tham số vật lý)</t>
        </is>
      </c>
      <c r="K30" s="40" t="inlineStr">
        <is>
          <t>K5/K6</t>
        </is>
      </c>
      <c r="L30" s="40" t="inlineStr">
        <is>
          <t>S</t>
        </is>
      </c>
      <c r="M30" s="40" t="inlineStr">
        <is>
          <t>M3</t>
        </is>
      </c>
      <c r="N30" s="40" t="inlineStr">
        <is>
          <t>FR-VER-04</t>
        </is>
      </c>
      <c r="O30" s="40" t="inlineStr">
        <is>
          <t>UR-XM-03</t>
        </is>
      </c>
      <c r="P30" s="40" t="inlineStr">
        <is>
          <t>Mô phỏng</t>
        </is>
      </c>
      <c r="Q30" s="40" t="n">
        <v>4</v>
      </c>
      <c r="R30" s="40" t="n">
        <v>0</v>
      </c>
    </row>
    <row r="31" ht="23.25" customHeight="1" s="29">
      <c r="A31" s="40" t="inlineStr">
        <is>
          <t>UC-E03</t>
        </is>
      </c>
      <c r="B31" s="40" t="inlineStr">
        <is>
          <t>Sinh và chạy kịch bản kiểm thử SIL</t>
        </is>
      </c>
      <c r="C31" s="40" t="inlineStr">
        <is>
          <t>E. Mô phỏng</t>
        </is>
      </c>
      <c r="D31" s="40" t="inlineStr">
        <is>
          <t>Tester</t>
        </is>
      </c>
      <c r="E31" s="40" t="inlineStr">
        <is>
          <t>Kỹ sư, Tool Layer</t>
        </is>
      </c>
      <c r="F31" s="40" t="inlineStr">
        <is>
          <t>Mỗi Feature có kịch bản kiểm chạy được trên mô phỏng với kỳ vọng định lượng</t>
        </is>
      </c>
      <c r="G31" s="40" t="inlineStr">
        <is>
          <t>Sau merge (G3) hoặc yêu cầu người</t>
        </is>
      </c>
      <c r="H31" s="40" t="inlineStr">
        <is>
          <t>sim/ sẵn sàng</t>
        </is>
      </c>
      <c r="I31" s="40" t="inlineStr">
        <is>
          <t>ToolReport(sim) + bằng chứng; chênh lệch → P3/P5</t>
        </is>
      </c>
      <c r="J31" s="40" t="inlineStr">
        <is>
          <t>—</t>
        </is>
      </c>
      <c r="K31" s="40" t="inlineStr">
        <is>
          <t>K7</t>
        </is>
      </c>
      <c r="L31" s="40" t="inlineStr">
        <is>
          <t>M</t>
        </is>
      </c>
      <c r="M31" s="40" t="inlineStr">
        <is>
          <t>M3</t>
        </is>
      </c>
      <c r="N31" s="40" t="inlineStr">
        <is>
          <t>FR-VER-04, FR-VER-05</t>
        </is>
      </c>
      <c r="O31" s="40" t="inlineStr">
        <is>
          <t>UR-XM-03</t>
        </is>
      </c>
      <c r="P31" s="40" t="inlineStr">
        <is>
          <t>Mô phỏng</t>
        </is>
      </c>
      <c r="Q31" s="40" t="n">
        <v>4</v>
      </c>
      <c r="R31" s="40" t="n">
        <v>0</v>
      </c>
    </row>
    <row r="32" ht="23.25" customHeight="1" s="29">
      <c r="A32" s="40" t="inlineStr">
        <is>
          <t>UC-E04</t>
        </is>
      </c>
      <c r="B32" s="40" t="inlineStr">
        <is>
          <t>So sánh SIL với HIL và cập nhật mô hình</t>
        </is>
      </c>
      <c r="C32" s="40" t="inlineStr">
        <is>
          <t>E. Mô phỏng</t>
        </is>
      </c>
      <c r="D32" s="40" t="inlineStr">
        <is>
          <t>Tester</t>
        </is>
      </c>
      <c r="E32" s="40" t="inlineStr">
        <is>
          <t>Kỹ sư</t>
        </is>
      </c>
      <c r="F32" s="40" t="inlineStr">
        <is>
          <t>Biết khoảng cách giữa mô phỏng và board thật; cải thiện mô hình có kiểm soát</t>
        </is>
      </c>
      <c r="G32" s="40" t="inlineStr">
        <is>
          <t>Cùng kịch bản đã chạy hai nơi</t>
        </is>
      </c>
      <c r="H32" s="40" t="inlineStr">
        <is>
          <t>UC-E03 + UC-F03</t>
        </is>
      </c>
      <c r="I32" s="40" t="inlineStr">
        <is>
          <t>Bảng chênh lệch; đề xuất cập nhật tham số mô hình (chờ duyệt)</t>
        </is>
      </c>
      <c r="J32" s="40" t="inlineStr">
        <is>
          <t>G-FACT</t>
        </is>
      </c>
      <c r="K32" s="40" t="inlineStr">
        <is>
          <t>K7 → đề xuất K5</t>
        </is>
      </c>
      <c r="L32" s="40" t="inlineStr">
        <is>
          <t>S</t>
        </is>
      </c>
      <c r="M32" s="40" t="inlineStr">
        <is>
          <t>M4</t>
        </is>
      </c>
      <c r="N32" s="40" t="inlineStr">
        <is>
          <t>FR-VER-04</t>
        </is>
      </c>
      <c r="O32" s="40" t="inlineStr">
        <is>
          <t>UR-XM-03</t>
        </is>
      </c>
      <c r="P32" s="40" t="inlineStr">
        <is>
          <t>Mô phỏng</t>
        </is>
      </c>
      <c r="Q32" s="40" t="n">
        <v>3</v>
      </c>
      <c r="R32" s="40" t="n">
        <v>0</v>
      </c>
    </row>
    <row r="33" ht="23.25" customHeight="1" s="29">
      <c r="A33" s="40" t="inlineStr">
        <is>
          <t>UC-F01</t>
        </is>
      </c>
      <c r="B33" s="40" t="inlineStr">
        <is>
          <t>Cấp quyền thao tác nguy hiểm (G-OPS)</t>
        </is>
      </c>
      <c r="C33" s="40" t="inlineStr">
        <is>
          <t>F. Xác minh &amp; gỡ lỗi</t>
        </is>
      </c>
      <c r="D33" s="40" t="inlineStr">
        <is>
          <t>Người phê duyệt</t>
        </is>
      </c>
      <c r="E33" s="40" t="inlineStr">
        <is>
          <t>Knowledge Plane</t>
        </is>
      </c>
      <c r="F33" s="40" t="inlineStr">
        <is>
          <t>Không thao tác không đảo ngược nào xảy ra ngoài ý muốn; quyền hết hạn khi đóng phiên</t>
        </is>
      </c>
      <c r="G33" s="40" t="inlineStr">
        <is>
          <t>Tác tử/công cụ yêu cầu flash, erase, write_mem, fuse, install, tải tệp lớn</t>
        </is>
      </c>
      <c r="H33" s="40" t="inlineStr">
        <is>
          <t>—</t>
        </is>
      </c>
      <c r="I33" s="40" t="inlineStr">
        <is>
          <t>Permission theo phiên; ledger</t>
        </is>
      </c>
      <c r="J33" s="40" t="inlineStr">
        <is>
          <t>G-OPS</t>
        </is>
      </c>
      <c r="K33" s="40" t="inlineStr">
        <is>
          <t>—</t>
        </is>
      </c>
      <c r="L33" s="40" t="inlineStr">
        <is>
          <t>M</t>
        </is>
      </c>
      <c r="M33" s="40" t="inlineStr">
        <is>
          <t>M1</t>
        </is>
      </c>
      <c r="N33" s="40" t="inlineStr">
        <is>
          <t>FR-GOV-01, FR-MCP-02</t>
        </is>
      </c>
      <c r="O33" s="40" t="inlineStr">
        <is>
          <t>UR-QT-01</t>
        </is>
      </c>
      <c r="P33" s="40" t="inlineStr">
        <is>
          <t>Hàng đợi / Chat / mọi màn hình</t>
        </is>
      </c>
      <c r="Q33" s="40" t="n">
        <v>3</v>
      </c>
      <c r="R33" s="40" t="n">
        <v>1</v>
      </c>
    </row>
    <row r="34" ht="23.25" customHeight="1" s="29">
      <c r="A34" s="40" t="inlineStr">
        <is>
          <t>UC-F02</t>
        </is>
      </c>
      <c r="B34" s="40" t="inlineStr">
        <is>
          <t>Nạp firmware và xác minh</t>
        </is>
      </c>
      <c r="C34" s="40" t="inlineStr">
        <is>
          <t>F. Xác minh &amp; gỡ lỗi</t>
        </is>
      </c>
      <c r="D34" s="40" t="inlineStr">
        <is>
          <t>Tool Layer</t>
        </is>
      </c>
      <c r="E34" s="40" t="inlineStr">
        <is>
          <t>Kỹ sư</t>
        </is>
      </c>
      <c r="F34" s="40" t="inlineStr">
        <is>
          <t>Firmware lên board đúng artifact, có verify</t>
        </is>
      </c>
      <c r="G34" s="40" t="inlineStr">
        <is>
          <t>Sau G3 hoặc kiểm định</t>
        </is>
      </c>
      <c r="H34" s="40" t="inlineStr">
        <is>
          <t>Permission flash; adapter theo ISA</t>
        </is>
      </c>
      <c r="I34" s="40" t="inlineStr">
        <is>
          <t>ToolReport(flash); serial mở</t>
        </is>
      </c>
      <c r="J34" s="40" t="inlineStr">
        <is>
          <t>G-OPS</t>
        </is>
      </c>
      <c r="K34" s="40" t="inlineStr">
        <is>
          <t>K7</t>
        </is>
      </c>
      <c r="L34" s="40" t="inlineStr">
        <is>
          <t>M</t>
        </is>
      </c>
      <c r="M34" s="40" t="inlineStr">
        <is>
          <t>M2</t>
        </is>
      </c>
      <c r="N34" s="40" t="inlineStr">
        <is>
          <t>FR-VER-02</t>
        </is>
      </c>
      <c r="O34" s="40" t="inlineStr">
        <is>
          <t>UR-XM-02</t>
        </is>
      </c>
      <c r="P34" s="40" t="inlineStr">
        <is>
          <t>Log &amp; serial</t>
        </is>
      </c>
      <c r="Q34" s="40" t="n">
        <v>2</v>
      </c>
      <c r="R34" s="40" t="n">
        <v>1</v>
      </c>
    </row>
    <row r="35" ht="23.25" customHeight="1" s="29">
      <c r="A35" s="40" t="inlineStr">
        <is>
          <t>UC-F03</t>
        </is>
      </c>
      <c r="B35" s="40" t="inlineStr">
        <is>
          <t>Quan sát serial, xác nhận vật lý (G4) và gắn bằng chứng</t>
        </is>
      </c>
      <c r="C35" s="40" t="inlineStr">
        <is>
          <t>F. Xác minh &amp; gỡ lỗi</t>
        </is>
      </c>
      <c r="D35" s="40" t="inlineStr">
        <is>
          <t>Kỹ sư</t>
        </is>
      </c>
      <c r="E35" s="40" t="inlineStr">
        <is>
          <t>Tester, Knowledge Plane</t>
        </is>
      </c>
      <c r="F35" s="40" t="inlineStr">
        <is>
          <t>Tính năng chỉ passing khi người xác nhận quan sát thật; bằng chứng nối vào đồ thị</t>
        </is>
      </c>
      <c r="G35" s="40" t="inlineStr">
        <is>
          <t>Sau nạp</t>
        </is>
      </c>
      <c r="H35" s="40" t="inlineStr">
        <is>
          <t>Serial/log</t>
        </is>
      </c>
      <c r="I35" s="40" t="inlineStr">
        <is>
          <t>Feature passing; EVIDENCED_BY log hash/Measurement; known-good mới</t>
        </is>
      </c>
      <c r="J35" s="40" t="inlineStr">
        <is>
          <t>G4</t>
        </is>
      </c>
      <c r="K35" s="40" t="inlineStr">
        <is>
          <t>K7</t>
        </is>
      </c>
      <c r="L35" s="40" t="inlineStr">
        <is>
          <t>M</t>
        </is>
      </c>
      <c r="M35" s="40" t="inlineStr">
        <is>
          <t>M2</t>
        </is>
      </c>
      <c r="N35" s="40" t="inlineStr">
        <is>
          <t>FR-VER-03, FR-VER-05</t>
        </is>
      </c>
      <c r="O35" s="40" t="inlineStr">
        <is>
          <t>UR-XM-04</t>
        </is>
      </c>
      <c r="P35" s="40" t="inlineStr">
        <is>
          <t>Log &amp; serial</t>
        </is>
      </c>
      <c r="Q35" s="40" t="n">
        <v>4</v>
      </c>
      <c r="R35" s="40" t="n">
        <v>0</v>
      </c>
    </row>
    <row r="36" ht="23.25" customHeight="1" s="29">
      <c r="A36" s="40" t="inlineStr">
        <is>
          <t>UC-F04</t>
        </is>
      </c>
      <c r="B36" s="40" t="inlineStr">
        <is>
          <t>Hỏi tác tử tại dòng log (log gigabyte)</t>
        </is>
      </c>
      <c r="C36" s="40" t="inlineStr">
        <is>
          <t>F. Xác minh &amp; gỡ lỗi</t>
        </is>
      </c>
      <c r="D36" s="40" t="inlineStr">
        <is>
          <t>Kỹ sư</t>
        </is>
      </c>
      <c r="E36" s="40" t="inlineStr">
        <is>
          <t>Debugger, Knowledge Plane</t>
        </is>
      </c>
      <c r="F36" s="40" t="inlineStr">
        <is>
          <t>Từ một vùng log lớn đến giả thuyết có chứng cứ mà không gửi cả tệp</t>
        </is>
      </c>
      <c r="G36" s="40" t="inlineStr">
        <is>
          <t>Người chọn vùng log và bấm hỏi</t>
        </is>
      </c>
      <c r="H36" s="40" t="inlineStr">
        <is>
          <t>Log mở trong GEditor</t>
        </is>
      </c>
      <c r="I36" s="40" t="inlineStr">
        <is>
          <t>Diagnosis neo dòng; DebugSession</t>
        </is>
      </c>
      <c r="J36" s="40" t="inlineStr">
        <is>
          <t>—</t>
        </is>
      </c>
      <c r="K36" s="40" t="inlineStr">
        <is>
          <t>K7</t>
        </is>
      </c>
      <c r="L36" s="40" t="inlineStr">
        <is>
          <t>M</t>
        </is>
      </c>
      <c r="M36" s="40" t="inlineStr">
        <is>
          <t>M3</t>
        </is>
      </c>
      <c r="N36" s="40" t="inlineStr">
        <is>
          <t>FR-UI-03, FR-DBG-04</t>
        </is>
      </c>
      <c r="O36" s="40" t="inlineStr">
        <is>
          <t>UR-QS-02</t>
        </is>
      </c>
      <c r="P36" s="40" t="inlineStr">
        <is>
          <t>Log &amp; serial</t>
        </is>
      </c>
      <c r="Q36" s="40" t="n">
        <v>4</v>
      </c>
      <c r="R36" s="40" t="n">
        <v>0</v>
      </c>
    </row>
    <row r="37" ht="23.25" customHeight="1" s="29">
      <c r="A37" s="40" t="inlineStr">
        <is>
          <t>UC-F05</t>
        </is>
      </c>
      <c r="B37" s="40" t="inlineStr">
        <is>
          <t>Gỡ lỗi mức probe và gói chứng cứ</t>
        </is>
      </c>
      <c r="C37" s="40" t="inlineStr">
        <is>
          <t>F. Xác minh &amp; gỡ lỗi</t>
        </is>
      </c>
      <c r="D37" s="40" t="inlineStr">
        <is>
          <t>Debugger</t>
        </is>
      </c>
      <c r="E37" s="40" t="inlineStr">
        <is>
          <t>Kỹ sư, Tool Layer</t>
        </is>
      </c>
      <c r="F37" s="40" t="inlineStr">
        <is>
          <t>Thu chứng cứ từ probe (thanh ghi, ngăn xếp, RTT) và đối chiếu hộ chiếu</t>
        </is>
      </c>
      <c r="G37" s="40" t="inlineStr">
        <is>
          <t>Thí nghiệm cần probe; HardFault</t>
        </is>
      </c>
      <c r="H37" s="40" t="inlineStr">
        <is>
          <t>Probe nối; Permission cho write nếu cần</t>
        </is>
      </c>
      <c r="I37" s="40" t="inlineStr">
        <is>
          <t>EvidencePack; Diagnosis cập nhật; DebugSession</t>
        </is>
      </c>
      <c r="J37" s="40" t="inlineStr">
        <is>
          <t>G-OPS (write/erase)</t>
        </is>
      </c>
      <c r="K37" s="40" t="inlineStr">
        <is>
          <t>K7</t>
        </is>
      </c>
      <c r="L37" s="40" t="inlineStr">
        <is>
          <t>M</t>
        </is>
      </c>
      <c r="M37" s="40" t="inlineStr">
        <is>
          <t>M3</t>
        </is>
      </c>
      <c r="N37" s="40" t="inlineStr">
        <is>
          <t>FR-DBG-01, FR-DBG-02, FR-DBG-03</t>
        </is>
      </c>
      <c r="O37" s="40" t="inlineStr">
        <is>
          <t>UR-GL-01, UR-GL-02</t>
        </is>
      </c>
      <c r="P37" s="40" t="inlineStr">
        <is>
          <t>Gỡ lỗi probe</t>
        </is>
      </c>
      <c r="Q37" s="40" t="n">
        <v>4</v>
      </c>
      <c r="R37" s="40" t="n">
        <v>1</v>
      </c>
    </row>
    <row r="38" ht="23.25" customHeight="1" s="29">
      <c r="A38" s="40" t="inlineStr">
        <is>
          <t>UC-F06</t>
        </is>
      </c>
      <c r="B38" s="40" t="inlineStr">
        <is>
          <t>Đo tín hiệu và năng lượng làm bằng chứng</t>
        </is>
      </c>
      <c r="C38" s="40" t="inlineStr">
        <is>
          <t>F. Xác minh &amp; gỡ lỗi</t>
        </is>
      </c>
      <c r="D38" s="40" t="inlineStr">
        <is>
          <t>Tester</t>
        </is>
      </c>
      <c r="E38" s="40" t="inlineStr">
        <is>
          <t>Kỹ sư, Tool Layer</t>
        </is>
      </c>
      <c r="F38" s="40" t="inlineStr">
        <is>
          <t>Số đo vật lý (waveform, dòng) gắn vào Feature/Diagnosis</t>
        </is>
      </c>
      <c r="G38" s="40" t="inlineStr">
        <is>
          <t>Kịch bản yêu cầu; gỡ lỗi giao thức</t>
        </is>
      </c>
      <c r="H38" s="40" t="inlineStr">
        <is>
          <t>sigrok / INA2xx / PPK2</t>
        </is>
      </c>
      <c r="I38" s="40" t="inlineStr">
        <is>
          <t>Measurement; waveform đồng bộ log</t>
        </is>
      </c>
      <c r="J38" s="40" t="inlineStr">
        <is>
          <t>—</t>
        </is>
      </c>
      <c r="K38" s="40" t="inlineStr">
        <is>
          <t>K7</t>
        </is>
      </c>
      <c r="L38" s="40" t="inlineStr">
        <is>
          <t>S</t>
        </is>
      </c>
      <c r="M38" s="40" t="inlineStr">
        <is>
          <t>M5</t>
        </is>
      </c>
      <c r="N38" s="40" t="inlineStr">
        <is>
          <t>FR-UI-07</t>
        </is>
      </c>
      <c r="O38" s="40" t="inlineStr">
        <is>
          <t>UR-QS-06</t>
        </is>
      </c>
      <c r="P38" s="40" t="inlineStr">
        <is>
          <t>Gỡ lỗi probe</t>
        </is>
      </c>
      <c r="Q38" s="40" t="n">
        <v>3</v>
      </c>
      <c r="R38" s="40" t="n">
        <v>0</v>
      </c>
    </row>
    <row r="39" ht="23.25" customHeight="1" s="29">
      <c r="A39" s="40" t="inlineStr">
        <is>
          <t>UC-G01</t>
        </is>
      </c>
      <c r="B39" s="40" t="inlineStr">
        <is>
          <t>Chạy benchmark Pack/skill trên board</t>
        </is>
      </c>
      <c r="C39" s="40" t="inlineStr">
        <is>
          <t>G. Chia sẻ &amp; đánh giá</t>
        </is>
      </c>
      <c r="D39" s="40" t="inlineStr">
        <is>
          <t>Pack owner</t>
        </is>
      </c>
      <c r="E39" s="40" t="inlineStr">
        <is>
          <t>Tester</t>
        </is>
      </c>
      <c r="F39" s="40" t="inlineStr">
        <is>
          <t>Đo BC/BF/CF theo mô hình để kiểm định skill và so sánh mô hình</t>
        </is>
      </c>
      <c r="G39" s="40" t="inlineStr">
        <is>
          <t>Đổi skill/mô hình; trước phát hành</t>
        </is>
      </c>
      <c r="H39" s="40" t="inlineStr">
        <is>
          <t>Bộ tác vụ; board</t>
        </is>
      </c>
      <c r="I39" s="40" t="inlineStr">
        <is>
          <t>Báo cáo; badges bench</t>
        </is>
      </c>
      <c r="J39" s="40" t="inlineStr">
        <is>
          <t>G-OPS</t>
        </is>
      </c>
      <c r="K39" s="40" t="inlineStr">
        <is>
          <t>K7, badge</t>
        </is>
      </c>
      <c r="L39" s="40" t="inlineStr">
        <is>
          <t>M</t>
        </is>
      </c>
      <c r="M39" s="40" t="inlineStr">
        <is>
          <t>M2</t>
        </is>
      </c>
      <c r="N39" s="40" t="inlineStr">
        <is>
          <t>FR-BEN-01, FR-BEN-03</t>
        </is>
      </c>
      <c r="O39" s="40" t="inlineStr">
        <is>
          <t>UR-HT-01</t>
        </is>
      </c>
      <c r="P39" s="40" t="inlineStr">
        <is>
          <t>Benchmark</t>
        </is>
      </c>
      <c r="Q39" s="40" t="n">
        <v>3</v>
      </c>
      <c r="R39" s="40" t="n">
        <v>0</v>
      </c>
    </row>
    <row r="40" ht="23.25" customHeight="1" s="29">
      <c r="A40" s="40" t="inlineStr">
        <is>
          <t>UC-G02</t>
        </is>
      </c>
      <c r="B40" s="40" t="inlineStr">
        <is>
          <t>Đóng gói và phát hành hộ chiếu/skill (.hkp) — G5</t>
        </is>
      </c>
      <c r="C40" s="40" t="inlineStr">
        <is>
          <t>G. Chia sẻ &amp; đánh giá</t>
        </is>
      </c>
      <c r="D40" s="40" t="inlineStr">
        <is>
          <t>Pack owner</t>
        </is>
      </c>
      <c r="E40" s="40" t="inlineStr">
        <is>
          <t>Knowledge Plane, Nguồn ngoài</t>
        </is>
      </c>
      <c r="F40" s="40" t="inlineStr">
        <is>
          <t>Gói có chữ ký, huy hiệu, license; không chứa tài liệu hãng</t>
        </is>
      </c>
      <c r="G40" s="40" t="inlineStr">
        <is>
          <t>Người bấm phát hành</t>
        </is>
      </c>
      <c r="H40" s="40" t="inlineStr">
        <is>
          <t>Hộ chiếu reviewed/verified</t>
        </is>
      </c>
      <c r="I40" s="40" t="inlineStr">
        <is>
          <t>Gói trên registry; ghi công</t>
        </is>
      </c>
      <c r="J40" s="40" t="inlineStr">
        <is>
          <t>G5</t>
        </is>
      </c>
      <c r="K40" s="40" t="inlineStr">
        <is>
          <t>—</t>
        </is>
      </c>
      <c r="L40" s="40" t="inlineStr">
        <is>
          <t>M</t>
        </is>
      </c>
      <c r="M40" s="40" t="inlineStr">
        <is>
          <t>M4</t>
        </is>
      </c>
      <c r="N40" s="40" t="inlineStr">
        <is>
          <t>FR-REG-01, FR-REG-02, FR-REG-03</t>
        </is>
      </c>
      <c r="O40" s="40" t="inlineStr">
        <is>
          <t>UR-RG-01</t>
        </is>
      </c>
      <c r="P40" s="40" t="inlineStr">
        <is>
          <t>Registry</t>
        </is>
      </c>
      <c r="Q40" s="40" t="n">
        <v>3</v>
      </c>
      <c r="R40" s="40" t="n">
        <v>1</v>
      </c>
    </row>
    <row r="41" ht="15" customHeight="1" s="29">
      <c r="A41" s="40" t="inlineStr">
        <is>
          <t>UC-G03</t>
        </is>
      </c>
      <c r="B41" s="40" t="inlineStr">
        <is>
          <t>Pull gói từ registry vào dự án</t>
        </is>
      </c>
      <c r="C41" s="40" t="inlineStr">
        <is>
          <t>G. Chia sẻ &amp; đánh giá</t>
        </is>
      </c>
      <c r="D41" s="40" t="inlineStr">
        <is>
          <t>Kỹ sư</t>
        </is>
      </c>
      <c r="E41" s="40" t="inlineStr">
        <is>
          <t>Knowledge Plane</t>
        </is>
      </c>
      <c r="F41" s="40" t="inlineStr">
        <is>
          <t>Tin dùng gói có huy hiệu; nạp vào lớp lõi/overlay</t>
        </is>
      </c>
      <c r="G41" s="40" t="inlineStr">
        <is>
          <t>Tìm gói; UC-A02</t>
        </is>
      </c>
      <c r="H41" s="40" t="inlineStr">
        <is>
          <t>Registry</t>
        </is>
      </c>
      <c r="I41" s="40" t="inlineStr">
        <is>
          <t>Hộ chiếu trong store; ghim phiên bản</t>
        </is>
      </c>
      <c r="J41" s="40" t="inlineStr">
        <is>
          <t>G-SRC</t>
        </is>
      </c>
      <c r="K41" s="40" t="inlineStr">
        <is>
          <t>K2/K2′/K4/K5</t>
        </is>
      </c>
      <c r="L41" s="40" t="inlineStr">
        <is>
          <t>M</t>
        </is>
      </c>
      <c r="M41" s="40" t="inlineStr">
        <is>
          <t>M4</t>
        </is>
      </c>
      <c r="N41" s="40" t="inlineStr">
        <is>
          <t>FR-REG-04</t>
        </is>
      </c>
      <c r="O41" s="40" t="inlineStr">
        <is>
          <t>UR-RG-02</t>
        </is>
      </c>
      <c r="P41" s="40" t="inlineStr">
        <is>
          <t>Registry</t>
        </is>
      </c>
      <c r="Q41" s="40" t="n">
        <v>2</v>
      </c>
      <c r="R41" s="40" t="n">
        <v>0</v>
      </c>
    </row>
    <row r="42" ht="23.25" customHeight="1" s="29">
      <c r="A42" s="40" t="inlineStr">
        <is>
          <t>UC-G04</t>
        </is>
      </c>
      <c r="B42" s="40" t="inlineStr">
        <is>
          <t>Xuất báo cáo và ma trận Người–AI</t>
        </is>
      </c>
      <c r="C42" s="40" t="inlineStr">
        <is>
          <t>G. Chia sẻ &amp; đánh giá</t>
        </is>
      </c>
      <c r="D42" s="40" t="inlineStr">
        <is>
          <t>Kỹ sư</t>
        </is>
      </c>
      <c r="E42" s="40" t="inlineStr">
        <is>
          <t>Knowledge Plane</t>
        </is>
      </c>
      <c r="F42" s="40" t="inlineStr">
        <is>
          <t>Báo cáo dự án có nguồn; ma trận điền tự động từ ledger</t>
        </is>
      </c>
      <c r="G42" s="40" t="inlineStr">
        <is>
          <t>Người bấm xuất</t>
        </is>
      </c>
      <c r="H42" s="40" t="inlineStr">
        <is>
          <t>Ledger</t>
        </is>
      </c>
      <c r="I42" s="40" t="inlineStr">
        <is>
          <t>docx/pdf/md + Excel</t>
        </is>
      </c>
      <c r="J42" s="40" t="inlineStr">
        <is>
          <t>G5</t>
        </is>
      </c>
      <c r="K42" s="40" t="inlineStr">
        <is>
          <t>—</t>
        </is>
      </c>
      <c r="L42" s="40" t="inlineStr">
        <is>
          <t>S</t>
        </is>
      </c>
      <c r="M42" s="40" t="inlineStr">
        <is>
          <t>M4</t>
        </is>
      </c>
      <c r="N42" s="40" t="inlineStr">
        <is>
          <t>FR-GOV-06</t>
        </is>
      </c>
      <c r="O42" s="40" t="inlineStr">
        <is>
          <t>UR-HT-03 (EAA)</t>
        </is>
      </c>
      <c r="P42" s="40" t="inlineStr">
        <is>
          <t>Môi trường &amp; báo cáo</t>
        </is>
      </c>
      <c r="Q42" s="40" t="n">
        <v>3</v>
      </c>
      <c r="R42" s="40" t="n">
        <v>0</v>
      </c>
    </row>
    <row r="43" ht="23.25" customHeight="1" s="29">
      <c r="A43" s="40" t="inlineStr">
        <is>
          <t>UC-H01</t>
        </is>
      </c>
      <c r="B43" s="40" t="inlineStr">
        <is>
          <t>Ra lệnh / hỏi trong cửa sổ trò chuyện</t>
        </is>
      </c>
      <c r="C43" s="40" t="inlineStr">
        <is>
          <t>H. Tương tác tác tử</t>
        </is>
      </c>
      <c r="D43" s="40" t="inlineStr">
        <is>
          <t>Kỹ sư</t>
        </is>
      </c>
      <c r="E43" s="40" t="inlineStr">
        <is>
          <t>Librarian, Planner, Coder, Debugger</t>
        </is>
      </c>
      <c r="F43" s="40" t="inlineStr">
        <is>
          <t>Một hội thoại điều phối nhiều vai trò; mọi hành động có nhật ký và gate</t>
        </is>
      </c>
      <c r="G43" s="40" t="inlineStr">
        <is>
          <t>Người gõ</t>
        </is>
      </c>
      <c r="H43" s="40" t="inlineStr">
        <is>
          <t>Dự án mở</t>
        </is>
      </c>
      <c r="I43" s="40" t="inlineStr">
        <is>
          <t>Phản hồi có trích dẫn; hành động được thực hiện hoặc chờ gate</t>
        </is>
      </c>
      <c r="J43" s="40" t="inlineStr">
        <is>
          <t>Theo hành động</t>
        </is>
      </c>
      <c r="K43" s="40" t="inlineStr">
        <is>
          <t>—</t>
        </is>
      </c>
      <c r="L43" s="40" t="inlineStr">
        <is>
          <t>M</t>
        </is>
      </c>
      <c r="M43" s="40" t="inlineStr">
        <is>
          <t>M2</t>
        </is>
      </c>
      <c r="N43" s="40" t="inlineStr">
        <is>
          <t>FR-AGT-01, FR-MCP-01</t>
        </is>
      </c>
      <c r="O43" s="40" t="inlineStr">
        <is>
          <t>UR-MA-01</t>
        </is>
      </c>
      <c r="P43" s="40" t="inlineStr">
        <is>
          <t>Trò chuyện</t>
        </is>
      </c>
      <c r="Q43" s="40" t="n">
        <v>4</v>
      </c>
      <c r="R43" s="40" t="n">
        <v>0</v>
      </c>
    </row>
    <row r="44" ht="23.25" customHeight="1" s="29">
      <c r="A44" s="40" t="inlineStr">
        <is>
          <t>UC-H02</t>
        </is>
      </c>
      <c r="B44" s="40" t="inlineStr">
        <is>
          <t>Tác tử tự đánh giá đủ thông tin trước khi làm</t>
        </is>
      </c>
      <c r="C44" s="40" t="inlineStr">
        <is>
          <t>H. Tương tác tác tử</t>
        </is>
      </c>
      <c r="D44" s="40" t="inlineStr">
        <is>
          <t>Planner / Librarian</t>
        </is>
      </c>
      <c r="E44" s="40" t="inlineStr">
        <is>
          <t>Kỹ sư</t>
        </is>
      </c>
      <c r="F44" s="40" t="inlineStr">
        <is>
          <t>Không có bước nào bắt đầu với tri thức thiếu mà tác tử 'đoán'</t>
        </is>
      </c>
      <c r="G44" s="40" t="inlineStr">
        <is>
          <t>Trước mọi kế hoạch/sinh mã</t>
        </is>
      </c>
      <c r="H44" s="40" t="inlineStr">
        <is>
          <t>—</t>
        </is>
      </c>
      <c r="I44" s="40" t="inlineStr">
        <is>
          <t>Danh sách thiếu → UC-B07 hoặc xác nhận đủ</t>
        </is>
      </c>
      <c r="J44" s="40" t="inlineStr">
        <is>
          <t>—</t>
        </is>
      </c>
      <c r="K44" s="40" t="inlineStr">
        <is>
          <t>—</t>
        </is>
      </c>
      <c r="L44" s="40" t="inlineStr">
        <is>
          <t>M</t>
        </is>
      </c>
      <c r="M44" s="40" t="inlineStr">
        <is>
          <t>M2</t>
        </is>
      </c>
      <c r="N44" s="40" t="inlineStr">
        <is>
          <t>FR-ACQ-05</t>
        </is>
      </c>
      <c r="O44" s="40" t="inlineStr">
        <is>
          <t>UR-TT-02 (KT-02 EAA)</t>
        </is>
      </c>
      <c r="P44" s="40" t="inlineStr">
        <is>
          <t>Trò chuyện</t>
        </is>
      </c>
      <c r="Q44" s="40" t="n">
        <v>2</v>
      </c>
      <c r="R44" s="40" t="n">
        <v>0</v>
      </c>
    </row>
    <row r="45" ht="23.25" customHeight="1" s="29">
      <c r="A45" s="40" t="inlineStr">
        <is>
          <t>UC-H03</t>
        </is>
      </c>
      <c r="B45" s="40" t="inlineStr">
        <is>
          <t>Vượt ngân sách hoặc mô hình không khả dụng</t>
        </is>
      </c>
      <c r="C45" s="40" t="inlineStr">
        <is>
          <t>H. Tương tác tác tử</t>
        </is>
      </c>
      <c r="D45" s="40" t="inlineStr">
        <is>
          <t>Knowledge Plane</t>
        </is>
      </c>
      <c r="E45" s="40" t="inlineStr">
        <is>
          <t>Kỹ sư</t>
        </is>
      </c>
      <c r="F45" s="40" t="inlineStr">
        <is>
          <t>Dừng có kiểm soát; fallback đúng chính sách; người quyết định tăng ngân sách</t>
        </is>
      </c>
      <c r="G45" s="40" t="inlineStr">
        <is>
          <t>Router báo BudgetExceeded / lỗi 429 / timeout</t>
        </is>
      </c>
      <c r="H45" s="40" t="inlineStr">
        <is>
          <t>models.yaml</t>
        </is>
      </c>
      <c r="I45" s="40" t="inlineStr">
        <is>
          <t>Fallback hoặc gate 'tăng ngân sách'</t>
        </is>
      </c>
      <c r="J45" s="40" t="inlineStr">
        <is>
          <t>—</t>
        </is>
      </c>
      <c r="K45" s="40" t="inlineStr">
        <is>
          <t>Ledger</t>
        </is>
      </c>
      <c r="L45" s="40" t="inlineStr">
        <is>
          <t>M</t>
        </is>
      </c>
      <c r="M45" s="40" t="inlineStr">
        <is>
          <t>M0</t>
        </is>
      </c>
      <c r="N45" s="40" t="inlineStr">
        <is>
          <t>FR-LLM-02, FR-LLM-04</t>
        </is>
      </c>
      <c r="O45" s="40" t="inlineStr">
        <is>
          <t>UR-MH-03</t>
        </is>
      </c>
      <c r="P45" s="40" t="inlineStr">
        <is>
          <t>Mô hình &amp; chi phí</t>
        </is>
      </c>
      <c r="Q45" s="40" t="n">
        <v>3</v>
      </c>
      <c r="R45" s="40" t="n">
        <v>0</v>
      </c>
    </row>
    <row r="46" ht="23.25" customHeight="1" s="29">
      <c r="A46" s="40" t="inlineStr">
        <is>
          <t>UC-H04</t>
        </is>
      </c>
      <c r="B46" s="40" t="inlineStr">
        <is>
          <t>Tác tử từ chối hoặc trả lời 'không biết'</t>
        </is>
      </c>
      <c r="C46" s="40" t="inlineStr">
        <is>
          <t>H. Tương tác tác tử</t>
        </is>
      </c>
      <c r="D46" s="40" t="inlineStr">
        <is>
          <t>Librarian</t>
        </is>
      </c>
      <c r="E46" s="40" t="inlineStr">
        <is>
          <t>Kỹ sư</t>
        </is>
      </c>
      <c r="F46" s="40" t="inlineStr">
        <is>
          <t>Trung thực: không có nguồn thì nói không có; refusal của mô hình được chuẩn hóa</t>
        </is>
      </c>
      <c r="G46" s="40" t="inlineStr">
        <is>
          <t>Không tìm thấy fact; mô hình từ chối</t>
        </is>
      </c>
      <c r="H46" s="40" t="inlineStr">
        <is>
          <t>—</t>
        </is>
      </c>
      <c r="I46" s="40" t="inlineStr">
        <is>
          <t>Câu trả lời 'không có trong hộ chiếu' + đề nghị UC-B07; ledger</t>
        </is>
      </c>
      <c r="J46" s="40" t="inlineStr">
        <is>
          <t>—</t>
        </is>
      </c>
      <c r="K46" s="40" t="inlineStr">
        <is>
          <t>—</t>
        </is>
      </c>
      <c r="L46" s="40" t="inlineStr">
        <is>
          <t>M</t>
        </is>
      </c>
      <c r="M46" s="40" t="inlineStr">
        <is>
          <t>M0</t>
        </is>
      </c>
      <c r="N46" s="40" t="inlineStr">
        <is>
          <t>NFR-02</t>
        </is>
      </c>
      <c r="O46" s="40" t="inlineStr">
        <is>
          <t>UQ-01</t>
        </is>
      </c>
      <c r="P46" s="40" t="inlineStr">
        <is>
          <t>Trò chuyện</t>
        </is>
      </c>
      <c r="Q46" s="40" t="n">
        <v>2</v>
      </c>
      <c r="R46" s="40" t="n">
        <v>0</v>
      </c>
    </row>
    <row r="47">
      <c r="A47" s="42" t="inlineStr">
        <is>
          <t>UC-I01</t>
        </is>
      </c>
      <c r="B47" s="42" t="inlineStr">
        <is>
          <t>Phân tích yêu cầu từ lệnh/tài liệu và sinh ReqSet</t>
        </is>
      </c>
      <c r="C47" s="42" t="inlineStr">
        <is>
          <t>I. Kỹ nghệ (v1.2)</t>
        </is>
      </c>
      <c r="D47" s="42" t="inlineStr">
        <is>
          <t>Tác tử (architect)</t>
        </is>
      </c>
      <c r="E47" s="42" t="inlineStr">
        <is>
          <t>Kỹ sư</t>
        </is>
      </c>
      <c r="F47" s="42" t="inlineStr">
        <is>
          <t>ReqSet có mã, loại, câu đo được, ưu tiên, tiêu chí chấp nhận, khả thi theo hộ chiếu</t>
        </is>
      </c>
      <c r="G47" s="42" t="inlineStr">
        <is>
          <t>Lệnh 'phân tích yêu cầu…'; dự án mới có README; P7.1</t>
        </is>
      </c>
      <c r="H47" s="42" t="inlineStr">
        <is>
          <t>Dự án mở; có hộ chiếu chip (hoặc sẽ hỏi)</t>
        </is>
      </c>
      <c r="I47" s="42" t="inlineStr">
        <is>
          <t>Bảng requirement status generated; issue mơ hồ đã hỏi hoặc mặc định; trace tới module rỗng</t>
        </is>
      </c>
      <c r="J47" s="42" t="inlineStr">
        <is>
          <t>Hội thoại (câu hỏi gộp)</t>
        </is>
      </c>
      <c r="K47" s="42" t="inlineStr">
        <is>
          <t>K10 ReqSet</t>
        </is>
      </c>
      <c r="L47" s="42" t="inlineStr">
        <is>
          <t>M</t>
        </is>
      </c>
      <c r="M47" s="42" t="inlineStr">
        <is>
          <t>M1</t>
        </is>
      </c>
      <c r="N47" s="42" t="inlineStr">
        <is>
          <t>FR-REQ-01…07</t>
        </is>
      </c>
      <c r="O47" s="42" t="inlineStr">
        <is>
          <t>UR-KN-01</t>
        </is>
      </c>
      <c r="P47" s="42" t="inlineStr">
        <is>
          <t>Yêu cầu &amp; kiến trúc</t>
        </is>
      </c>
      <c r="Q47" s="42" t="n">
        <v>7</v>
      </c>
      <c r="R47" s="42" t="n">
        <v>2</v>
      </c>
    </row>
    <row r="48">
      <c r="A48" s="43" t="inlineStr">
        <is>
          <t>UC-I02</t>
        </is>
      </c>
      <c r="B48" s="43" t="inlineStr">
        <is>
          <t>Thiết kế kiến trúc firmware, HwMap, ngân sách, ADR</t>
        </is>
      </c>
      <c r="C48" s="43" t="inlineStr">
        <is>
          <t>I. Kỹ nghệ (v1.2)</t>
        </is>
      </c>
      <c r="D48" s="43" t="inlineStr">
        <is>
          <t>Tác tử (architect)</t>
        </is>
      </c>
      <c r="E48" s="43" t="inlineStr">
        <is>
          <t>Kỹ sư</t>
        </is>
      </c>
      <c r="F48" s="43" t="inlineStr">
        <is>
          <t>ModuleGraph, HwMap không xung đột, ngân sách RAM/thời gian, ADR có phương án bị loại</t>
        </is>
      </c>
      <c r="G48" s="43" t="inlineStr">
        <is>
          <t>Sau UC-I01; lệnh 'thiết kế kiến trúc'</t>
        </is>
      </c>
      <c r="H48" s="43" t="inlineStr">
        <is>
          <t>ReqSet accepted; hộ chiếu chip+board</t>
        </is>
      </c>
      <c r="I48" s="43" t="inlineStr">
        <is>
          <t>Bảng module/hw_map/adr; FEATURES.json từ arch.to_plan</t>
        </is>
      </c>
      <c r="J48" s="43" t="inlineStr">
        <is>
          <t>G1 (đổi kiến trúc dự án đã có)</t>
        </is>
      </c>
      <c r="K48" s="43" t="inlineStr">
        <is>
          <t>K10 ModuleGraph, ADR; K6 HwMap</t>
        </is>
      </c>
      <c r="L48" s="43" t="inlineStr">
        <is>
          <t>M</t>
        </is>
      </c>
      <c r="M48" s="43" t="inlineStr">
        <is>
          <t>M2</t>
        </is>
      </c>
      <c r="N48" s="43" t="inlineStr">
        <is>
          <t>FR-ARCH-01…11</t>
        </is>
      </c>
      <c r="O48" s="43" t="inlineStr">
        <is>
          <t>UR-KN-02</t>
        </is>
      </c>
      <c r="P48" s="43" t="inlineStr">
        <is>
          <t>Yêu cầu &amp; kiến trúc</t>
        </is>
      </c>
      <c r="Q48" s="43" t="n">
        <v>8</v>
      </c>
      <c r="R48" s="43" t="n">
        <v>2</v>
      </c>
    </row>
    <row r="49">
      <c r="A49" s="42" t="inlineStr">
        <is>
          <t>UC-I03</t>
        </is>
      </c>
      <c r="B49" s="42" t="inlineStr">
        <is>
          <t>Vẽ lược đồ từ mô hình và đồng bộ với mã</t>
        </is>
      </c>
      <c r="C49" s="42" t="inlineStr">
        <is>
          <t>I. Kỹ nghệ (v1.2)</t>
        </is>
      </c>
      <c r="D49" s="42" t="inlineStr">
        <is>
          <t>Tác tử (writer)</t>
        </is>
      </c>
      <c r="E49" s="42" t="inlineStr">
        <is>
          <t>Kỹ sư</t>
        </is>
      </c>
      <c r="F49" s="42" t="inlineStr">
        <is>
          <t>Lược đồ ở ngôn ngữ GEditor hỗ trợ, lint 0 lỗi, render, đồng bộ hai chiều</t>
        </is>
      </c>
      <c r="G49" s="42" t="inlineStr">
        <is>
          <t>Lệnh 'vẽ sơ đồ …'; doc.generate; FSM/mã đổi</t>
        </is>
      </c>
      <c r="H49" s="42" t="inlineStr">
        <is>
          <t>Mô hình nguồn tồn tại (BOM, HwMap, ModuleGraph, FSM, Plan, fact timing)</t>
        </is>
      </c>
      <c r="I49" s="42" t="inlineStr">
        <is>
          <t>Diagram trong .eide/diagrams, DocArtifact liên kết nếu chèn</t>
        </is>
      </c>
      <c r="J49" s="42" t="inlineStr">
        <is>
          <t>T1* khi sync lệch lớn</t>
        </is>
      </c>
      <c r="K49" s="42" t="inlineStr">
        <is>
          <t>K10 Diagram</t>
        </is>
      </c>
      <c r="L49" s="42" t="inlineStr">
        <is>
          <t>M</t>
        </is>
      </c>
      <c r="M49" s="42" t="inlineStr">
        <is>
          <t>M1–M2</t>
        </is>
      </c>
      <c r="N49" s="42" t="inlineStr">
        <is>
          <t>FR-DIAGRAM-01…14</t>
        </is>
      </c>
      <c r="O49" s="42" t="inlineStr">
        <is>
          <t>UR-KN-03, UR-KN-04</t>
        </is>
      </c>
      <c r="P49" s="42" t="inlineStr">
        <is>
          <t>Lược đồ</t>
        </is>
      </c>
      <c r="Q49" s="42" t="n">
        <v>6</v>
      </c>
      <c r="R49" s="42" t="n">
        <v>2</v>
      </c>
    </row>
    <row r="50">
      <c r="A50" s="43" t="inlineStr">
        <is>
          <t>UC-I04</t>
        </is>
      </c>
      <c r="B50" s="43" t="inlineStr">
        <is>
          <t>Sinh tài liệu chuẩn EAA/EIDE và kiểm style</t>
        </is>
      </c>
      <c r="C50" s="43" t="inlineStr">
        <is>
          <t>I. Kỹ nghệ (v1.2)</t>
        </is>
      </c>
      <c r="D50" s="43" t="inlineStr">
        <is>
          <t>Tác tử (writer)</t>
        </is>
      </c>
      <c r="E50" s="43" t="inlineStr">
        <is>
          <t>Kỹ sư</t>
        </is>
      </c>
      <c r="F50" s="43" t="inlineStr">
        <is>
          <t>Tài liệu docx/md theo mẫu có thuộc tính, lịch sử, hình đánh số, mục Nguồn; style_check 0 lỗi</t>
        </is>
      </c>
      <c r="G50" s="43" t="inlineStr">
        <is>
          <t>Lệnh 'viết SRS'; P7.7; mốc dự án</t>
        </is>
      </c>
      <c r="H50" s="43" t="inlineStr">
        <is>
          <t>ReqSet/ModuleGraph/fact có sẵn theo loại tài liệu</t>
        </is>
      </c>
      <c r="I50" s="43" t="inlineStr">
        <is>
          <t>DocArtifact trong .eide/docs; commit</t>
        </is>
      </c>
      <c r="J50" s="43" t="inlineStr">
        <is>
          <t>—</t>
        </is>
      </c>
      <c r="K50" s="43" t="inlineStr">
        <is>
          <t>K10 DocArtifact</t>
        </is>
      </c>
      <c r="L50" s="43" t="inlineStr">
        <is>
          <t>M</t>
        </is>
      </c>
      <c r="M50" s="43" t="inlineStr">
        <is>
          <t>M2</t>
        </is>
      </c>
      <c r="N50" s="43" t="inlineStr">
        <is>
          <t>FR-DOC-01…12</t>
        </is>
      </c>
      <c r="O50" s="43" t="inlineStr">
        <is>
          <t>UR-KN-05</t>
        </is>
      </c>
      <c r="P50" s="43" t="inlineStr">
        <is>
          <t>Tài liệu</t>
        </is>
      </c>
      <c r="Q50" s="43" t="n">
        <v>5</v>
      </c>
      <c r="R50" s="43" t="n">
        <v>2</v>
      </c>
    </row>
    <row r="51">
      <c r="A51" s="42" t="inlineStr">
        <is>
          <t>UC-I05</t>
        </is>
      </c>
      <c r="B51" s="42" t="inlineStr">
        <is>
          <t>Đổi yêu cầu → tác động → cập nhật tài liệu/lược đồ</t>
        </is>
      </c>
      <c r="C51" s="42" t="inlineStr">
        <is>
          <t>I. Kỹ nghệ (v1.2)</t>
        </is>
      </c>
      <c r="D51" s="42" t="inlineStr">
        <is>
          <t>Tác tử</t>
        </is>
      </c>
      <c r="E51" s="42" t="inlineStr">
        <is>
          <t>Kỹ sư</t>
        </is>
      </c>
      <c r="F51" s="42" t="inlineStr">
        <is>
          <t>Mọi hiện vật liên quan (module, mã, test, tài liệu, lược đồ) được đánh dấu stale và cập nhật theo chính sách</t>
        </is>
      </c>
      <c r="G51" s="42" t="inlineStr">
        <is>
          <t>Người đổi yêu cầu; fact thay đổi (supersede)</t>
        </is>
      </c>
      <c r="H51" s="42" t="inlineStr">
        <is>
          <t>ReqSet có trace</t>
        </is>
      </c>
      <c r="I51" s="42" t="inlineStr">
        <is>
          <t>stale được xử lý hoặc nằm trong hàng đợi</t>
        </is>
      </c>
      <c r="J51" s="42" t="inlineStr">
        <is>
          <t>T1* thay đổi lớn</t>
        </is>
      </c>
      <c r="K51" s="42" t="inlineStr">
        <is>
          <t>K10</t>
        </is>
      </c>
      <c r="L51" s="42" t="inlineStr">
        <is>
          <t>S</t>
        </is>
      </c>
      <c r="M51" s="42" t="inlineStr">
        <is>
          <t>M3</t>
        </is>
      </c>
      <c r="N51" s="42" t="inlineStr">
        <is>
          <t>FR-REQ-08, FR-DOC-12, FR-DIAGRAM-14</t>
        </is>
      </c>
      <c r="O51" s="42" t="inlineStr">
        <is>
          <t>UR-KN-06</t>
        </is>
      </c>
      <c r="P51" s="42" t="inlineStr">
        <is>
          <t>Yêu cầu &amp; kiến trúc</t>
        </is>
      </c>
      <c r="Q51" s="42" t="n">
        <v>4</v>
      </c>
      <c r="R51" s="42" t="n">
        <v>1</v>
      </c>
    </row>
    <row r="52">
      <c r="A52" s="43" t="inlineStr">
        <is>
          <t>UC-J01</t>
        </is>
      </c>
      <c r="B52" s="43" t="inlineStr">
        <is>
          <t>Xem bản đồ tri thức, nguồn gốc, độ phủ, tác động</t>
        </is>
      </c>
      <c r="C52" s="43" t="inlineStr">
        <is>
          <t>J. Tri thức &amp; dò tìm (v1.2)</t>
        </is>
      </c>
      <c r="D52" s="43" t="inlineStr">
        <is>
          <t>Kỹ sư</t>
        </is>
      </c>
      <c r="E52" s="43" t="inlineStr">
        <is>
          <t>Knowledge Plane</t>
        </is>
      </c>
      <c r="F52" s="43" t="inlineStr">
        <is>
          <t>Hiểu tri thức dự án có gì, từ đâu, thiếu gì, đổi gì ảnh hưởng gì — không cần đọc PDF</t>
        </is>
      </c>
      <c r="G52" s="43" t="inlineStr">
        <is>
          <t>Mở màn hình; lệnh 'cho anh xem bản đồ'</t>
        </is>
      </c>
      <c r="H52" s="43" t="inlineStr">
        <is>
          <t>Có hộ chiếu</t>
        </is>
      </c>
      <c r="I52" s="43" t="inlineStr">
        <is>
          <t>—</t>
        </is>
      </c>
      <c r="J52" s="43" t="inlineStr">
        <is>
          <t>—</t>
        </is>
      </c>
      <c r="K52" s="43" t="inlineStr">
        <is>
          <t>—</t>
        </is>
      </c>
      <c r="L52" s="43" t="inlineStr">
        <is>
          <t>M</t>
        </is>
      </c>
      <c r="M52" s="43" t="inlineStr">
        <is>
          <t>M1</t>
        </is>
      </c>
      <c r="N52" s="43" t="inlineStr">
        <is>
          <t>FR-VIEW-01…06, 11–13</t>
        </is>
      </c>
      <c r="O52" s="43" t="inlineStr">
        <is>
          <t>UR-TQ-01, UR-TQ-03</t>
        </is>
      </c>
      <c r="P52" s="43" t="inlineStr">
        <is>
          <t>Bản đồ tri thức &amp; hỏi đáp</t>
        </is>
      </c>
      <c r="Q52" s="43" t="n">
        <v>5</v>
      </c>
      <c r="R52" s="43" t="n">
        <v>1</v>
      </c>
    </row>
    <row r="53">
      <c r="A53" s="42" t="inlineStr">
        <is>
          <t>UC-J02</t>
        </is>
      </c>
      <c r="B53" s="42" t="inlineStr">
        <is>
          <t>Hỏi–đáp RAG có trích dẫn và trace</t>
        </is>
      </c>
      <c r="C53" s="42" t="inlineStr">
        <is>
          <t>J. Tri thức &amp; dò tìm (v1.2)</t>
        </is>
      </c>
      <c r="D53" s="42" t="inlineStr">
        <is>
          <t>Kỹ sư</t>
        </is>
      </c>
      <c r="E53" s="42" t="inlineStr">
        <is>
          <t>Tác tử (writer)</t>
        </is>
      </c>
      <c r="F53" s="42" t="inlineStr">
        <is>
          <t>Câu trả lời từ kho tài liệu dự án, mọi câu có trích dẫn mở được nguồn, có giải thích vì sao</t>
        </is>
      </c>
      <c r="G53" s="42" t="inlineStr">
        <is>
          <t>Câu hỏi trong màn hình hoặc chat</t>
        </is>
      </c>
      <c r="H53" s="42" t="inlineStr">
        <is>
          <t>Chỉ mục RAG đã xây (view.rag_index sau nhập tài liệu)</t>
        </is>
      </c>
      <c r="I53" s="42" t="inlineStr">
        <is>
          <t>Answer + citations + trace lưu M3</t>
        </is>
      </c>
      <c r="J53" s="42" t="inlineStr">
        <is>
          <t>—</t>
        </is>
      </c>
      <c r="K53" s="42" t="inlineStr">
        <is>
          <t>K7 (câu hỏi/trả lời)</t>
        </is>
      </c>
      <c r="L53" s="42" t="inlineStr">
        <is>
          <t>M</t>
        </is>
      </c>
      <c r="M53" s="42" t="inlineStr">
        <is>
          <t>M1</t>
        </is>
      </c>
      <c r="N53" s="42" t="inlineStr">
        <is>
          <t>FR-VIEW-07…10</t>
        </is>
      </c>
      <c r="O53" s="42" t="inlineStr">
        <is>
          <t>UR-TQ-02, UR-TQ-04</t>
        </is>
      </c>
      <c r="P53" s="42" t="inlineStr">
        <is>
          <t>Bản đồ tri thức &amp; hỏi đáp</t>
        </is>
      </c>
      <c r="Q53" s="42" t="n">
        <v>4</v>
      </c>
      <c r="R53" s="42" t="n">
        <v>2</v>
      </c>
    </row>
    <row r="54">
      <c r="A54" s="43" t="inlineStr">
        <is>
          <t>UC-J03</t>
        </is>
      </c>
      <c r="B54" s="43" t="inlineStr">
        <is>
          <t>Dò board/probe/ID chip và tự cấu hình target</t>
        </is>
      </c>
      <c r="C54" s="43" t="inlineStr">
        <is>
          <t>J. Tri thức &amp; dò tìm (v1.2)</t>
        </is>
      </c>
      <c r="D54" s="43" t="inlineStr">
        <is>
          <t>Tác tử (Discovery)</t>
        </is>
      </c>
      <c r="E54" s="43" t="inlineStr">
        <is>
          <t>Kỹ sư</t>
        </is>
      </c>
      <c r="F54" s="43" t="inlineStr">
        <is>
          <t>Cắm board → target.yaml đúng adapter/cổng/tốc độ, ID khớp hộ chiếu, sẵn sàng nạp</t>
        </is>
      </c>
      <c r="G54" s="43" t="inlineStr">
        <is>
          <t>Cắm USB; lệnh 'board nào đang cắm?'; trước target.flash</t>
        </is>
      </c>
      <c r="H54" s="43" t="inlineStr">
        <is>
          <t>Driver/quyền cổng ok (discover.env_hw)</t>
        </is>
      </c>
      <c r="I54" s="43" t="inlineStr">
        <is>
          <t>Discovery lưu; target.yaml; thanh trạng thái cập nhật</t>
        </is>
      </c>
      <c r="J54" s="43" t="inlineStr">
        <is>
          <t>Leo thang khi ID lệch</t>
        </is>
      </c>
      <c r="K54" s="43" t="inlineStr">
        <is>
          <t>K7 Discovery</t>
        </is>
      </c>
      <c r="L54" s="43" t="inlineStr">
        <is>
          <t>M</t>
        </is>
      </c>
      <c r="M54" s="43" t="inlineStr">
        <is>
          <t>M2</t>
        </is>
      </c>
      <c r="N54" s="43" t="inlineStr">
        <is>
          <t>FR-DISCOVER-01…03, 08, 09, 11, 12</t>
        </is>
      </c>
      <c r="O54" s="43" t="inlineStr">
        <is>
          <t>UR-DT-01, UR-DT-04</t>
        </is>
      </c>
      <c r="P54" s="43" t="inlineStr">
        <is>
          <t>Dò board</t>
        </is>
      </c>
      <c r="Q54" s="43" t="n">
        <v>6</v>
      </c>
      <c r="R54" s="43" t="n">
        <v>3</v>
      </c>
    </row>
    <row r="55">
      <c r="A55" s="42" t="inlineStr">
        <is>
          <t>UC-J04</t>
        </is>
      </c>
      <c r="B55" s="42" t="inlineStr">
        <is>
          <t>Dò tốc độ kết nối tối ưu</t>
        </is>
      </c>
      <c r="C55" s="42" t="inlineStr">
        <is>
          <t>J. Tri thức &amp; dò tìm (v1.2)</t>
        </is>
      </c>
      <c r="D55" s="42" t="inlineStr">
        <is>
          <t>Tác tử (Discovery)</t>
        </is>
      </c>
      <c r="E55" s="42" t="inlineStr">
        <is>
          <t>Kỹ sư</t>
        </is>
      </c>
      <c r="F55" s="42" t="inlineStr">
        <is>
          <t>Baud/clock cao nhất với 0 lỗi trong giới hạn có nguồn</t>
        </is>
      </c>
      <c r="G55" s="42" t="inlineStr">
        <is>
          <t>Sau UC-J03; serial baud=auto; lệnh 'dò tốc độ'</t>
        </is>
      </c>
      <c r="H55" s="42" t="inlineStr">
        <is>
          <t>Board cắm; firmware kiểm định hoặc banner</t>
        </is>
      </c>
      <c r="I55" s="42" t="inlineStr">
        <is>
          <t>target.yaml speeds; Discovery.link_speed</t>
        </is>
      </c>
      <c r="J55" s="42" t="inlineStr">
        <is>
          <t>ASK khi nấc vượt fact</t>
        </is>
      </c>
      <c r="K55" s="42" t="inlineStr">
        <is>
          <t>K7</t>
        </is>
      </c>
      <c r="L55" s="42" t="inlineStr">
        <is>
          <t>M</t>
        </is>
      </c>
      <c r="M55" s="42" t="inlineStr">
        <is>
          <t>M2</t>
        </is>
      </c>
      <c r="N55" s="42" t="inlineStr">
        <is>
          <t>FR-DISCOVER-06</t>
        </is>
      </c>
      <c r="O55" s="42" t="inlineStr">
        <is>
          <t>UR-DT-02</t>
        </is>
      </c>
      <c r="P55" s="42" t="inlineStr">
        <is>
          <t>Dò board</t>
        </is>
      </c>
      <c r="Q55" s="42" t="n">
        <v>4</v>
      </c>
      <c r="R55" s="42" t="n">
        <v>1</v>
      </c>
    </row>
    <row r="56">
      <c r="A56" s="43" t="inlineStr">
        <is>
          <t>UC-J05</t>
        </is>
      </c>
      <c r="B56" s="43" t="inlineStr">
        <is>
          <t>Nhận diện board từ ID + quét bus + ảnh</t>
        </is>
      </c>
      <c r="C56" s="43" t="inlineStr">
        <is>
          <t>J. Tri thức &amp; dò tìm (v1.2)</t>
        </is>
      </c>
      <c r="D56" s="43" t="inlineStr">
        <is>
          <t>Tác tử (Discovery)</t>
        </is>
      </c>
      <c r="E56" s="43" t="inlineStr">
        <is>
          <t>Kỹ sư</t>
        </is>
      </c>
      <c r="F56" s="43" t="inlineStr">
        <is>
          <t>Xác định board đang cắm là board nào trong registry/dự án khi không khai báo</t>
        </is>
      </c>
      <c r="G56" s="43" t="inlineStr">
        <is>
          <t>Board lạ cắm; Z-04 ảnh board</t>
        </is>
      </c>
      <c r="H56" s="43" t="inlineStr">
        <is>
          <t>UC-J03 có chip_id</t>
        </is>
      </c>
      <c r="I56" s="43" t="inlineStr">
        <is>
          <t>BoardPassport ghim hoặc ứng viên chờ chọn</t>
        </is>
      </c>
      <c r="J56" s="43" t="inlineStr">
        <is>
          <t>Hỏi khi nhiều ứng viên</t>
        </is>
      </c>
      <c r="K56" s="43" t="inlineStr">
        <is>
          <t>K3 đề xuất</t>
        </is>
      </c>
      <c r="L56" s="43" t="inlineStr">
        <is>
          <t>S</t>
        </is>
      </c>
      <c r="M56" s="43" t="inlineStr">
        <is>
          <t>M2</t>
        </is>
      </c>
      <c r="N56" s="43" t="inlineStr">
        <is>
          <t>FR-DISCOVER-04, 05</t>
        </is>
      </c>
      <c r="O56" s="43" t="inlineStr">
        <is>
          <t>UR-DT-03</t>
        </is>
      </c>
      <c r="P56" s="43" t="inlineStr">
        <is>
          <t>Dò board</t>
        </is>
      </c>
      <c r="Q56" s="43" t="n">
        <v>4</v>
      </c>
      <c r="R56" s="43" t="n">
        <v>1</v>
      </c>
    </row>
    <row r="57">
      <c r="A57" s="42" t="inlineStr">
        <is>
          <t>UC-K01</t>
        </is>
      </c>
      <c r="B57" s="42" t="inlineStr">
        <is>
          <t>Tác tử tự viết công cụ khi thiếu năng lực</t>
        </is>
      </c>
      <c r="C57" s="42" t="inlineStr">
        <is>
          <t>K. Tự tạo công cụ (v1.2)</t>
        </is>
      </c>
      <c r="D57" s="42" t="inlineStr">
        <is>
          <t>Tác tử (Orchestrator, coder)</t>
        </is>
      </c>
      <c r="E57" s="42" t="inlineStr">
        <is>
          <t>Kỹ sư, Pack owner</t>
        </is>
      </c>
      <c r="F57" s="42" t="inlineStr">
        <is>
          <t>Một công cụ Python mới, có test, hiệu ứng khai báo, chạy trong sandbox theo chính sách, đăng ký thành năng lực tạm; sau khi chứng minh được thăng cấp</t>
        </is>
      </c>
      <c r="G57" s="42" t="inlineStr">
        <is>
          <t>Chuỗi không tìm được năng lực khớp; năng lực trả lỗi lặp; kỹ sư ra lệnh 'viết cho anh công cụ …'</t>
        </is>
      </c>
      <c r="H57" s="42" t="inlineStr">
        <is>
          <t>Dự án mở; coder khả dụng</t>
        </is>
      </c>
      <c r="I57" s="42" t="inlineStr">
        <is>
          <t>tool_id trong .eide/tools; Capability user.* trong registry; ledger; (tùy) đề xuất thăng cấp</t>
        </is>
      </c>
      <c r="J57" s="42" t="inlineStr">
        <is>
          <t>G-TOOL (POL-17 TOOL-*); tool.promote T2</t>
        </is>
      </c>
      <c r="K57" s="42" t="inlineStr">
        <is>
          <t>K5 thủ tục (công cụ), K7 (CapabilityRun)</t>
        </is>
      </c>
      <c r="L57" s="42" t="inlineStr">
        <is>
          <t>M</t>
        </is>
      </c>
      <c r="M57" s="42" t="inlineStr">
        <is>
          <t>M1</t>
        </is>
      </c>
      <c r="N57" s="42" t="inlineStr">
        <is>
          <t>FR-TOOL-01…10</t>
        </is>
      </c>
      <c r="O57" s="42" t="inlineStr">
        <is>
          <t>UR-NL-06</t>
        </is>
      </c>
      <c r="P57" s="42" t="inlineStr">
        <is>
          <t>Công cụ tự tạo</t>
        </is>
      </c>
      <c r="Q57" s="42" t="n">
        <v>8</v>
      </c>
      <c r="R57" s="42"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I24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8" min="1" max="1"/>
    <col width="30" customWidth="1" style="28" min="2" max="2"/>
    <col width="6" customWidth="1" style="28" min="3" max="4"/>
    <col width="70" customWidth="1" style="28" min="5" max="5"/>
    <col width="18" customWidth="1" style="28" min="6" max="6"/>
    <col width="20" customWidth="1" style="28" min="7" max="7"/>
    <col width="16" customWidth="1" style="28" min="8" max="8"/>
    <col width="11" customWidth="1" style="28" min="9" max="9"/>
  </cols>
  <sheetData>
    <row r="1" ht="30" customHeight="1" s="29">
      <c r="A1" s="41" t="inlineStr">
        <is>
          <t>Mã UC</t>
        </is>
      </c>
      <c r="B1" s="41" t="inlineStr">
        <is>
          <t>Tên use case</t>
        </is>
      </c>
      <c r="C1" s="41" t="inlineStr">
        <is>
          <t>Bước</t>
        </is>
      </c>
      <c r="D1" s="41" t="inlineStr">
        <is>
          <t>Làn</t>
        </is>
      </c>
      <c r="E1" s="41" t="inlineStr">
        <is>
          <t>Hành động</t>
        </is>
      </c>
      <c r="F1" s="41" t="inlineStr">
        <is>
          <t>Đầu vào</t>
        </is>
      </c>
      <c r="G1" s="41" t="inlineStr">
        <is>
          <t>Đầu ra</t>
        </is>
      </c>
      <c r="H1" s="41" t="inlineStr">
        <is>
          <t>Cổng / ghi chú</t>
        </is>
      </c>
      <c r="I1" s="39" t="inlineStr">
        <is>
          <t>Mức tự chủ (APD)</t>
        </is>
      </c>
    </row>
    <row r="2" ht="23.25" customHeight="1" s="29">
      <c r="A2" s="44" t="inlineStr">
        <is>
          <t>UC-A01</t>
        </is>
      </c>
      <c r="B2" s="44" t="inlineStr">
        <is>
          <t>Tạo dự án mới</t>
        </is>
      </c>
      <c r="C2" s="44" t="n">
        <v>1</v>
      </c>
      <c r="D2" s="44" t="inlineStr">
        <is>
          <t>N</t>
        </is>
      </c>
      <c r="E2" s="44" t="inlineStr">
        <is>
          <t>Ra lệnh bằng ngôn ngữ tự nhiên, ví dụ: 'Tạo dự án robot cân bằng từ thư mục ~/robot-kit, chip chưa rõ' (một câu; có thể kèm kéo thả)</t>
        </is>
      </c>
      <c r="F2" s="44" t="inlineStr">
        <is>
          <t>câu lệnh</t>
        </is>
      </c>
      <c r="G2" s="44" t="n"/>
      <c r="H2" s="44" t="inlineStr">
        <is>
          <t>Lệnh</t>
        </is>
      </c>
      <c r="I2" s="45" t="inlineStr">
        <is>
          <t>Lệnh</t>
        </is>
      </c>
    </row>
    <row r="3" ht="23.25" customHeight="1" s="29">
      <c r="A3" s="40" t="inlineStr">
        <is>
          <t>UC-A01</t>
        </is>
      </c>
      <c r="B3" s="40" t="inlineStr">
        <is>
          <t>Tạo dự án mới</t>
        </is>
      </c>
      <c r="C3" s="40" t="n">
        <v>2</v>
      </c>
      <c r="D3" s="40" t="inlineStr">
        <is>
          <t>T</t>
        </is>
      </c>
      <c r="E3" s="40" t="inlineStr">
        <is>
          <t>Librarian suy ra tên dự án, mô tả, chip/board (nếu nêu), đường dẫn tài liệu từ câu lệnh; điền mọi tham số mặc định (mức tự chủ A3, mô hình, ngân sách)</t>
        </is>
      </c>
      <c r="F3" s="40" t="inlineStr">
        <is>
          <t>câu lệnh</t>
        </is>
      </c>
      <c r="G3" s="40" t="inlineStr">
        <is>
          <t>tham số dự án</t>
        </is>
      </c>
      <c r="H3" s="40" t="n"/>
      <c r="I3" s="46" t="inlineStr">
        <is>
          <t>T1</t>
        </is>
      </c>
    </row>
    <row r="4" ht="15" customHeight="1" s="29">
      <c r="A4" s="40" t="inlineStr">
        <is>
          <t>UC-A01</t>
        </is>
      </c>
      <c r="B4" s="40" t="inlineStr">
        <is>
          <t>Tạo dự án mới</t>
        </is>
      </c>
      <c r="C4" s="40" t="n">
        <v>3</v>
      </c>
      <c r="D4" s="40" t="inlineStr">
        <is>
          <t>K</t>
        </is>
      </c>
      <c r="E4" s="40" t="inlineStr">
        <is>
          <t>Tạo .hkw/ với schema store, tệp mặc định, .gitignore; ghi ledger 'project.init'</t>
        </is>
      </c>
      <c r="F4" s="40" t="inlineStr">
        <is>
          <t>tham số</t>
        </is>
      </c>
      <c r="G4" s="40" t="inlineStr">
        <is>
          <t>.hkw/</t>
        </is>
      </c>
      <c r="H4" s="40" t="n"/>
      <c r="I4" s="46" t="inlineStr">
        <is>
          <t>T1</t>
        </is>
      </c>
    </row>
    <row r="5" ht="23.25" customHeight="1" s="29">
      <c r="A5" s="40" t="inlineStr">
        <is>
          <t>UC-A01</t>
        </is>
      </c>
      <c r="B5" s="40" t="inlineStr">
        <is>
          <t>Tạo dự án mới</t>
        </is>
      </c>
      <c r="C5" s="40" t="n">
        <v>4</v>
      </c>
      <c r="D5" s="40" t="inlineStr">
        <is>
          <t>K</t>
        </is>
      </c>
      <c r="E5" s="40" t="inlineStr">
        <is>
          <t>Nếu đã biết chip: pull hộ chiếu lõi từ registry/seed và ghim phiên bản vào constraints.yaml</t>
        </is>
      </c>
      <c r="F5" s="40" t="inlineStr">
        <is>
          <t>chip id</t>
        </is>
      </c>
      <c r="G5" s="40" t="inlineStr">
        <is>
          <t>pin</t>
        </is>
      </c>
      <c r="H5" s="40" t="inlineStr">
        <is>
          <t>UC-G04</t>
        </is>
      </c>
      <c r="I5" s="46" t="inlineStr">
        <is>
          <t>T1</t>
        </is>
      </c>
    </row>
    <row r="6" ht="23.25" customHeight="1" s="29">
      <c r="A6" s="40" t="inlineStr">
        <is>
          <t>UC-A01</t>
        </is>
      </c>
      <c r="B6" s="40" t="inlineStr">
        <is>
          <t>Tạo dự án mới</t>
        </is>
      </c>
      <c r="C6" s="40" t="n">
        <v>5</v>
      </c>
      <c r="D6" s="40" t="inlineStr">
        <is>
          <t>T</t>
        </is>
      </c>
      <c r="E6" s="40" t="inlineStr">
        <is>
          <t>Nếu câu lệnh có tài liệu: tự chuyển sang UC-B01 ngay; nếu không: hỏi đúng một câu 'anh có tài liệu board không?'</t>
        </is>
      </c>
      <c r="F6" s="40" t="n"/>
      <c r="G6" s="40" t="n"/>
      <c r="H6" s="40" t="n"/>
      <c r="I6" s="46" t="inlineStr">
        <is>
          <t>T1</t>
        </is>
      </c>
    </row>
    <row r="7" ht="23.25" customHeight="1" s="29">
      <c r="A7" s="40" t="inlineStr">
        <is>
          <t>UC-A02</t>
        </is>
      </c>
      <c r="B7" s="40" t="inlineStr">
        <is>
          <t>Khai báo hoặc suy ra chip / ISA / board của dự án</t>
        </is>
      </c>
      <c r="C7" s="40" t="n">
        <v>1</v>
      </c>
      <c r="D7" s="40" t="inlineStr">
        <is>
          <t>T</t>
        </is>
      </c>
      <c r="E7" s="40" t="inlineStr">
        <is>
          <t>Lấy mã chip từ câu lệnh nếu người nêu (ví dụ 'dùng STM32F411CE'); nếu không, suy ra từ tài liệu ở UC-B02</t>
        </is>
      </c>
      <c r="F7" s="40" t="inlineStr">
        <is>
          <t>câu lệnh/tài liệu</t>
        </is>
      </c>
      <c r="G7" s="40" t="inlineStr">
        <is>
          <t>mã chip (đề xuất)</t>
        </is>
      </c>
      <c r="H7" s="40" t="n"/>
      <c r="I7" s="46" t="inlineStr">
        <is>
          <t>T1</t>
        </is>
      </c>
    </row>
    <row r="8" ht="23.25" customHeight="1" s="29">
      <c r="A8" s="40" t="inlineStr">
        <is>
          <t>UC-A02</t>
        </is>
      </c>
      <c r="B8" s="40" t="inlineStr">
        <is>
          <t>Khai báo hoặc suy ra chip / ISA / board của dự án</t>
        </is>
      </c>
      <c r="C8" s="40" t="n">
        <v>2</v>
      </c>
      <c r="D8" s="40" t="inlineStr">
        <is>
          <t>K</t>
        </is>
      </c>
      <c r="E8" s="40" t="inlineStr">
        <is>
          <t>Tra passport.list; nếu có lõi → ghim; nếu không → tìm registry/seed (UC-B08)</t>
        </is>
      </c>
      <c r="F8" s="40" t="inlineStr">
        <is>
          <t>mã</t>
        </is>
      </c>
      <c r="G8" s="40" t="inlineStr">
        <is>
          <t>pin hoặc yêu cầu</t>
        </is>
      </c>
      <c r="H8" s="40" t="n"/>
      <c r="I8" s="46" t="inlineStr">
        <is>
          <t>T1</t>
        </is>
      </c>
    </row>
    <row r="9" ht="23.25" customHeight="1" s="29">
      <c r="A9" s="44" t="inlineStr">
        <is>
          <t>UC-A02</t>
        </is>
      </c>
      <c r="B9" s="44" t="inlineStr">
        <is>
          <t>Khai báo hoặc suy ra chip / ISA / board của dự án</t>
        </is>
      </c>
      <c r="C9" s="44" t="n">
        <v>3</v>
      </c>
      <c r="D9" s="44" t="inlineStr">
        <is>
          <t>T</t>
        </is>
      </c>
      <c r="E9" s="44" t="inlineStr">
        <is>
          <t>Nếu bỏ trống: Librarian sẽ suy ra chip từ tài liệu (SVD/schematic/ảnh) ở UC-B02 và đề xuất; người xác nhận</t>
        </is>
      </c>
      <c r="F9" s="44" t="inlineStr">
        <is>
          <t>tài liệu</t>
        </is>
      </c>
      <c r="G9" s="44" t="inlineStr">
        <is>
          <t>đề xuất chip</t>
        </is>
      </c>
      <c r="H9" s="44" t="inlineStr">
        <is>
          <t>G-FACT</t>
        </is>
      </c>
      <c r="I9" s="46" t="inlineStr">
        <is>
          <t>T1*</t>
        </is>
      </c>
    </row>
    <row r="10" ht="23.25" customHeight="1" s="29">
      <c r="A10" s="40" t="inlineStr">
        <is>
          <t>UC-A02</t>
        </is>
      </c>
      <c r="B10" s="40" t="inlineStr">
        <is>
          <t>Khai báo hoặc suy ra chip / ISA / board của dự án</t>
        </is>
      </c>
      <c r="C10" s="40" t="n">
        <v>4</v>
      </c>
      <c r="D10" s="40" t="inlineStr">
        <is>
          <t>K</t>
        </is>
      </c>
      <c r="E10" s="40" t="inlineStr">
        <is>
          <t>Nạp ISA profile tương ứng (armv7e-m, avr8, rv32…) và toolchain manifest</t>
        </is>
      </c>
      <c r="F10" s="40" t="inlineStr">
        <is>
          <t>chip</t>
        </is>
      </c>
      <c r="G10" s="40" t="inlineStr">
        <is>
          <t>ISA</t>
        </is>
      </c>
      <c r="H10" s="40" t="n"/>
      <c r="I10" s="46" t="inlineStr">
        <is>
          <t>T1</t>
        </is>
      </c>
    </row>
    <row r="11" ht="23.25" customHeight="1" s="29">
      <c r="A11" s="40" t="inlineStr">
        <is>
          <t>UC-A02</t>
        </is>
      </c>
      <c r="B11" s="40" t="inlineStr">
        <is>
          <t>Khai báo hoặc suy ra chip / ISA / board của dự án</t>
        </is>
      </c>
      <c r="C11" s="40" t="n">
        <v>5</v>
      </c>
      <c r="D11" s="40" t="inlineStr">
        <is>
          <t>K</t>
        </is>
      </c>
      <c r="E11" s="40" t="inlineStr">
        <is>
          <t>Ghi ledger; cập nhật thanh trạng thái 'Pin: …'</t>
        </is>
      </c>
      <c r="F11" s="40" t="n"/>
      <c r="G11" s="40" t="n"/>
      <c r="H11" s="40" t="n"/>
      <c r="I11" s="46" t="inlineStr">
        <is>
          <t>T1</t>
        </is>
      </c>
    </row>
    <row r="12" ht="23.25" customHeight="1" s="29">
      <c r="A12" s="40" t="inlineStr">
        <is>
          <t>UC-A03</t>
        </is>
      </c>
      <c r="B12" s="40" t="inlineStr">
        <is>
          <t>Khám phá, cài đặt và khóa toolchain (eide doctor)</t>
        </is>
      </c>
      <c r="C12" s="40" t="n">
        <v>1</v>
      </c>
      <c r="D12" s="40" t="inlineStr">
        <is>
          <t>K</t>
        </is>
      </c>
      <c r="E12" s="40" t="inlineStr">
        <is>
          <t>Đọc toolchain manifest của ISA profile (tên, phiên bản tối thiểu, lệnh kiểm, cách cài theo hệ điều hành)</t>
        </is>
      </c>
      <c r="F12" s="40" t="inlineStr">
        <is>
          <t>manifest</t>
        </is>
      </c>
      <c r="G12" s="40" t="inlineStr">
        <is>
          <t>danh sách</t>
        </is>
      </c>
      <c r="H12" s="40" t="n"/>
      <c r="I12" s="46" t="inlineStr">
        <is>
          <t>T1</t>
        </is>
      </c>
    </row>
    <row r="13" ht="23.25" customHeight="1" s="29">
      <c r="A13" s="40" t="inlineStr">
        <is>
          <t>UC-A03</t>
        </is>
      </c>
      <c r="B13" s="40" t="inlineStr">
        <is>
          <t>Khám phá, cài đặt và khóa toolchain (eide doctor)</t>
        </is>
      </c>
      <c r="C13" s="40" t="n">
        <v>2</v>
      </c>
      <c r="D13" s="40" t="inlineStr">
        <is>
          <t>H</t>
        </is>
      </c>
      <c r="E13" s="40" t="inlineStr">
        <is>
          <t>Chạy lệnh kiểm từng công cụ (which/--version); phát hiện probe USB</t>
        </is>
      </c>
      <c r="F13" s="40" t="n"/>
      <c r="G13" s="40" t="inlineStr">
        <is>
          <t>có/thiếu/phiên bản</t>
        </is>
      </c>
      <c r="H13" s="40" t="n"/>
      <c r="I13" s="46" t="inlineStr">
        <is>
          <t>T1</t>
        </is>
      </c>
    </row>
    <row r="14" ht="23.25" customHeight="1" s="29">
      <c r="A14" s="40" t="inlineStr">
        <is>
          <t>UC-A03</t>
        </is>
      </c>
      <c r="B14" s="40" t="inlineStr">
        <is>
          <t>Khám phá, cài đặt và khóa toolchain (eide doctor)</t>
        </is>
      </c>
      <c r="C14" s="40" t="n">
        <v>3</v>
      </c>
      <c r="D14" s="40" t="inlineStr">
        <is>
          <t>T</t>
        </is>
      </c>
      <c r="E14" s="40" t="inlineStr">
        <is>
          <t>Librarian tổng hợp: bắt buộc thiếu gì, tùy chọn thiếu gì, đề xuất lệnh cài theo hệ điều hành</t>
        </is>
      </c>
      <c r="F14" s="40" t="inlineStr">
        <is>
          <t>kết quả</t>
        </is>
      </c>
      <c r="G14" s="40" t="inlineStr">
        <is>
          <t>đề xuất</t>
        </is>
      </c>
      <c r="H14" s="40" t="n"/>
      <c r="I14" s="46" t="inlineStr">
        <is>
          <t>T1</t>
        </is>
      </c>
    </row>
    <row r="15" ht="23.25" customHeight="1" s="29">
      <c r="A15" s="44" t="inlineStr">
        <is>
          <t>UC-A03</t>
        </is>
      </c>
      <c r="B15" s="44" t="inlineStr">
        <is>
          <t>Khám phá, cài đặt và khóa toolchain (eide doctor)</t>
        </is>
      </c>
      <c r="C15" s="44" t="n">
        <v>4</v>
      </c>
      <c r="D15" s="44" t="inlineStr">
        <is>
          <t>T</t>
        </is>
      </c>
      <c r="E15" s="44" t="inlineStr">
        <is>
          <t>Công cụ mở trong danh sách tin cậy: tự cài (T1); công cụ đóng/có license: hướng dẫn người cài (T3)</t>
        </is>
      </c>
      <c r="F15" s="44" t="inlineStr">
        <is>
          <t>đề xuất</t>
        </is>
      </c>
      <c r="G15" s="44" t="inlineStr">
        <is>
          <t>quyết định</t>
        </is>
      </c>
      <c r="H15" s="44" t="inlineStr">
        <is>
          <t>G-OPS</t>
        </is>
      </c>
      <c r="I15" s="46" t="inlineStr">
        <is>
          <t>T1*</t>
        </is>
      </c>
    </row>
    <row r="16" ht="23.25" customHeight="1" s="29">
      <c r="A16" s="40" t="inlineStr">
        <is>
          <t>UC-A03</t>
        </is>
      </c>
      <c r="B16" s="40" t="inlineStr">
        <is>
          <t>Khám phá, cài đặt và khóa toolchain (eide doctor)</t>
        </is>
      </c>
      <c r="C16" s="40" t="n">
        <v>5</v>
      </c>
      <c r="D16" s="40" t="inlineStr">
        <is>
          <t>H</t>
        </is>
      </c>
      <c r="E16" s="40" t="inlineStr">
        <is>
          <t>Cài; kiểm lại phiên bản; tính hash nhị phân</t>
        </is>
      </c>
      <c r="F16" s="40" t="n"/>
      <c r="G16" s="40" t="n"/>
      <c r="H16" s="40" t="n"/>
      <c r="I16" s="46" t="inlineStr">
        <is>
          <t>T1</t>
        </is>
      </c>
    </row>
    <row r="17" ht="23.25" customHeight="1" s="29">
      <c r="A17" s="40" t="inlineStr">
        <is>
          <t>UC-A03</t>
        </is>
      </c>
      <c r="B17" s="40" t="inlineStr">
        <is>
          <t>Khám phá, cài đặt và khóa toolchain (eide doctor)</t>
        </is>
      </c>
      <c r="C17" s="40" t="n">
        <v>6</v>
      </c>
      <c r="D17" s="40" t="inlineStr">
        <is>
          <t>K</t>
        </is>
      </c>
      <c r="E17" s="40" t="inlineStr">
        <is>
          <t>Ghi tools.lock; ledger; cập nhật thanh trạng thái Toolchain</t>
        </is>
      </c>
      <c r="F17" s="40" t="n"/>
      <c r="G17" s="40" t="inlineStr">
        <is>
          <t>tools.lock</t>
        </is>
      </c>
      <c r="H17" s="40" t="n"/>
      <c r="I17" s="46" t="inlineStr">
        <is>
          <t>T1</t>
        </is>
      </c>
    </row>
    <row r="18" ht="34.5" customHeight="1" s="29">
      <c r="A18" s="40" t="inlineStr">
        <is>
          <t>UC-A04</t>
        </is>
      </c>
      <c r="B18" s="40" t="inlineStr">
        <is>
          <t>Cấu hình mô hình ngôn ngữ và chế độ cục bộ</t>
        </is>
      </c>
      <c r="C18" s="40" t="n">
        <v>1</v>
      </c>
      <c r="D18" s="40" t="inlineStr">
        <is>
          <t>T</t>
        </is>
      </c>
      <c r="E18" s="40" t="inlineStr">
        <is>
          <t>Áp cấu hình mặc định (Claude/Gemini theo vai trò, reviewer khác hãng, ngân sách 5 USD/ngày, online); chỉ hỏi khi người ra lệnh đổi ('dùng Gemini cho tất cả', 'ngân sách 2 USD')</t>
        </is>
      </c>
      <c r="F18" s="40" t="inlineStr">
        <is>
          <t>câu lệnh (tùy chọn)</t>
        </is>
      </c>
      <c r="G18" s="40" t="inlineStr">
        <is>
          <t>models.yaml</t>
        </is>
      </c>
      <c r="H18" s="40" t="n"/>
      <c r="I18" s="46" t="inlineStr">
        <is>
          <t>T1</t>
        </is>
      </c>
    </row>
    <row r="19" ht="23.25" customHeight="1" s="29">
      <c r="A19" s="40" t="inlineStr">
        <is>
          <t>UC-A04</t>
        </is>
      </c>
      <c r="B19" s="40" t="inlineStr">
        <is>
          <t>Cấu hình mô hình ngôn ngữ và chế độ cục bộ</t>
        </is>
      </c>
      <c r="C19" s="40" t="n">
        <v>2</v>
      </c>
      <c r="D19" s="40" t="inlineStr">
        <is>
          <t>K</t>
        </is>
      </c>
      <c r="E19" s="40" t="inlineStr">
        <is>
          <t>Kiểm quy tắc different_vendor_from(coder); kiểm khóa API theo biến môi trường; kiểm mô hình cục bộ (Ollama)</t>
        </is>
      </c>
      <c r="F19" s="40" t="inlineStr">
        <is>
          <t>models.yaml</t>
        </is>
      </c>
      <c r="G19" s="40" t="inlineStr">
        <is>
          <t>cảnh báo</t>
        </is>
      </c>
      <c r="H19" s="40" t="n"/>
      <c r="I19" s="46" t="inlineStr">
        <is>
          <t>T1</t>
        </is>
      </c>
    </row>
    <row r="20" ht="23.25" customHeight="1" s="29">
      <c r="A20" s="40" t="inlineStr">
        <is>
          <t>UC-A04</t>
        </is>
      </c>
      <c r="B20" s="40" t="inlineStr">
        <is>
          <t>Cấu hình mô hình ngôn ngữ và chế độ cục bộ</t>
        </is>
      </c>
      <c r="C20" s="40" t="n">
        <v>3</v>
      </c>
      <c r="D20" s="40" t="inlineStr">
        <is>
          <t>K</t>
        </is>
      </c>
      <c r="E20" s="40" t="inlineStr">
        <is>
          <t>Chạy bộ kiểm thử hợp đồng 5 ca trên các adapter khả dụng (không tốn nhiều token)</t>
        </is>
      </c>
      <c r="F20" s="40" t="n"/>
      <c r="G20" s="40" t="inlineStr">
        <is>
          <t>báo cáo</t>
        </is>
      </c>
      <c r="H20" s="40" t="n"/>
      <c r="I20" s="46" t="inlineStr">
        <is>
          <t>T1</t>
        </is>
      </c>
    </row>
    <row r="21" ht="23.25" customHeight="1" s="29">
      <c r="A21" s="40" t="inlineStr">
        <is>
          <t>UC-A04</t>
        </is>
      </c>
      <c r="B21" s="40" t="inlineStr">
        <is>
          <t>Cấu hình mô hình ngôn ngữ và chế độ cục bộ</t>
        </is>
      </c>
      <c r="C21" s="40" t="n">
        <v>4</v>
      </c>
      <c r="D21" s="40" t="inlineStr">
        <is>
          <t>K</t>
        </is>
      </c>
      <c r="E21" s="40" t="inlineStr">
        <is>
          <t>Lưu; ghi ledger; cập nhật thanh trạng thái (offline/online, chi phí)</t>
        </is>
      </c>
      <c r="F21" s="40" t="n"/>
      <c r="G21" s="40" t="n"/>
      <c r="H21" s="40" t="n"/>
      <c r="I21" s="46" t="inlineStr">
        <is>
          <t>T1</t>
        </is>
      </c>
    </row>
    <row r="22" ht="23.25" customHeight="1" s="29">
      <c r="A22" s="40" t="inlineStr">
        <is>
          <t>UC-A05</t>
        </is>
      </c>
      <c r="B22" s="40" t="inlineStr">
        <is>
          <t>Nhập dự án mã nguồn có sẵn</t>
        </is>
      </c>
      <c r="C22" s="40" t="n">
        <v>1</v>
      </c>
      <c r="D22" s="40" t="inlineStr">
        <is>
          <t>T</t>
        </is>
      </c>
      <c r="E22" s="40" t="inlineStr">
        <is>
          <t>Librarian khảo sát repo: build system, thư mục, định dạng mã, README</t>
        </is>
      </c>
      <c r="F22" s="40" t="inlineStr">
        <is>
          <t>repo</t>
        </is>
      </c>
      <c r="G22" s="40" t="inlineStr">
        <is>
          <t>CONVENTIONS.md (đề xuất)</t>
        </is>
      </c>
      <c r="H22" s="40" t="n"/>
      <c r="I22" s="46" t="inlineStr">
        <is>
          <t>T1</t>
        </is>
      </c>
    </row>
    <row r="23" ht="23.25" customHeight="1" s="29">
      <c r="A23" s="40" t="inlineStr">
        <is>
          <t>UC-A05</t>
        </is>
      </c>
      <c r="B23" s="40" t="inlineStr">
        <is>
          <t>Nhập dự án mã nguồn có sẵn</t>
        </is>
      </c>
      <c r="C23" s="40" t="n">
        <v>2</v>
      </c>
      <c r="D23" s="40" t="inlineStr">
        <is>
          <t>K</t>
        </is>
      </c>
      <c r="E23" s="40" t="inlineStr">
        <is>
          <t>Phân tích tĩnh: tìm địa chỉ/bit hằng số; ánh xạ vào hộ chiếu nếu có → CodeUnit CITES/USES</t>
        </is>
      </c>
      <c r="F23" s="40" t="inlineStr">
        <is>
          <t>mã</t>
        </is>
      </c>
      <c r="G23" s="40" t="inlineStr">
        <is>
          <t>đồ thị</t>
        </is>
      </c>
      <c r="H23" s="40" t="n"/>
      <c r="I23" s="46" t="inlineStr">
        <is>
          <t>T1</t>
        </is>
      </c>
    </row>
    <row r="24" ht="15" customHeight="1" s="29">
      <c r="A24" s="40" t="inlineStr">
        <is>
          <t>UC-A05</t>
        </is>
      </c>
      <c r="B24" s="40" t="inlineStr">
        <is>
          <t>Nhập dự án mã nguồn có sẵn</t>
        </is>
      </c>
      <c r="C24" s="40" t="n">
        <v>3</v>
      </c>
      <c r="D24" s="40" t="inlineStr">
        <is>
          <t>T</t>
        </is>
      </c>
      <c r="E24" s="40" t="inlineStr">
        <is>
          <t>Báo cáo: N hằng số khớp hộ chiếu, M hằng số không nguồn (đề xuất mở UC-B07)</t>
        </is>
      </c>
      <c r="F24" s="40" t="n"/>
      <c r="G24" s="40" t="inlineStr">
        <is>
          <t>báo cáo</t>
        </is>
      </c>
      <c r="H24" s="40" t="n"/>
      <c r="I24" s="46" t="inlineStr">
        <is>
          <t>T1</t>
        </is>
      </c>
    </row>
    <row r="25" ht="23.25" customHeight="1" s="29">
      <c r="A25" s="44" t="inlineStr">
        <is>
          <t>UC-A05</t>
        </is>
      </c>
      <c r="B25" s="44" t="inlineStr">
        <is>
          <t>Nhập dự án mã nguồn có sẵn</t>
        </is>
      </c>
      <c r="C25" s="44" t="n">
        <v>4</v>
      </c>
      <c r="D25" s="44" t="inlineStr">
        <is>
          <t>N</t>
        </is>
      </c>
      <c r="E25" s="44" t="inlineStr">
        <is>
          <t>Xác nhận CONVENTIONS.md; quyết định có bổ sung hkw:fact vào mã cũ dần hay không</t>
        </is>
      </c>
      <c r="F25" s="44" t="n"/>
      <c r="G25" s="44" t="n"/>
      <c r="H25" s="44" t="n"/>
      <c r="I25" s="47" t="inlineStr">
        <is>
          <t>T2</t>
        </is>
      </c>
    </row>
    <row r="26" ht="15" customHeight="1" s="29">
      <c r="A26" s="40" t="inlineStr">
        <is>
          <t>UC-A06</t>
        </is>
      </c>
      <c r="B26" s="40" t="inlineStr">
        <is>
          <t>Tiếp tục phiên làm việc</t>
        </is>
      </c>
      <c r="C26" s="40" t="n">
        <v>1</v>
      </c>
      <c r="D26" s="40" t="inlineStr">
        <is>
          <t>K</t>
        </is>
      </c>
      <c r="E26" s="40" t="inlineStr">
        <is>
          <t>Kiểm hash store (phát hiện ghi ngoài cổng); nạp đồ thị từ cache hoặc tái dựng</t>
        </is>
      </c>
      <c r="F26" s="40" t="n"/>
      <c r="G26" s="40" t="n"/>
      <c r="H26" s="40" t="n"/>
      <c r="I26" s="46" t="inlineStr">
        <is>
          <t>T1</t>
        </is>
      </c>
    </row>
    <row r="27" ht="15" customHeight="1" s="29">
      <c r="A27" s="40" t="inlineStr">
        <is>
          <t>UC-A06</t>
        </is>
      </c>
      <c r="B27" s="40" t="inlineStr">
        <is>
          <t>Tiếp tục phiên làm việc</t>
        </is>
      </c>
      <c r="C27" s="40" t="n">
        <v>2</v>
      </c>
      <c r="D27" s="40" t="inlineStr">
        <is>
          <t>K</t>
        </is>
      </c>
      <c r="E27" s="40" t="inlineStr">
        <is>
          <t>Đọc PROGRESS.md, FEATURES.json, gate đang mở, quyền đã hết hạn</t>
        </is>
      </c>
      <c r="F27" s="40" t="n"/>
      <c r="G27" s="40" t="inlineStr">
        <is>
          <t>tóm tắt</t>
        </is>
      </c>
      <c r="H27" s="40" t="n"/>
      <c r="I27" s="46" t="inlineStr">
        <is>
          <t>T1</t>
        </is>
      </c>
    </row>
    <row r="28" ht="15" customHeight="1" s="29">
      <c r="A28" s="40" t="inlineStr">
        <is>
          <t>UC-A06</t>
        </is>
      </c>
      <c r="B28" s="40" t="inlineStr">
        <is>
          <t>Tiếp tục phiên làm việc</t>
        </is>
      </c>
      <c r="C28" s="40" t="n">
        <v>3</v>
      </c>
      <c r="D28" s="40" t="inlineStr">
        <is>
          <t>H</t>
        </is>
      </c>
      <c r="E28" s="40" t="inlineStr">
        <is>
          <t>Chạy build known-good để xác nhận môi trường còn đúng</t>
        </is>
      </c>
      <c r="F28" s="40" t="n"/>
      <c r="G28" s="40" t="inlineStr">
        <is>
          <t>ToolReport</t>
        </is>
      </c>
      <c r="H28" s="40" t="n"/>
      <c r="I28" s="46" t="inlineStr">
        <is>
          <t>T1</t>
        </is>
      </c>
    </row>
    <row r="29" ht="15" customHeight="1" s="29">
      <c r="A29" s="40" t="inlineStr">
        <is>
          <t>UC-A06</t>
        </is>
      </c>
      <c r="B29" s="40" t="inlineStr">
        <is>
          <t>Tiếp tục phiên làm việc</t>
        </is>
      </c>
      <c r="C29" s="40" t="n">
        <v>4</v>
      </c>
      <c r="D29" s="40" t="inlineStr">
        <is>
          <t>T</t>
        </is>
      </c>
      <c r="E29" s="40" t="inlineStr">
        <is>
          <t>Librarian tóm tắt 'lần trước dừng ở đâu, việc tiếp theo là gì'</t>
        </is>
      </c>
      <c r="F29" s="40" t="n"/>
      <c r="G29" s="40" t="n"/>
      <c r="H29" s="40" t="n"/>
      <c r="I29" s="46" t="inlineStr">
        <is>
          <t>T1</t>
        </is>
      </c>
    </row>
    <row r="30" ht="23.25" customHeight="1" s="29">
      <c r="A30" s="44" t="inlineStr">
        <is>
          <t>UC-B01</t>
        </is>
      </c>
      <c r="B30" s="44" t="inlineStr">
        <is>
          <t>Nhập gói tài liệu hỗn hợp (zip có mạch, ảnh, PDF, tệp linh tinh)</t>
        </is>
      </c>
      <c r="C30" s="44" t="n">
        <v>1</v>
      </c>
      <c r="D30" s="44" t="inlineStr">
        <is>
          <t>N</t>
        </is>
      </c>
      <c r="E30" s="44" t="inlineStr">
        <is>
          <t>Đưa tài liệu: kéo thả zip/thư mục, hoặc nêu đường dẫn trong câu lệnh ('tài liệu ở ~/robot-kit')</t>
        </is>
      </c>
      <c r="F30" s="44" t="inlineStr">
        <is>
          <t>zip</t>
        </is>
      </c>
      <c r="G30" s="44" t="n"/>
      <c r="H30" s="44" t="inlineStr">
        <is>
          <t>Lệnh</t>
        </is>
      </c>
      <c r="I30" s="45" t="inlineStr">
        <is>
          <t>Lệnh</t>
        </is>
      </c>
    </row>
    <row r="31" ht="23.25" customHeight="1" s="29">
      <c r="A31" s="40" t="inlineStr">
        <is>
          <t>UC-B01</t>
        </is>
      </c>
      <c r="B31" s="40" t="inlineStr">
        <is>
          <t>Nhập gói tài liệu hỗn hợp (zip có mạch, ảnh, PDF, tệp linh tinh)</t>
        </is>
      </c>
      <c r="C31" s="40" t="n">
        <v>2</v>
      </c>
      <c r="D31" s="40" t="inlineStr">
        <is>
          <t>K</t>
        </is>
      </c>
      <c r="E31" s="40" t="inlineStr">
        <is>
          <t>Mở nén đệ quy trong sandbox (≤ 5 cấp, ≤ 2 GB, chống zip-slip); tính sha256 từng tệp</t>
        </is>
      </c>
      <c r="F31" s="40" t="inlineStr">
        <is>
          <t>zip</t>
        </is>
      </c>
      <c r="G31" s="40" t="inlineStr">
        <is>
          <t>danh sách tệp</t>
        </is>
      </c>
      <c r="H31" s="40" t="n"/>
      <c r="I31" s="46" t="inlineStr">
        <is>
          <t>T1</t>
        </is>
      </c>
    </row>
    <row r="32" ht="23.25" customHeight="1" s="29">
      <c r="A32" s="40" t="inlineStr">
        <is>
          <t>UC-B01</t>
        </is>
      </c>
      <c r="B32" s="40" t="inlineStr">
        <is>
          <t>Nhập gói tài liệu hỗn hợp (zip có mạch, ảnh, PDF, tệp linh tinh)</t>
        </is>
      </c>
      <c r="C32" s="40" t="n">
        <v>3</v>
      </c>
      <c r="D32" s="40" t="inlineStr">
        <is>
          <t>K</t>
        </is>
      </c>
      <c r="E32" s="40" t="inlineStr">
        <is>
          <t>Phân loại theo chữ ký nội dung: SVD/ATDF/EDC/header/kicad → vàng; PDF/DOCX/HTML/ảnh → bạc; văn bản tự do/diễn đàn → đồng; khác → bỏ qua</t>
        </is>
      </c>
      <c r="F32" s="40" t="inlineStr">
        <is>
          <t>tệp</t>
        </is>
      </c>
      <c r="G32" s="40" t="inlineStr">
        <is>
          <t>bảng phân loại</t>
        </is>
      </c>
      <c r="H32" s="40" t="n"/>
      <c r="I32" s="46" t="inlineStr">
        <is>
          <t>T1</t>
        </is>
      </c>
    </row>
    <row r="33" ht="23.25" customHeight="1" s="29">
      <c r="A33" s="40" t="inlineStr">
        <is>
          <t>UC-B01</t>
        </is>
      </c>
      <c r="B33" s="40" t="inlineStr">
        <is>
          <t>Nhập gói tài liệu hỗn hợp (zip có mạch, ảnh, PDF, tệp linh tinh)</t>
        </is>
      </c>
      <c r="C33" s="40" t="n">
        <v>4</v>
      </c>
      <c r="D33" s="40" t="inlineStr">
        <is>
          <t>T</t>
        </is>
      </c>
      <c r="E33" s="40" t="inlineStr">
        <is>
          <t>Librarian tóm tắt: tệp nào sinh hộ chiếu ngay, tệp nào cần trích xuất + duyệt, tệp nào chỉ làm ngữ cảnh; phát hiện chip/board từ tên và nội dung</t>
        </is>
      </c>
      <c r="F33" s="40" t="inlineStr">
        <is>
          <t>bảng</t>
        </is>
      </c>
      <c r="G33" s="40" t="inlineStr">
        <is>
          <t>tóm tắt + đề xuất</t>
        </is>
      </c>
      <c r="H33" s="40" t="n"/>
      <c r="I33" s="46" t="inlineStr">
        <is>
          <t>T1</t>
        </is>
      </c>
    </row>
    <row r="34" ht="23.25" customHeight="1" s="29">
      <c r="A34" s="40" t="inlineStr">
        <is>
          <t>UC-B01</t>
        </is>
      </c>
      <c r="B34" s="40" t="inlineStr">
        <is>
          <t>Nhập gói tài liệu hỗn hợp (zip có mạch, ảnh, PDF, tệp linh tinh)</t>
        </is>
      </c>
      <c r="C34" s="40" t="n">
        <v>5</v>
      </c>
      <c r="D34" s="40" t="inlineStr">
        <is>
          <t>K</t>
        </is>
      </c>
      <c r="E34" s="40" t="inlineStr">
        <is>
          <t>Tệp vàng: chạy parser ngay → hộ chiếu (UC-B03/UC-B06). Tệp bạc: tạo AcquisitionRequest CONFIRMED → chờ trích xuất (UC-B04/B05)</t>
        </is>
      </c>
      <c r="F34" s="40" t="n"/>
      <c r="G34" s="40" t="n"/>
      <c r="H34" s="40" t="n"/>
      <c r="I34" s="46" t="inlineStr">
        <is>
          <t>T1</t>
        </is>
      </c>
    </row>
    <row r="35" ht="23.25" customHeight="1" s="29">
      <c r="A35" s="40" t="inlineStr">
        <is>
          <t>UC-B01</t>
        </is>
      </c>
      <c r="B35" s="40" t="inlineStr">
        <is>
          <t>Nhập gói tài liệu hỗn hợp (zip có mạch, ảnh, PDF, tệp linh tinh)</t>
        </is>
      </c>
      <c r="C35" s="40" t="n">
        <v>6</v>
      </c>
      <c r="D35" s="40" t="inlineStr">
        <is>
          <t>T</t>
        </is>
      </c>
      <c r="E35" s="40" t="inlineStr">
        <is>
          <t>Tự trích xuất mọi tệp bạc ngay (A3); người chỉ xem bảng và có thể loại tệp sau</t>
        </is>
      </c>
      <c r="F35" s="40" t="n"/>
      <c r="G35" s="40" t="n"/>
      <c r="H35" s="40" t="n"/>
      <c r="I35" s="46" t="inlineStr">
        <is>
          <t>T1</t>
        </is>
      </c>
    </row>
    <row r="36" ht="23.25" customHeight="1" s="29">
      <c r="A36" s="40" t="inlineStr">
        <is>
          <t>UC-B01</t>
        </is>
      </c>
      <c r="B36" s="40" t="inlineStr">
        <is>
          <t>Nhập gói tài liệu hỗn hợp (zip có mạch, ảnh, PDF, tệp linh tinh)</t>
        </is>
      </c>
      <c r="C36" s="40" t="n">
        <v>7</v>
      </c>
      <c r="D36" s="40" t="inlineStr">
        <is>
          <t>K</t>
        </is>
      </c>
      <c r="E36" s="40" t="inlineStr">
        <is>
          <t>Ghi ledger; cập nhật hàng đợi xác nhận</t>
        </is>
      </c>
      <c r="F36" s="40" t="n"/>
      <c r="G36" s="40" t="n"/>
      <c r="H36" s="40" t="n"/>
      <c r="I36" s="46" t="inlineStr">
        <is>
          <t>T1</t>
        </is>
      </c>
    </row>
    <row r="37" ht="23.25" customHeight="1" s="29">
      <c r="A37" s="40" t="inlineStr">
        <is>
          <t>UC-B02</t>
        </is>
      </c>
      <c r="B37" s="40" t="inlineStr">
        <is>
          <t>Suy ra chip / linh kiện từ tài liệu và ảnh</t>
        </is>
      </c>
      <c r="C37" s="40" t="n">
        <v>1</v>
      </c>
      <c r="D37" s="40" t="inlineStr">
        <is>
          <t>T</t>
        </is>
      </c>
      <c r="E37" s="40" t="inlineStr">
        <is>
          <t>Đọc tiêu đề PDF, mã đặt hàng, chuỗi 'STM32F411', 'BME280'; đọc nhãn linh kiện trên ảnh bằng mô hình thị giác</t>
        </is>
      </c>
      <c r="F37" s="40" t="inlineStr">
        <is>
          <t>tệp</t>
        </is>
      </c>
      <c r="G37" s="40" t="inlineStr">
        <is>
          <t>ứng viên linh kiện</t>
        </is>
      </c>
      <c r="H37" s="40" t="n"/>
      <c r="I37" s="46" t="inlineStr">
        <is>
          <t>T1</t>
        </is>
      </c>
    </row>
    <row r="38" ht="23.25" customHeight="1" s="29">
      <c r="A38" s="40" t="inlineStr">
        <is>
          <t>UC-B02</t>
        </is>
      </c>
      <c r="B38" s="40" t="inlineStr">
        <is>
          <t>Suy ra chip / linh kiện từ tài liệu và ảnh</t>
        </is>
      </c>
      <c r="C38" s="40" t="n">
        <v>2</v>
      </c>
      <c r="D38" s="40" t="inlineStr">
        <is>
          <t>K</t>
        </is>
      </c>
      <c r="E38" s="40" t="inlineStr">
        <is>
          <t>Đối chiếu với hộ chiếu có sẵn / registry</t>
        </is>
      </c>
      <c r="F38" s="40" t="n"/>
      <c r="G38" s="40" t="inlineStr">
        <is>
          <t>có/chưa có</t>
        </is>
      </c>
      <c r="H38" s="40" t="n"/>
      <c r="I38" s="46" t="inlineStr">
        <is>
          <t>T1</t>
        </is>
      </c>
    </row>
    <row r="39" ht="23.25" customHeight="1" s="29">
      <c r="A39" s="40" t="inlineStr">
        <is>
          <t>UC-B02</t>
        </is>
      </c>
      <c r="B39" s="40" t="inlineStr">
        <is>
          <t>Suy ra chip / linh kiện từ tài liệu và ảnh</t>
        </is>
      </c>
      <c r="C39" s="40" t="n">
        <v>3</v>
      </c>
      <c r="D39" s="40" t="inlineStr">
        <is>
          <t>T</t>
        </is>
      </c>
      <c r="E39" s="40" t="inlineStr">
        <is>
          <t>Trình bảng: linh kiện, vai trò dự đoán (MCU, cảm biến, driver), nguồn suy ra, tin cậy</t>
        </is>
      </c>
      <c r="F39" s="40" t="n"/>
      <c r="G39" s="40" t="inlineStr">
        <is>
          <t>bảng</t>
        </is>
      </c>
      <c r="H39" s="40" t="n"/>
      <c r="I39" s="46" t="inlineStr">
        <is>
          <t>T1</t>
        </is>
      </c>
    </row>
    <row r="40" ht="23.25" customHeight="1" s="29">
      <c r="A40" s="44" t="inlineStr">
        <is>
          <t>UC-B02</t>
        </is>
      </c>
      <c r="B40" s="44" t="inlineStr">
        <is>
          <t>Suy ra chip / linh kiện từ tài liệu và ảnh</t>
        </is>
      </c>
      <c r="C40" s="44" t="n">
        <v>4</v>
      </c>
      <c r="D40" s="44" t="inlineStr">
        <is>
          <t>N</t>
        </is>
      </c>
      <c r="E40" s="44" t="inlineStr">
        <is>
          <t>Xác nhận/sửa từng dòng (ví dụ: 'U3 là MPU6050 chứ không phải MPU9250')</t>
        </is>
      </c>
      <c r="F40" s="44" t="n"/>
      <c r="G40" s="44" t="n"/>
      <c r="H40" s="44" t="inlineStr">
        <is>
          <t>G-FACT</t>
        </is>
      </c>
      <c r="I40" s="47" t="inlineStr">
        <is>
          <t>T2</t>
        </is>
      </c>
    </row>
    <row r="41" ht="23.25" customHeight="1" s="29">
      <c r="A41" s="40" t="inlineStr">
        <is>
          <t>UC-B02</t>
        </is>
      </c>
      <c r="B41" s="40" t="inlineStr">
        <is>
          <t>Suy ra chip / linh kiện từ tài liệu và ảnh</t>
        </is>
      </c>
      <c r="C41" s="40" t="n">
        <v>5</v>
      </c>
      <c r="D41" s="40" t="inlineStr">
        <is>
          <t>K</t>
        </is>
      </c>
      <c r="E41" s="40" t="inlineStr">
        <is>
          <t>Tạo AcquisitionRequest cho hộ chiếu còn thiếu (UC-B07)</t>
        </is>
      </c>
      <c r="F41" s="40" t="n"/>
      <c r="G41" s="40" t="n"/>
      <c r="H41" s="40" t="n"/>
      <c r="I41" s="46" t="inlineStr">
        <is>
          <t>T1</t>
        </is>
      </c>
    </row>
    <row r="42" ht="23.25" customHeight="1" s="29">
      <c r="A42" s="40" t="inlineStr">
        <is>
          <t>UC-B03</t>
        </is>
      </c>
      <c r="B42" s="40" t="inlineStr">
        <is>
          <t>Nhập nguồn cấu trúc chính hãng (SVD / ATDF / EDC / header)</t>
        </is>
      </c>
      <c r="C42" s="40" t="n">
        <v>1</v>
      </c>
      <c r="D42" s="40" t="inlineStr">
        <is>
          <t>K</t>
        </is>
      </c>
      <c r="E42" s="40" t="inlineStr">
        <is>
          <t>Sniff nội dung; chọn parser (SVD: derivedFrom, dim, cluster, enum; ATDF: module/instance/bitfield/value-group)</t>
        </is>
      </c>
      <c r="F42" s="40" t="inlineStr">
        <is>
          <t>tệp</t>
        </is>
      </c>
      <c r="G42" s="40" t="inlineStr">
        <is>
          <t>facts[]</t>
        </is>
      </c>
      <c r="H42" s="40" t="n"/>
      <c r="I42" s="46" t="inlineStr">
        <is>
          <t>T1</t>
        </is>
      </c>
    </row>
    <row r="43" ht="23.25" customHeight="1" s="29">
      <c r="A43" s="40" t="inlineStr">
        <is>
          <t>UC-B03</t>
        </is>
      </c>
      <c r="B43" s="40" t="inlineStr">
        <is>
          <t>Nhập nguồn cấu trúc chính hãng (SVD / ATDF / EDC / header)</t>
        </is>
      </c>
      <c r="C43" s="40" t="n">
        <v>2</v>
      </c>
      <c r="D43" s="40" t="inlineStr">
        <is>
          <t>K</t>
        </is>
      </c>
      <c r="E43" s="40" t="inlineStr">
        <is>
          <t>Ghi qua cổng ghi duy nhất: hợp nhất theo tier; predicate nhiều giá trị (irq, enum) không gây mâu thuẫn</t>
        </is>
      </c>
      <c r="F43" s="40" t="inlineStr">
        <is>
          <t>facts</t>
        </is>
      </c>
      <c r="G43" s="40" t="inlineStr">
        <is>
          <t>WriteResult</t>
        </is>
      </c>
      <c r="H43" s="40" t="n"/>
      <c r="I43" s="46" t="inlineStr">
        <is>
          <t>T1</t>
        </is>
      </c>
    </row>
    <row r="44" ht="23.25" customHeight="1" s="29">
      <c r="A44" s="40" t="inlineStr">
        <is>
          <t>UC-B03</t>
        </is>
      </c>
      <c r="B44" s="40" t="inlineStr">
        <is>
          <t>Nhập nguồn cấu trúc chính hãng (SVD / ATDF / EDC / header)</t>
        </is>
      </c>
      <c r="C44" s="40" t="n">
        <v>3</v>
      </c>
      <c r="D44" s="40" t="inlineStr">
        <is>
          <t>K</t>
        </is>
      </c>
      <c r="E44" s="40" t="inlineStr">
        <is>
          <t>Nếu tệp từ thư mục *-Community hoặc không rõ nguồn hãng → tầng bạc</t>
        </is>
      </c>
      <c r="F44" s="40" t="n"/>
      <c r="G44" s="40" t="n"/>
      <c r="H44" s="40" t="n"/>
      <c r="I44" s="46" t="inlineStr">
        <is>
          <t>T1</t>
        </is>
      </c>
    </row>
    <row r="45" ht="23.25" customHeight="1" s="29">
      <c r="A45" s="40" t="inlineStr">
        <is>
          <t>UC-B03</t>
        </is>
      </c>
      <c r="B45" s="40" t="inlineStr">
        <is>
          <t>Nhập nguồn cấu trúc chính hãng (SVD / ATDF / EDC / header)</t>
        </is>
      </c>
      <c r="C45" s="40" t="n">
        <v>4</v>
      </c>
      <c r="D45" s="40" t="inlineStr">
        <is>
          <t>T</t>
        </is>
      </c>
      <c r="E45" s="40" t="inlineStr">
        <is>
          <t>Librarian báo: số ngoại vi/thanh ghi/bit-field, cảnh báo parser, mâu thuẫn với nguồn khác</t>
        </is>
      </c>
      <c r="F45" s="40" t="n"/>
      <c r="G45" s="40" t="inlineStr">
        <is>
          <t>báo cáo</t>
        </is>
      </c>
      <c r="H45" s="40" t="n"/>
      <c r="I45" s="46" t="inlineStr">
        <is>
          <t>T1</t>
        </is>
      </c>
    </row>
    <row r="46" ht="23.25" customHeight="1" s="29">
      <c r="A46" s="44" t="inlineStr">
        <is>
          <t>UC-B03</t>
        </is>
      </c>
      <c r="B46" s="44" t="inlineStr">
        <is>
          <t>Nhập nguồn cấu trúc chính hãng (SVD / ATDF / EDC / header)</t>
        </is>
      </c>
      <c r="C46" s="44" t="n">
        <v>5</v>
      </c>
      <c r="D46" s="44" t="inlineStr">
        <is>
          <t>N</t>
        </is>
      </c>
      <c r="E46" s="44" t="inlineStr">
        <is>
          <t>Nếu có mâu thuẫn hoặc phiên bản mới: quyết định ghim phiên bản (UC-B13)</t>
        </is>
      </c>
      <c r="F46" s="44" t="n"/>
      <c r="G46" s="44" t="n"/>
      <c r="H46" s="44" t="n"/>
      <c r="I46" s="47" t="inlineStr">
        <is>
          <t>T2</t>
        </is>
      </c>
    </row>
    <row r="47" ht="34.5" customHeight="1" s="29">
      <c r="A47" s="40" t="inlineStr">
        <is>
          <t>UC-B04</t>
        </is>
      </c>
      <c r="B47" s="40" t="inlineStr">
        <is>
          <t>Trích xuất tri thức từ PDF (datasheet, reference manual, errata)</t>
        </is>
      </c>
      <c r="C47" s="40" t="n">
        <v>1</v>
      </c>
      <c r="D47" s="40" t="inlineStr">
        <is>
          <t>K</t>
        </is>
      </c>
      <c r="E47" s="40" t="inlineStr">
        <is>
          <t>Docling/pdfplumber: bố cục, bảng, tiêu đề; nhận diện chương 'Register map', 'Electrical characteristics', 'Errata'</t>
        </is>
      </c>
      <c r="F47" s="40" t="inlineStr">
        <is>
          <t>PDF</t>
        </is>
      </c>
      <c r="G47" s="40" t="inlineStr">
        <is>
          <t>bảng + bbox</t>
        </is>
      </c>
      <c r="H47" s="40" t="n"/>
      <c r="I47" s="46" t="inlineStr">
        <is>
          <t>T1</t>
        </is>
      </c>
    </row>
    <row r="48" ht="34.5" customHeight="1" s="29">
      <c r="A48" s="40" t="inlineStr">
        <is>
          <t>UC-B04</t>
        </is>
      </c>
      <c r="B48" s="40" t="inlineStr">
        <is>
          <t>Trích xuất tri thức từ PDF (datasheet, reference manual, errata)</t>
        </is>
      </c>
      <c r="C48" s="40" t="n">
        <v>2</v>
      </c>
      <c r="D48" s="40" t="inlineStr">
        <is>
          <t>T</t>
        </is>
      </c>
      <c r="E48" s="40" t="inlineStr">
        <is>
          <t>Librarian dùng mô hình có schema chuyển từng bảng thành fact {subject, predicate, value, unit, confidence}; giữ trang/bbox</t>
        </is>
      </c>
      <c r="F48" s="40" t="inlineStr">
        <is>
          <t>bảng</t>
        </is>
      </c>
      <c r="G48" s="40" t="inlineStr">
        <is>
          <t>facts</t>
        </is>
      </c>
      <c r="H48" s="40" t="n"/>
      <c r="I48" s="46" t="inlineStr">
        <is>
          <t>T1</t>
        </is>
      </c>
    </row>
    <row r="49" ht="34.5" customHeight="1" s="29">
      <c r="A49" s="40" t="inlineStr">
        <is>
          <t>UC-B04</t>
        </is>
      </c>
      <c r="B49" s="40" t="inlineStr">
        <is>
          <t>Trích xuất tri thức từ PDF (datasheet, reference manual, errata)</t>
        </is>
      </c>
      <c r="C49" s="40" t="n">
        <v>3</v>
      </c>
      <c r="D49" s="40" t="inlineStr">
        <is>
          <t>K</t>
        </is>
      </c>
      <c r="E49" s="40" t="inlineStr">
        <is>
          <t>Hợp nhất trùng lặp; phát hiện mâu thuẫn với nguồn khác; xếp nhóm (thanh ghi, chân, điện, errata)</t>
        </is>
      </c>
      <c r="F49" s="40" t="inlineStr">
        <is>
          <t>facts</t>
        </is>
      </c>
      <c r="G49" s="40" t="inlineStr">
        <is>
          <t>nhóm</t>
        </is>
      </c>
      <c r="H49" s="40" t="n"/>
      <c r="I49" s="46" t="inlineStr">
        <is>
          <t>T1</t>
        </is>
      </c>
    </row>
    <row r="50" ht="34.5" customHeight="1" s="29">
      <c r="A50" s="40" t="inlineStr">
        <is>
          <t>UC-B04</t>
        </is>
      </c>
      <c r="B50" s="40" t="inlineStr">
        <is>
          <t>Trích xuất tri thức từ PDF (datasheet, reference manual, errata)</t>
        </is>
      </c>
      <c r="C50" s="40" t="n">
        <v>4</v>
      </c>
      <c r="D50" s="40" t="inlineStr">
        <is>
          <t>K</t>
        </is>
      </c>
      <c r="E50" s="40" t="inlineStr">
        <is>
          <t>Cắt ảnh vùng bảng làm bằng chứng; đưa vào hàng đợi G-FACT</t>
        </is>
      </c>
      <c r="F50" s="40" t="n"/>
      <c r="G50" s="40" t="inlineStr">
        <is>
          <t>ảnh cắt</t>
        </is>
      </c>
      <c r="H50" s="40" t="n"/>
      <c r="I50" s="46" t="inlineStr">
        <is>
          <t>T1</t>
        </is>
      </c>
    </row>
    <row r="51" ht="34.5" customHeight="1" s="29">
      <c r="A51" s="44" t="inlineStr">
        <is>
          <t>UC-B04</t>
        </is>
      </c>
      <c r="B51" s="44" t="inlineStr">
        <is>
          <t>Trích xuất tri thức từ PDF (datasheet, reference manual, errata)</t>
        </is>
      </c>
      <c r="C51" s="44" t="n">
        <v>5</v>
      </c>
      <c r="D51" s="44" t="inlineStr">
        <is>
          <t>N</t>
        </is>
      </c>
      <c r="E51" s="44" t="inlineStr">
        <is>
          <t>Duyệt theo nhóm (UC-B10)</t>
        </is>
      </c>
      <c r="F51" s="44" t="n"/>
      <c r="G51" s="44" t="n"/>
      <c r="H51" s="44" t="inlineStr">
        <is>
          <t>G-FACT</t>
        </is>
      </c>
      <c r="I51" s="47" t="inlineStr">
        <is>
          <t>T2</t>
        </is>
      </c>
    </row>
    <row r="52" ht="23.25" customHeight="1" s="29">
      <c r="A52" s="40" t="inlineStr">
        <is>
          <t>UC-B05</t>
        </is>
      </c>
      <c r="B52" s="40" t="inlineStr">
        <is>
          <t>Trích xuất từ ảnh (schematic chụp, ảnh board, ảnh màn hình đo)</t>
        </is>
      </c>
      <c r="C52" s="40" t="n">
        <v>1</v>
      </c>
      <c r="D52" s="40" t="inlineStr">
        <is>
          <t>T</t>
        </is>
      </c>
      <c r="E52" s="40" t="inlineStr">
        <is>
          <t>Gửi ảnh + schema 'nets[], parts[]' cho mô hình thị giác; nhận bảng đề xuất</t>
        </is>
      </c>
      <c r="F52" s="40" t="inlineStr">
        <is>
          <t>ảnh</t>
        </is>
      </c>
      <c r="G52" s="40" t="inlineStr">
        <is>
          <t>bảng</t>
        </is>
      </c>
      <c r="H52" s="40" t="n"/>
      <c r="I52" s="46" t="inlineStr">
        <is>
          <t>T1</t>
        </is>
      </c>
    </row>
    <row r="53" ht="23.25" customHeight="1" s="29">
      <c r="A53" s="40" t="inlineStr">
        <is>
          <t>UC-B05</t>
        </is>
      </c>
      <c r="B53" s="40" t="inlineStr">
        <is>
          <t>Trích xuất từ ảnh (schematic chụp, ảnh board, ảnh màn hình đo)</t>
        </is>
      </c>
      <c r="C53" s="40" t="n">
        <v>2</v>
      </c>
      <c r="D53" s="40" t="inlineStr">
        <is>
          <t>K</t>
        </is>
      </c>
      <c r="E53" s="40" t="inlineStr">
        <is>
          <t>Đối chiếu với BoardPassport (nếu có) và hộ chiếu chip (tên chân hợp lệ?)</t>
        </is>
      </c>
      <c r="F53" s="40" t="n"/>
      <c r="G53" s="40" t="inlineStr">
        <is>
          <t>cảnh báo</t>
        </is>
      </c>
      <c r="H53" s="40" t="n"/>
      <c r="I53" s="46" t="inlineStr">
        <is>
          <t>T1</t>
        </is>
      </c>
    </row>
    <row r="54" ht="23.25" customHeight="1" s="29">
      <c r="A54" s="40" t="inlineStr">
        <is>
          <t>UC-B05</t>
        </is>
      </c>
      <c r="B54" s="40" t="inlineStr">
        <is>
          <t>Trích xuất từ ảnh (schematic chụp, ảnh board, ảnh màn hình đo)</t>
        </is>
      </c>
      <c r="C54" s="40" t="n">
        <v>3</v>
      </c>
      <c r="D54" s="40" t="inlineStr">
        <is>
          <t>T</t>
        </is>
      </c>
      <c r="E54" s="40" t="inlineStr">
        <is>
          <t>Trình bảng với ảnh cắt từng vùng; đánh dấu dòng tin cậy thấp</t>
        </is>
      </c>
      <c r="F54" s="40" t="n"/>
      <c r="G54" s="40" t="n"/>
      <c r="H54" s="40" t="n"/>
      <c r="I54" s="46" t="inlineStr">
        <is>
          <t>T1</t>
        </is>
      </c>
    </row>
    <row r="55" ht="23.25" customHeight="1" s="29">
      <c r="A55" s="44" t="inlineStr">
        <is>
          <t>UC-B05</t>
        </is>
      </c>
      <c r="B55" s="44" t="inlineStr">
        <is>
          <t>Trích xuất từ ảnh (schematic chụp, ảnh board, ảnh màn hình đo)</t>
        </is>
      </c>
      <c r="C55" s="44" t="n">
        <v>4</v>
      </c>
      <c r="D55" s="44" t="inlineStr">
        <is>
          <t>N</t>
        </is>
      </c>
      <c r="E55" s="44" t="inlineStr">
        <is>
          <t>Sửa/duyệt</t>
        </is>
      </c>
      <c r="F55" s="44" t="n"/>
      <c r="G55" s="44" t="n"/>
      <c r="H55" s="44" t="inlineStr">
        <is>
          <t>G-FACT</t>
        </is>
      </c>
      <c r="I55" s="47" t="inlineStr">
        <is>
          <t>T2</t>
        </is>
      </c>
    </row>
    <row r="56" ht="23.25" customHeight="1" s="29">
      <c r="A56" s="40" t="inlineStr">
        <is>
          <t>UC-B06</t>
        </is>
      </c>
      <c r="B56" s="40" t="inlineStr">
        <is>
          <t>Nhập schematic KiCad và dựng hộ chiếu mạch</t>
        </is>
      </c>
      <c r="C56" s="40" t="n">
        <v>1</v>
      </c>
      <c r="D56" s="40" t="inlineStr">
        <is>
          <t>H</t>
        </is>
      </c>
      <c r="E56" s="40" t="inlineStr">
        <is>
          <t>kicad-cli sch export netlist</t>
        </is>
      </c>
      <c r="F56" s="40" t="inlineStr">
        <is>
          <t>.kicad_sch</t>
        </is>
      </c>
      <c r="G56" s="40" t="inlineStr">
        <is>
          <t>netlist XML</t>
        </is>
      </c>
      <c r="H56" s="40" t="n"/>
      <c r="I56" s="46" t="inlineStr">
        <is>
          <t>T1</t>
        </is>
      </c>
    </row>
    <row r="57" ht="23.25" customHeight="1" s="29">
      <c r="A57" s="40" t="inlineStr">
        <is>
          <t>UC-B06</t>
        </is>
      </c>
      <c r="B57" s="40" t="inlineStr">
        <is>
          <t>Nhập schematic KiCad và dựng hộ chiếu mạch</t>
        </is>
      </c>
      <c r="C57" s="40" t="n">
        <v>2</v>
      </c>
      <c r="D57" s="40" t="inlineStr">
        <is>
          <t>K</t>
        </is>
      </c>
      <c r="E57" s="40" t="inlineStr">
        <is>
          <t>Ánh xạ ref → MPN → hộ chiếu (U1 = st.stm32f411; U2 = bosch.bme280); pin → tên chân MCU</t>
        </is>
      </c>
      <c r="F57" s="40" t="inlineStr">
        <is>
          <t>netlist</t>
        </is>
      </c>
      <c r="G57" s="40" t="inlineStr">
        <is>
          <t>nets/pins/parts</t>
        </is>
      </c>
      <c r="H57" s="40" t="n"/>
      <c r="I57" s="46" t="inlineStr">
        <is>
          <t>T1</t>
        </is>
      </c>
    </row>
    <row r="58" ht="23.25" customHeight="1" s="29">
      <c r="A58" s="40" t="inlineStr">
        <is>
          <t>UC-B06</t>
        </is>
      </c>
      <c r="B58" s="40" t="inlineStr">
        <is>
          <t>Nhập schematic KiCad và dựng hộ chiếu mạch</t>
        </is>
      </c>
      <c r="C58" s="40" t="n">
        <v>3</v>
      </c>
      <c r="D58" s="40" t="inlineStr">
        <is>
          <t>T</t>
        </is>
      </c>
      <c r="E58" s="40" t="inlineStr">
        <is>
          <t>Cartographer suy ra bus và địa chỉ (SDO→GND ⇒ 0x76), pull-up, chân reserved/boot; chức năng AF khả dĩ</t>
        </is>
      </c>
      <c r="F58" s="40" t="n"/>
      <c r="G58" s="40" t="inlineStr">
        <is>
          <t>facts K3</t>
        </is>
      </c>
      <c r="H58" s="40" t="n"/>
      <c r="I58" s="46" t="inlineStr">
        <is>
          <t>T1</t>
        </is>
      </c>
    </row>
    <row r="59" ht="23.25" customHeight="1" s="29">
      <c r="A59" s="40" t="inlineStr">
        <is>
          <t>UC-B06</t>
        </is>
      </c>
      <c r="B59" s="40" t="inlineStr">
        <is>
          <t>Nhập schematic KiCad và dựng hộ chiếu mạch</t>
        </is>
      </c>
      <c r="C59" s="40" t="n">
        <v>4</v>
      </c>
      <c r="D59" s="40" t="inlineStr">
        <is>
          <t>K</t>
        </is>
      </c>
      <c r="E59" s="40" t="inlineStr">
        <is>
          <t>kg.conflicts: chân hai chức năng, reserved bị dùng, trùng địa chỉ bus</t>
        </is>
      </c>
      <c r="F59" s="40" t="n"/>
      <c r="G59" s="40" t="inlineStr">
        <is>
          <t>cảnh báo</t>
        </is>
      </c>
      <c r="H59" s="40" t="n"/>
      <c r="I59" s="46" t="inlineStr">
        <is>
          <t>T1</t>
        </is>
      </c>
    </row>
    <row r="60" ht="23.25" customHeight="1" s="29">
      <c r="A60" s="44" t="inlineStr">
        <is>
          <t>UC-B06</t>
        </is>
      </c>
      <c r="B60" s="44" t="inlineStr">
        <is>
          <t>Nhập schematic KiCad và dựng hộ chiếu mạch</t>
        </is>
      </c>
      <c r="C60" s="44" t="n">
        <v>5</v>
      </c>
      <c r="D60" s="44" t="inlineStr">
        <is>
          <t>N</t>
        </is>
      </c>
      <c r="E60" s="44" t="inlineStr">
        <is>
          <t>Duyệt BoardPassport; chọn cách giải quyết xung đột</t>
        </is>
      </c>
      <c r="F60" s="44" t="n"/>
      <c r="G60" s="44" t="n"/>
      <c r="H60" s="44" t="inlineStr">
        <is>
          <t>G-FACT</t>
        </is>
      </c>
      <c r="I60" s="47" t="inlineStr">
        <is>
          <t>T2</t>
        </is>
      </c>
    </row>
    <row r="61" ht="23.25" customHeight="1" s="29">
      <c r="A61" s="40" t="inlineStr">
        <is>
          <t>UC-B07</t>
        </is>
      </c>
      <c r="B61" s="40" t="inlineStr">
        <is>
          <t>Phát hiện thiếu tri thức và tạo yêu cầu nhận tri thức</t>
        </is>
      </c>
      <c r="C61" s="40" t="n">
        <v>1</v>
      </c>
      <c r="D61" s="40" t="inlineStr">
        <is>
          <t>T</t>
        </is>
      </c>
      <c r="E61" s="40" t="inlineStr">
        <is>
          <t>Tác tử mô tả cần gì và vì sao (ví dụ 'công thức bù nhiệt BME280 tr.25 để viết bước 5')</t>
        </is>
      </c>
      <c r="F61" s="40" t="n"/>
      <c r="G61" s="40" t="inlineStr">
        <is>
          <t>need</t>
        </is>
      </c>
      <c r="H61" s="40" t="n"/>
      <c r="I61" s="46" t="inlineStr">
        <is>
          <t>T1</t>
        </is>
      </c>
    </row>
    <row r="62" ht="23.25" customHeight="1" s="29">
      <c r="A62" s="40" t="inlineStr">
        <is>
          <t>UC-B07</t>
        </is>
      </c>
      <c r="B62" s="40" t="inlineStr">
        <is>
          <t>Phát hiện thiếu tri thức và tạo yêu cầu nhận tri thức</t>
        </is>
      </c>
      <c r="C62" s="40" t="n">
        <v>2</v>
      </c>
      <c r="D62" s="40" t="inlineStr">
        <is>
          <t>K</t>
        </is>
      </c>
      <c r="E62" s="40" t="inlineStr">
        <is>
          <t>Tạo yêu cầu; liên kết với Feature/STEP đang làm</t>
        </is>
      </c>
      <c r="F62" s="40" t="n"/>
      <c r="G62" s="40" t="inlineStr">
        <is>
          <t>request</t>
        </is>
      </c>
      <c r="H62" s="40" t="n"/>
      <c r="I62" s="46" t="inlineStr">
        <is>
          <t>T1</t>
        </is>
      </c>
    </row>
    <row r="63" ht="23.25" customHeight="1" s="29">
      <c r="A63" s="40" t="inlineStr">
        <is>
          <t>UC-B07</t>
        </is>
      </c>
      <c r="B63" s="40" t="inlineStr">
        <is>
          <t>Phát hiện thiếu tri thức và tạo yêu cầu nhận tri thức</t>
        </is>
      </c>
      <c r="C63" s="40" t="n">
        <v>3</v>
      </c>
      <c r="D63" s="40" t="inlineStr">
        <is>
          <t>T</t>
        </is>
      </c>
      <c r="E63" s="40" t="inlineStr">
        <is>
          <t>Thông báo trong chat và hàng đợi; đề nghị tìm (UC-B08) hoặc người cung cấp tệp</t>
        </is>
      </c>
      <c r="F63" s="40" t="n"/>
      <c r="G63" s="40" t="n"/>
      <c r="H63" s="40" t="n"/>
      <c r="I63" s="46" t="inlineStr">
        <is>
          <t>T1</t>
        </is>
      </c>
    </row>
    <row r="64" ht="23.25" customHeight="1" s="29">
      <c r="A64" s="44" t="inlineStr">
        <is>
          <t>UC-B07</t>
        </is>
      </c>
      <c r="B64" s="44" t="inlineStr">
        <is>
          <t>Phát hiện thiếu tri thức và tạo yêu cầu nhận tri thức</t>
        </is>
      </c>
      <c r="C64" s="44" t="n">
        <v>4</v>
      </c>
      <c r="D64" s="44" t="inlineStr">
        <is>
          <t>N</t>
        </is>
      </c>
      <c r="E64" s="44" t="inlineStr">
        <is>
          <t>Chọn: tìm tự động / tôi có tệp / bỏ qua (ghi lý do)</t>
        </is>
      </c>
      <c r="F64" s="44" t="n"/>
      <c r="G64" s="44" t="n"/>
      <c r="H64" s="44" t="n"/>
      <c r="I64" s="47" t="inlineStr">
        <is>
          <t>T2</t>
        </is>
      </c>
    </row>
    <row r="65" ht="23.25" customHeight="1" s="29">
      <c r="A65" s="40" t="inlineStr">
        <is>
          <t>UC-B08</t>
        </is>
      </c>
      <c r="B65" s="40" t="inlineStr">
        <is>
          <t>Tìm nguồn tri thức (registry → kho hãng → docs MCP → web)</t>
        </is>
      </c>
      <c r="C65" s="40" t="n">
        <v>1</v>
      </c>
      <c r="D65" s="40" t="inlineStr">
        <is>
          <t>T</t>
        </is>
      </c>
      <c r="E65" s="40" t="inlineStr">
        <is>
          <t>Tìm registry nội bộ theo part/MPN</t>
        </is>
      </c>
      <c r="F65" s="40" t="n"/>
      <c r="G65" s="40" t="inlineStr">
        <is>
          <t>ứng viên</t>
        </is>
      </c>
      <c r="H65" s="40" t="n"/>
      <c r="I65" s="46" t="inlineStr">
        <is>
          <t>T1</t>
        </is>
      </c>
    </row>
    <row r="66" ht="23.25" customHeight="1" s="29">
      <c r="A66" s="40" t="inlineStr">
        <is>
          <t>UC-B08</t>
        </is>
      </c>
      <c r="B66" s="40" t="inlineStr">
        <is>
          <t>Tìm nguồn tri thức (registry → kho hãng → docs MCP → web)</t>
        </is>
      </c>
      <c r="C66" s="40" t="n">
        <v>2</v>
      </c>
      <c r="D66" s="40" t="inlineStr">
        <is>
          <t>T</t>
        </is>
      </c>
      <c r="E66" s="40" t="inlineStr">
        <is>
          <t>Tìm kho hãng theo mẫu URL đã biết (CMSIS pack, Microchip pack, Bosch, ST) và docs MCP (Espressif/Nordic)</t>
        </is>
      </c>
      <c r="F66" s="40" t="n"/>
      <c r="G66" s="40" t="inlineStr">
        <is>
          <t>ứng viên</t>
        </is>
      </c>
      <c r="H66" s="40" t="n"/>
      <c r="I66" s="46" t="inlineStr">
        <is>
          <t>T1</t>
        </is>
      </c>
    </row>
    <row r="67" ht="23.25" customHeight="1" s="29">
      <c r="A67" s="40" t="inlineStr">
        <is>
          <t>UC-B08</t>
        </is>
      </c>
      <c r="B67" s="40" t="inlineStr">
        <is>
          <t>Tìm nguồn tri thức (registry → kho hãng → docs MCP → web)</t>
        </is>
      </c>
      <c r="C67" s="40" t="n">
        <v>3</v>
      </c>
      <c r="D67" s="40" t="inlineStr">
        <is>
          <t>T</t>
        </is>
      </c>
      <c r="E67" s="40" t="inlineStr">
        <is>
          <t>Tìm web (chỉ khi cho phép): ưu tiên tên miền hãng; lấy kích thước, ngày, license nếu đọc được; hash nếu HEAD/tải nhỏ</t>
        </is>
      </c>
      <c r="F67" s="40" t="n"/>
      <c r="G67" s="40" t="inlineStr">
        <is>
          <t>ứng viên</t>
        </is>
      </c>
      <c r="H67" s="40" t="n"/>
      <c r="I67" s="46" t="inlineStr">
        <is>
          <t>T1</t>
        </is>
      </c>
    </row>
    <row r="68" ht="23.25" customHeight="1" s="29">
      <c r="A68" s="40" t="inlineStr">
        <is>
          <t>UC-B08</t>
        </is>
      </c>
      <c r="B68" s="40" t="inlineStr">
        <is>
          <t>Tìm nguồn tri thức (registry → kho hãng → docs MCP → web)</t>
        </is>
      </c>
      <c r="C68" s="40" t="n">
        <v>4</v>
      </c>
      <c r="D68" s="40" t="inlineStr">
        <is>
          <t>K</t>
        </is>
      </c>
      <c r="E68" s="40" t="inlineStr">
        <is>
          <t>Xếp hạng theo tầng dự kiến (vàng &gt; bạc &gt; đồng) và tên miền; loại trùng</t>
        </is>
      </c>
      <c r="F68" s="40" t="n"/>
      <c r="G68" s="40" t="inlineStr">
        <is>
          <t>danh sách</t>
        </is>
      </c>
      <c r="H68" s="40" t="n"/>
      <c r="I68" s="46" t="inlineStr">
        <is>
          <t>T1</t>
        </is>
      </c>
    </row>
    <row r="69" ht="23.25" customHeight="1" s="29">
      <c r="A69" s="40" t="inlineStr">
        <is>
          <t>UC-B08</t>
        </is>
      </c>
      <c r="B69" s="40" t="inlineStr">
        <is>
          <t>Tìm nguồn tri thức (registry → kho hãng → docs MCP → web)</t>
        </is>
      </c>
      <c r="C69" s="40" t="n">
        <v>5</v>
      </c>
      <c r="D69" s="40" t="inlineStr">
        <is>
          <t>T</t>
        </is>
      </c>
      <c r="E69" s="40" t="inlineStr">
        <is>
          <t>Trình bày cho người kèm lý do chọn từng ứng viên (UC-B09)</t>
        </is>
      </c>
      <c r="F69" s="40" t="n"/>
      <c r="G69" s="40" t="n"/>
      <c r="H69" s="40" t="n"/>
      <c r="I69" s="46" t="inlineStr">
        <is>
          <t>T1</t>
        </is>
      </c>
    </row>
    <row r="70" ht="23.25" customHeight="1" s="29">
      <c r="A70" s="44" t="inlineStr">
        <is>
          <t>UC-B09</t>
        </is>
      </c>
      <c r="B70" s="44" t="inlineStr">
        <is>
          <t>Xác nhận nguồn (G-SRC): xem thông tin, chọn, tải</t>
        </is>
      </c>
      <c r="C70" s="44" t="n">
        <v>1</v>
      </c>
      <c r="D70" s="44" t="inlineStr">
        <is>
          <t>N</t>
        </is>
      </c>
      <c r="E70" s="44" t="inlineStr">
        <is>
          <t>Mở mục G-SRC; xem từng ứng viên: nguồn, tên miền, ngày, kích thước, license, tầng dự kiến, lý do của Librarian</t>
        </is>
      </c>
      <c r="F70" s="44" t="n"/>
      <c r="G70" s="44" t="n"/>
      <c r="H70" s="44" t="n"/>
      <c r="I70" s="47" t="inlineStr">
        <is>
          <t>T2</t>
        </is>
      </c>
    </row>
    <row r="71" ht="23.25" customHeight="1" s="29">
      <c r="A71" s="44" t="inlineStr">
        <is>
          <t>UC-B09</t>
        </is>
      </c>
      <c r="B71" s="44" t="inlineStr">
        <is>
          <t>Xác nhận nguồn (G-SRC): xem thông tin, chọn, tải</t>
        </is>
      </c>
      <c r="C71" s="44" t="n">
        <v>2</v>
      </c>
      <c r="D71" s="44" t="inlineStr">
        <is>
          <t>N</t>
        </is>
      </c>
      <c r="E71" s="44" t="inlineStr">
        <is>
          <t>Chọn một hoặc nhiều; loại; hoặc 'tôi tự đưa tệp'</t>
        </is>
      </c>
      <c r="F71" s="44" t="n"/>
      <c r="G71" s="44" t="inlineStr">
        <is>
          <t>quyết định</t>
        </is>
      </c>
      <c r="H71" s="44" t="inlineStr">
        <is>
          <t>G-SRC</t>
        </is>
      </c>
      <c r="I71" s="47" t="inlineStr">
        <is>
          <t>T2</t>
        </is>
      </c>
    </row>
    <row r="72" ht="23.25" customHeight="1" s="29">
      <c r="A72" s="40" t="inlineStr">
        <is>
          <t>UC-B09</t>
        </is>
      </c>
      <c r="B72" s="40" t="inlineStr">
        <is>
          <t>Xác nhận nguồn (G-SRC): xem thông tin, chọn, tải</t>
        </is>
      </c>
      <c r="C72" s="40" t="n">
        <v>3</v>
      </c>
      <c r="D72" s="40" t="inlineStr">
        <is>
          <t>K</t>
        </is>
      </c>
      <c r="E72" s="40" t="inlineStr">
        <is>
          <t>Tải (trong sandbox, giới hạn dung lượng); tính sha256; kiểm khớp hash nếu ứng viên có hash</t>
        </is>
      </c>
      <c r="F72" s="40" t="n"/>
      <c r="G72" s="40" t="inlineStr">
        <is>
          <t>tệp</t>
        </is>
      </c>
      <c r="H72" s="40" t="n"/>
      <c r="I72" s="46" t="inlineStr">
        <is>
          <t>T1</t>
        </is>
      </c>
    </row>
    <row r="73" ht="23.25" customHeight="1" s="29">
      <c r="A73" s="40" t="inlineStr">
        <is>
          <t>UC-B09</t>
        </is>
      </c>
      <c r="B73" s="40" t="inlineStr">
        <is>
          <t>Xác nhận nguồn (G-SRC): xem thông tin, chọn, tải</t>
        </is>
      </c>
      <c r="C73" s="40" t="n">
        <v>4</v>
      </c>
      <c r="D73" s="40" t="inlineStr">
        <is>
          <t>K</t>
        </is>
      </c>
      <c r="E73" s="40" t="inlineStr">
        <is>
          <t>Tạo Source {uri, sha256, kind, tier, license}; yêu cầu → CONFIRMED; xếp hàng trích xuất</t>
        </is>
      </c>
      <c r="F73" s="40" t="n"/>
      <c r="G73" s="40" t="n"/>
      <c r="H73" s="40" t="n"/>
      <c r="I73" s="46" t="inlineStr">
        <is>
          <t>T1</t>
        </is>
      </c>
    </row>
    <row r="74" ht="23.25" customHeight="1" s="29">
      <c r="A74" s="40" t="inlineStr">
        <is>
          <t>UC-B09</t>
        </is>
      </c>
      <c r="B74" s="40" t="inlineStr">
        <is>
          <t>Xác nhận nguồn (G-SRC): xem thông tin, chọn, tải</t>
        </is>
      </c>
      <c r="C74" s="40" t="n">
        <v>5</v>
      </c>
      <c r="D74" s="40" t="inlineStr">
        <is>
          <t>T</t>
        </is>
      </c>
      <c r="E74" s="40" t="inlineStr">
        <is>
          <t>Librarian tóm tắt nội dung nguồn đã tải (mục lục, số trang, có bảng thanh ghi?) để người biết đã đúng tài liệu chưa</t>
        </is>
      </c>
      <c r="F74" s="40" t="n"/>
      <c r="G74" s="40" t="inlineStr">
        <is>
          <t>tóm tắt</t>
        </is>
      </c>
      <c r="H74" s="40" t="n"/>
      <c r="I74" s="46" t="inlineStr">
        <is>
          <t>T1</t>
        </is>
      </c>
    </row>
    <row r="75" ht="23.25" customHeight="1" s="29">
      <c r="A75" s="44" t="inlineStr">
        <is>
          <t>UC-B09</t>
        </is>
      </c>
      <c r="B75" s="44" t="inlineStr">
        <is>
          <t>Xác nhận nguồn (G-SRC): xem thông tin, chọn, tải</t>
        </is>
      </c>
      <c r="C75" s="44" t="n">
        <v>6</v>
      </c>
      <c r="D75" s="44" t="inlineStr">
        <is>
          <t>N</t>
        </is>
      </c>
      <c r="E75" s="44" t="inlineStr">
        <is>
          <t>Xác nhận 'đúng tài liệu' → trích xuất; hoặc 'sai' → REJECTED và tìm lại</t>
        </is>
      </c>
      <c r="F75" s="44" t="n"/>
      <c r="G75" s="44" t="n"/>
      <c r="H75" s="44" t="n"/>
      <c r="I75" s="47" t="inlineStr">
        <is>
          <t>T2</t>
        </is>
      </c>
    </row>
    <row r="76" ht="23.25" customHeight="1" s="29">
      <c r="A76" s="44" t="inlineStr">
        <is>
          <t>UC-B10</t>
        </is>
      </c>
      <c r="B76" s="44" t="inlineStr">
        <is>
          <t>Duyệt fact (G-FACT) theo nhóm với ảnh cắt</t>
        </is>
      </c>
      <c r="C76" s="44" t="n">
        <v>1</v>
      </c>
      <c r="D76" s="44" t="inlineStr">
        <is>
          <t>N</t>
        </is>
      </c>
      <c r="E76" s="44" t="inlineStr">
        <is>
          <t>Mở nhóm (thanh ghi / chân / điện / errata); xem bảng fact + ảnh cắt trang tương ứng</t>
        </is>
      </c>
      <c r="F76" s="44" t="n"/>
      <c r="G76" s="44" t="n"/>
      <c r="H76" s="44" t="n"/>
      <c r="I76" s="47" t="inlineStr">
        <is>
          <t>T2</t>
        </is>
      </c>
    </row>
    <row r="77" ht="23.25" customHeight="1" s="29">
      <c r="A77" s="44" t="inlineStr">
        <is>
          <t>UC-B10</t>
        </is>
      </c>
      <c r="B77" s="44" t="inlineStr">
        <is>
          <t>Duyệt fact (G-FACT) theo nhóm với ảnh cắt</t>
        </is>
      </c>
      <c r="C77" s="44" t="n">
        <v>2</v>
      </c>
      <c r="D77" s="44" t="inlineStr">
        <is>
          <t>N</t>
        </is>
      </c>
      <c r="E77" s="44" t="inlineStr">
        <is>
          <t>Chấp nhận cả nhóm, hoặc bỏ chọn/sửa từng fact (sửa = fact mới supersedes)</t>
        </is>
      </c>
      <c r="F77" s="44" t="n"/>
      <c r="G77" s="44" t="n"/>
      <c r="H77" s="44" t="inlineStr">
        <is>
          <t>G-FACT</t>
        </is>
      </c>
      <c r="I77" s="47" t="inlineStr">
        <is>
          <t>T2</t>
        </is>
      </c>
    </row>
    <row r="78" ht="23.25" customHeight="1" s="29">
      <c r="A78" s="40" t="inlineStr">
        <is>
          <t>UC-B10</t>
        </is>
      </c>
      <c r="B78" s="40" t="inlineStr">
        <is>
          <t>Duyệt fact (G-FACT) theo nhóm với ảnh cắt</t>
        </is>
      </c>
      <c r="C78" s="40" t="n">
        <v>3</v>
      </c>
      <c r="D78" s="40" t="inlineStr">
        <is>
          <t>K</t>
        </is>
      </c>
      <c r="E78" s="40" t="inlineStr">
        <is>
          <t>Ghi status reviewed, confirmed_by; cập nhật đồ thị; chạy kg.impact cho fact bị thay</t>
        </is>
      </c>
      <c r="F78" s="40" t="n"/>
      <c r="G78" s="40" t="n"/>
      <c r="H78" s="40" t="n"/>
      <c r="I78" s="46" t="inlineStr">
        <is>
          <t>T1</t>
        </is>
      </c>
    </row>
    <row r="79" ht="23.25" customHeight="1" s="29">
      <c r="A79" s="40" t="inlineStr">
        <is>
          <t>UC-B10</t>
        </is>
      </c>
      <c r="B79" s="40" t="inlineStr">
        <is>
          <t>Duyệt fact (G-FACT) theo nhóm với ảnh cắt</t>
        </is>
      </c>
      <c r="C79" s="40" t="n">
        <v>4</v>
      </c>
      <c r="D79" s="40" t="inlineStr">
        <is>
          <t>K</t>
        </is>
      </c>
      <c r="E79" s="40" t="inlineStr">
        <is>
          <t>Fact bị loại → REJECTED kèm ghi chú; extractor có thể chạy lại với gợi ý</t>
        </is>
      </c>
      <c r="F79" s="40" t="n"/>
      <c r="G79" s="40" t="n"/>
      <c r="H79" s="40" t="n"/>
      <c r="I79" s="46" t="inlineStr">
        <is>
          <t>T1</t>
        </is>
      </c>
    </row>
    <row r="80" ht="23.25" customHeight="1" s="29">
      <c r="A80" s="40" t="inlineStr">
        <is>
          <t>UC-B10</t>
        </is>
      </c>
      <c r="B80" s="40" t="inlineStr">
        <is>
          <t>Duyệt fact (G-FACT) theo nhóm với ảnh cắt</t>
        </is>
      </c>
      <c r="C80" s="40" t="n">
        <v>5</v>
      </c>
      <c r="D80" s="40" t="inlineStr">
        <is>
          <t>T</t>
        </is>
      </c>
      <c r="E80" s="40" t="inlineStr">
        <is>
          <t>Librarian báo tổng kết và bước tiếp (kiểm định trên board UC-B12 nếu có board)</t>
        </is>
      </c>
      <c r="F80" s="40" t="n"/>
      <c r="G80" s="40" t="n"/>
      <c r="H80" s="40" t="n"/>
      <c r="I80" s="46" t="inlineStr">
        <is>
          <t>T1</t>
        </is>
      </c>
    </row>
    <row r="81" ht="23.25" customHeight="1" s="29">
      <c r="A81" s="40" t="inlineStr">
        <is>
          <t>UC-B11</t>
        </is>
      </c>
      <c r="B81" s="40" t="inlineStr">
        <is>
          <t>Giải quyết mâu thuẫn giữa các nguồn</t>
        </is>
      </c>
      <c r="C81" s="40" t="n">
        <v>1</v>
      </c>
      <c r="D81" s="40" t="inlineStr">
        <is>
          <t>K</t>
        </is>
      </c>
      <c r="E81" s="40" t="inlineStr">
        <is>
          <t>Liệt kê cặp mâu thuẫn: giá trị, nguồn, tier, ngày, ảnh cắt</t>
        </is>
      </c>
      <c r="F81" s="40" t="n"/>
      <c r="G81" s="40" t="n"/>
      <c r="H81" s="40" t="n"/>
      <c r="I81" s="46" t="inlineStr">
        <is>
          <t>T1</t>
        </is>
      </c>
    </row>
    <row r="82" ht="23.25" customHeight="1" s="29">
      <c r="A82" s="40" t="inlineStr">
        <is>
          <t>UC-B11</t>
        </is>
      </c>
      <c r="B82" s="40" t="inlineStr">
        <is>
          <t>Giải quyết mâu thuẫn giữa các nguồn</t>
        </is>
      </c>
      <c r="C82" s="40" t="n">
        <v>2</v>
      </c>
      <c r="D82" s="40" t="inlineStr">
        <is>
          <t>T</t>
        </is>
      </c>
      <c r="E82" s="40" t="inlineStr">
        <is>
          <t>Librarian phân tích: khác phiên bản tài liệu? lỗi trích xuất? khác biến thể chip?</t>
        </is>
      </c>
      <c r="F82" s="40" t="n"/>
      <c r="G82" s="40" t="inlineStr">
        <is>
          <t>nhận định</t>
        </is>
      </c>
      <c r="H82" s="40" t="n"/>
      <c r="I82" s="46" t="inlineStr">
        <is>
          <t>T1</t>
        </is>
      </c>
    </row>
    <row r="83" ht="23.25" customHeight="1" s="29">
      <c r="A83" s="44" t="inlineStr">
        <is>
          <t>UC-B11</t>
        </is>
      </c>
      <c r="B83" s="44" t="inlineStr">
        <is>
          <t>Giải quyết mâu thuẫn giữa các nguồn</t>
        </is>
      </c>
      <c r="C83" s="44" t="n">
        <v>3</v>
      </c>
      <c r="D83" s="44" t="inlineStr">
        <is>
          <t>N</t>
        </is>
      </c>
      <c r="E83" s="44" t="inlineStr">
        <is>
          <t>Chọn: giữ A / giữ B / cả hai theo điều kiện (ví dụ theo revision) / kiểm định trên board</t>
        </is>
      </c>
      <c r="F83" s="44" t="n"/>
      <c r="G83" s="44" t="n"/>
      <c r="H83" s="44" t="inlineStr">
        <is>
          <t>G-FACT</t>
        </is>
      </c>
      <c r="I83" s="47" t="inlineStr">
        <is>
          <t>T2</t>
        </is>
      </c>
    </row>
    <row r="84" ht="23.25" customHeight="1" s="29">
      <c r="A84" s="40" t="inlineStr">
        <is>
          <t>UC-B11</t>
        </is>
      </c>
      <c r="B84" s="40" t="inlineStr">
        <is>
          <t>Giải quyết mâu thuẫn giữa các nguồn</t>
        </is>
      </c>
      <c r="C84" s="40" t="n">
        <v>4</v>
      </c>
      <c r="D84" s="40" t="inlineStr">
        <is>
          <t>K</t>
        </is>
      </c>
      <c r="E84" s="40" t="inlineStr">
        <is>
          <t>Áp dụng: supersedes hoặc thêm điều kiện; đóng conflict; kg.impact</t>
        </is>
      </c>
      <c r="F84" s="40" t="n"/>
      <c r="G84" s="40" t="n"/>
      <c r="H84" s="40" t="n"/>
      <c r="I84" s="46" t="inlineStr">
        <is>
          <t>T1</t>
        </is>
      </c>
    </row>
    <row r="85" ht="23.25" customHeight="1" s="29">
      <c r="A85" s="40" t="inlineStr">
        <is>
          <t>UC-B12</t>
        </is>
      </c>
      <c r="B85" s="40" t="inlineStr">
        <is>
          <t>Kiểm định hộ chiếu trên board thật</t>
        </is>
      </c>
      <c r="C85" s="40" t="n">
        <v>1</v>
      </c>
      <c r="D85" s="40" t="inlineStr">
        <is>
          <t>T</t>
        </is>
      </c>
      <c r="E85" s="40" t="inlineStr">
        <is>
          <t>Tester sinh firmware kiểm định từ hộ chiếu: đọc ID chip (DBGMCU_IDCODE / signature), toggle GPIO có LED theo BoardPassport, UART echo</t>
        </is>
      </c>
      <c r="F85" s="40" t="inlineStr">
        <is>
          <t>hộ chiếu</t>
        </is>
      </c>
      <c r="G85" s="40" t="inlineStr">
        <is>
          <t>firmware</t>
        </is>
      </c>
      <c r="H85" s="40" t="n"/>
      <c r="I85" s="46" t="inlineStr">
        <is>
          <t>T1</t>
        </is>
      </c>
    </row>
    <row r="86" ht="15" customHeight="1" s="29">
      <c r="A86" s="40" t="inlineStr">
        <is>
          <t>UC-B12</t>
        </is>
      </c>
      <c r="B86" s="40" t="inlineStr">
        <is>
          <t>Kiểm định hộ chiếu trên board thật</t>
        </is>
      </c>
      <c r="C86" s="40" t="n">
        <v>2</v>
      </c>
      <c r="D86" s="40" t="inlineStr">
        <is>
          <t>H</t>
        </is>
      </c>
      <c r="E86" s="40" t="inlineStr">
        <is>
          <t>Build (4 cổng)</t>
        </is>
      </c>
      <c r="F86" s="40" t="n"/>
      <c r="G86" s="40" t="inlineStr">
        <is>
          <t>ToolReport</t>
        </is>
      </c>
      <c r="H86" s="40" t="n"/>
      <c r="I86" s="46" t="inlineStr">
        <is>
          <t>T1</t>
        </is>
      </c>
    </row>
    <row r="87" ht="15" customHeight="1" s="29">
      <c r="A87" s="44" t="inlineStr">
        <is>
          <t>UC-B12</t>
        </is>
      </c>
      <c r="B87" s="44" t="inlineStr">
        <is>
          <t>Kiểm định hộ chiếu trên board thật</t>
        </is>
      </c>
      <c r="C87" s="44" t="n">
        <v>3</v>
      </c>
      <c r="D87" s="44" t="inlineStr">
        <is>
          <t>N</t>
        </is>
      </c>
      <c r="E87" s="44" t="inlineStr">
        <is>
          <t>Cấp quyền nạp</t>
        </is>
      </c>
      <c r="F87" s="44" t="n"/>
      <c r="G87" s="44" t="n"/>
      <c r="H87" s="44" t="inlineStr">
        <is>
          <t>G-OPS</t>
        </is>
      </c>
      <c r="I87" s="47" t="inlineStr">
        <is>
          <t>T2</t>
        </is>
      </c>
    </row>
    <row r="88" ht="15" customHeight="1" s="29">
      <c r="A88" s="40" t="inlineStr">
        <is>
          <t>UC-B12</t>
        </is>
      </c>
      <c r="B88" s="40" t="inlineStr">
        <is>
          <t>Kiểm định hộ chiếu trên board thật</t>
        </is>
      </c>
      <c r="C88" s="40" t="n">
        <v>4</v>
      </c>
      <c r="D88" s="40" t="inlineStr">
        <is>
          <t>H</t>
        </is>
      </c>
      <c r="E88" s="40" t="inlineStr">
        <is>
          <t>Nạp; đọc serial/RTT; probe đọc thanh ghi ID nếu có</t>
        </is>
      </c>
      <c r="F88" s="40" t="n"/>
      <c r="G88" s="40" t="inlineStr">
        <is>
          <t>log</t>
        </is>
      </c>
      <c r="H88" s="40" t="n"/>
      <c r="I88" s="46" t="inlineStr">
        <is>
          <t>T1</t>
        </is>
      </c>
    </row>
    <row r="89" ht="23.25" customHeight="1" s="29">
      <c r="A89" s="40" t="inlineStr">
        <is>
          <t>UC-B12</t>
        </is>
      </c>
      <c r="B89" s="40" t="inlineStr">
        <is>
          <t>Kiểm định hộ chiếu trên board thật</t>
        </is>
      </c>
      <c r="C89" s="40" t="n">
        <v>5</v>
      </c>
      <c r="D89" s="40" t="inlineStr">
        <is>
          <t>K</t>
        </is>
      </c>
      <c r="E89" s="40" t="inlineStr">
        <is>
          <t>So sánh với hộ chiếu; gắn badge; fact khớp → verified; fact sai → conflict + DebugSession</t>
        </is>
      </c>
      <c r="F89" s="40" t="n"/>
      <c r="G89" s="40" t="inlineStr">
        <is>
          <t>badge</t>
        </is>
      </c>
      <c r="H89" s="40" t="n"/>
      <c r="I89" s="46" t="inlineStr">
        <is>
          <t>T1</t>
        </is>
      </c>
    </row>
    <row r="90" ht="15" customHeight="1" s="29">
      <c r="A90" s="44" t="inlineStr">
        <is>
          <t>UC-B12</t>
        </is>
      </c>
      <c r="B90" s="44" t="inlineStr">
        <is>
          <t>Kiểm định hộ chiếu trên board thật</t>
        </is>
      </c>
      <c r="C90" s="44" t="n">
        <v>6</v>
      </c>
      <c r="D90" s="44" t="inlineStr">
        <is>
          <t>N</t>
        </is>
      </c>
      <c r="E90" s="44" t="inlineStr">
        <is>
          <t>Xác nhận quan sát (LED nháy) nếu kịch bản có</t>
        </is>
      </c>
      <c r="F90" s="44" t="n"/>
      <c r="G90" s="44" t="n"/>
      <c r="H90" s="44" t="inlineStr">
        <is>
          <t>G4</t>
        </is>
      </c>
      <c r="I90" s="48" t="inlineStr">
        <is>
          <t>T3</t>
        </is>
      </c>
    </row>
    <row r="91" ht="34.5" customHeight="1" s="29">
      <c r="A91" s="40" t="inlineStr">
        <is>
          <t>UC-B13</t>
        </is>
      </c>
      <c r="B91" s="40" t="inlineStr">
        <is>
          <t>Cập nhật phiên bản tri thức (SVD/datasheet mới) và phân tích ảnh hưởng</t>
        </is>
      </c>
      <c r="C91" s="40" t="n">
        <v>1</v>
      </c>
      <c r="D91" s="40" t="inlineStr">
        <is>
          <t>K</t>
        </is>
      </c>
      <c r="E91" s="40" t="inlineStr">
        <is>
          <t>Nhập phiên bản mới thành hộ chiếu riêng (không đụng bản ghim)</t>
        </is>
      </c>
      <c r="F91" s="40" t="n"/>
      <c r="G91" s="40" t="n"/>
      <c r="H91" s="40" t="n"/>
      <c r="I91" s="46" t="inlineStr">
        <is>
          <t>T1</t>
        </is>
      </c>
    </row>
    <row r="92" ht="34.5" customHeight="1" s="29">
      <c r="A92" s="40" t="inlineStr">
        <is>
          <t>UC-B13</t>
        </is>
      </c>
      <c r="B92" s="40" t="inlineStr">
        <is>
          <t>Cập nhật phiên bản tri thức (SVD/datasheet mới) và phân tích ảnh hưởng</t>
        </is>
      </c>
      <c r="C92" s="40" t="n">
        <v>2</v>
      </c>
      <c r="D92" s="40" t="inlineStr">
        <is>
          <t>K</t>
        </is>
      </c>
      <c r="E92" s="40" t="inlineStr">
        <is>
          <t>Diff: fact thêm/bớt/đổi; kg.impact cho fact đổi → CodeUnit stale, Feature cần tái kiểm</t>
        </is>
      </c>
      <c r="F92" s="40" t="n"/>
      <c r="G92" s="40" t="inlineStr">
        <is>
          <t>báo cáo</t>
        </is>
      </c>
      <c r="H92" s="40" t="n"/>
      <c r="I92" s="46" t="inlineStr">
        <is>
          <t>T1</t>
        </is>
      </c>
    </row>
    <row r="93" ht="34.5" customHeight="1" s="29">
      <c r="A93" s="40" t="inlineStr">
        <is>
          <t>UC-B13</t>
        </is>
      </c>
      <c r="B93" s="40" t="inlineStr">
        <is>
          <t>Cập nhật phiên bản tri thức (SVD/datasheet mới) và phân tích ảnh hưởng</t>
        </is>
      </c>
      <c r="C93" s="40" t="n">
        <v>3</v>
      </c>
      <c r="D93" s="40" t="inlineStr">
        <is>
          <t>T</t>
        </is>
      </c>
      <c r="E93" s="40" t="inlineStr">
        <is>
          <t>Librarian tóm tắt rủi ro: 'CR1.SWRST đổi mô tả; 2 module trích dẫn'</t>
        </is>
      </c>
      <c r="F93" s="40" t="n"/>
      <c r="G93" s="40" t="n"/>
      <c r="H93" s="40" t="n"/>
      <c r="I93" s="46" t="inlineStr">
        <is>
          <t>T1</t>
        </is>
      </c>
    </row>
    <row r="94" ht="34.5" customHeight="1" s="29">
      <c r="A94" s="44" t="inlineStr">
        <is>
          <t>UC-B13</t>
        </is>
      </c>
      <c r="B94" s="44" t="inlineStr">
        <is>
          <t>Cập nhật phiên bản tri thức (SVD/datasheet mới) và phân tích ảnh hưởng</t>
        </is>
      </c>
      <c r="C94" s="44" t="n">
        <v>4</v>
      </c>
      <c r="D94" s="44" t="inlineStr">
        <is>
          <t>N</t>
        </is>
      </c>
      <c r="E94" s="44" t="inlineStr">
        <is>
          <t>Quyết định nâng ghim hay giữ</t>
        </is>
      </c>
      <c r="F94" s="44" t="n"/>
      <c r="G94" s="44" t="n"/>
      <c r="H94" s="44" t="inlineStr">
        <is>
          <t>G1</t>
        </is>
      </c>
      <c r="I94" s="47" t="inlineStr">
        <is>
          <t>T2</t>
        </is>
      </c>
    </row>
    <row r="95" ht="34.5" customHeight="1" s="29">
      <c r="A95" s="40" t="inlineStr">
        <is>
          <t>UC-B13</t>
        </is>
      </c>
      <c r="B95" s="40" t="inlineStr">
        <is>
          <t>Cập nhật phiên bản tri thức (SVD/datasheet mới) và phân tích ảnh hưởng</t>
        </is>
      </c>
      <c r="C95" s="40" t="n">
        <v>5</v>
      </c>
      <c r="D95" s="40" t="inlineStr">
        <is>
          <t>K</t>
        </is>
      </c>
      <c r="E95" s="40" t="inlineStr">
        <is>
          <t>Nếu nâng: cập nhật constraints.yaml pins; đưa Feature bị ảnh hưởng về failing để chạy lại P4</t>
        </is>
      </c>
      <c r="F95" s="40" t="n"/>
      <c r="G95" s="40" t="n"/>
      <c r="H95" s="40" t="n"/>
      <c r="I95" s="46" t="inlineStr">
        <is>
          <t>T1</t>
        </is>
      </c>
    </row>
    <row r="96" ht="23.25" customHeight="1" s="29">
      <c r="A96" s="40" t="inlineStr">
        <is>
          <t>UC-B14</t>
        </is>
      </c>
      <c r="B96" s="40" t="inlineStr">
        <is>
          <t>Hỏi đáp tra cứu hộ chiếu (ngôn ngữ tự nhiên có trích dẫn)</t>
        </is>
      </c>
      <c r="C96" s="40" t="n">
        <v>1</v>
      </c>
      <c r="D96" s="40" t="inlineStr">
        <is>
          <t>T</t>
        </is>
      </c>
      <c r="E96" s="40" t="inlineStr">
        <is>
          <t>Hiểu câu hỏi → subject/predicate dự kiến (ví dụ 'tốc độ I2C1' → I2C1/CCR)</t>
        </is>
      </c>
      <c r="F96" s="40" t="inlineStr">
        <is>
          <t>câu hỏi</t>
        </is>
      </c>
      <c r="G96" s="40" t="inlineStr">
        <is>
          <t>truy vấn</t>
        </is>
      </c>
      <c r="H96" s="40" t="n"/>
      <c r="I96" s="46" t="inlineStr">
        <is>
          <t>T1</t>
        </is>
      </c>
    </row>
    <row r="97" ht="23.25" customHeight="1" s="29">
      <c r="A97" s="40" t="inlineStr">
        <is>
          <t>UC-B14</t>
        </is>
      </c>
      <c r="B97" s="40" t="inlineStr">
        <is>
          <t>Hỏi đáp tra cứu hộ chiếu (ngôn ngữ tự nhiên có trích dẫn)</t>
        </is>
      </c>
      <c r="C97" s="40" t="n">
        <v>2</v>
      </c>
      <c r="D97" s="40" t="inlineStr">
        <is>
          <t>K</t>
        </is>
      </c>
      <c r="E97" s="40" t="inlineStr">
        <is>
          <t>passport.query + kg.neighborhood; Graph-RAG lấy fact liên quan</t>
        </is>
      </c>
      <c r="F97" s="40" t="n"/>
      <c r="G97" s="40" t="inlineStr">
        <is>
          <t>facts</t>
        </is>
      </c>
      <c r="H97" s="40" t="n"/>
      <c r="I97" s="46" t="inlineStr">
        <is>
          <t>T1</t>
        </is>
      </c>
    </row>
    <row r="98" ht="23.25" customHeight="1" s="29">
      <c r="A98" s="40" t="inlineStr">
        <is>
          <t>UC-B14</t>
        </is>
      </c>
      <c r="B98" s="40" t="inlineStr">
        <is>
          <t>Hỏi đáp tra cứu hộ chiếu (ngôn ngữ tự nhiên có trích dẫn)</t>
        </is>
      </c>
      <c r="C98" s="40" t="n">
        <v>3</v>
      </c>
      <c r="D98" s="40" t="inlineStr">
        <is>
          <t>T</t>
        </is>
      </c>
      <c r="E98" s="40" t="inlineStr">
        <is>
          <t>Soạn câu trả lời ngắn có trích dẫn [fact id · nguồn · trang]; nêu tầng và trạng thái (chưa duyệt → cảnh báo)</t>
        </is>
      </c>
      <c r="F98" s="40" t="n"/>
      <c r="G98" s="40" t="n"/>
      <c r="H98" s="40" t="n"/>
      <c r="I98" s="46" t="inlineStr">
        <is>
          <t>T1</t>
        </is>
      </c>
    </row>
    <row r="99" ht="23.25" customHeight="1" s="29">
      <c r="A99" s="40" t="inlineStr">
        <is>
          <t>UC-B14</t>
        </is>
      </c>
      <c r="B99" s="40" t="inlineStr">
        <is>
          <t>Hỏi đáp tra cứu hộ chiếu (ngôn ngữ tự nhiên có trích dẫn)</t>
        </is>
      </c>
      <c r="C99" s="40" t="n">
        <v>4</v>
      </c>
      <c r="D99" s="40" t="inlineStr">
        <is>
          <t>K</t>
        </is>
      </c>
      <c r="E99" s="40" t="inlineStr">
        <is>
          <t>Ghi ledger; nếu người bấm 'đúng/sai' → phản hồi vào K7</t>
        </is>
      </c>
      <c r="F99" s="40" t="n"/>
      <c r="G99" s="40" t="n"/>
      <c r="H99" s="40" t="n"/>
      <c r="I99" s="46" t="inlineStr">
        <is>
          <t>T1</t>
        </is>
      </c>
    </row>
    <row r="100" ht="23.25" customHeight="1" s="29">
      <c r="A100" s="40" t="inlineStr">
        <is>
          <t>UC-C01</t>
        </is>
      </c>
      <c r="B100" s="40" t="inlineStr">
        <is>
          <t>Kiểm xung đột tài nguyên trước khi sinh mã</t>
        </is>
      </c>
      <c r="C100" s="40" t="n">
        <v>1</v>
      </c>
      <c r="D100" s="40" t="inlineStr">
        <is>
          <t>K</t>
        </is>
      </c>
      <c r="E100" s="40" t="inlineStr">
        <is>
          <t>Tập tài nguyên kế hoạch sẽ dùng ∩ tập đã USES; chân reserved/boot</t>
        </is>
      </c>
      <c r="F100" s="40" t="n"/>
      <c r="G100" s="40" t="inlineStr">
        <is>
          <t>xung đột</t>
        </is>
      </c>
      <c r="H100" s="40" t="n"/>
      <c r="I100" s="46" t="inlineStr">
        <is>
          <t>T1</t>
        </is>
      </c>
    </row>
    <row r="101" ht="23.25" customHeight="1" s="29">
      <c r="A101" s="40" t="inlineStr">
        <is>
          <t>UC-C01</t>
        </is>
      </c>
      <c r="B101" s="40" t="inlineStr">
        <is>
          <t>Kiểm xung đột tài nguyên trước khi sinh mã</t>
        </is>
      </c>
      <c r="C101" s="40" t="n">
        <v>2</v>
      </c>
      <c r="D101" s="40" t="inlineStr">
        <is>
          <t>T</t>
        </is>
      </c>
      <c r="E101" s="40" t="inlineStr">
        <is>
          <t>Cartographer đề xuất phương án (remap AF, đổi chân, đổi ngoại vi)</t>
        </is>
      </c>
      <c r="F101" s="40" t="n"/>
      <c r="G101" s="40" t="n"/>
      <c r="H101" s="40" t="n"/>
      <c r="I101" s="46" t="inlineStr">
        <is>
          <t>T1</t>
        </is>
      </c>
    </row>
    <row r="102" ht="23.25" customHeight="1" s="29">
      <c r="A102" s="44" t="inlineStr">
        <is>
          <t>UC-C01</t>
        </is>
      </c>
      <c r="B102" s="44" t="inlineStr">
        <is>
          <t>Kiểm xung đột tài nguyên trước khi sinh mã</t>
        </is>
      </c>
      <c r="C102" s="44" t="n">
        <v>3</v>
      </c>
      <c r="D102" s="44" t="inlineStr">
        <is>
          <t>N</t>
        </is>
      </c>
      <c r="E102" s="44" t="inlineStr">
        <is>
          <t>Chọn phương án hoặc 'bỏ qua có lý do'</t>
        </is>
      </c>
      <c r="F102" s="44" t="n"/>
      <c r="G102" s="44" t="n"/>
      <c r="H102" s="44" t="inlineStr">
        <is>
          <t>G1</t>
        </is>
      </c>
      <c r="I102" s="47" t="inlineStr">
        <is>
          <t>T2</t>
        </is>
      </c>
    </row>
    <row r="103" ht="23.25" customHeight="1" s="29">
      <c r="A103" s="40" t="inlineStr">
        <is>
          <t>UC-C01</t>
        </is>
      </c>
      <c r="B103" s="40" t="inlineStr">
        <is>
          <t>Kiểm xung đột tài nguyên trước khi sinh mã</t>
        </is>
      </c>
      <c r="C103" s="40" t="n">
        <v>4</v>
      </c>
      <c r="D103" s="40" t="inlineStr">
        <is>
          <t>K</t>
        </is>
      </c>
      <c r="E103" s="40" t="inlineStr">
        <is>
          <t>Ghi quyết định vào K6 (constraints) và ledger</t>
        </is>
      </c>
      <c r="F103" s="40" t="n"/>
      <c r="G103" s="40" t="n"/>
      <c r="H103" s="40" t="n"/>
      <c r="I103" s="46" t="inlineStr">
        <is>
          <t>T1</t>
        </is>
      </c>
    </row>
    <row r="104" ht="34.5" customHeight="1" s="29">
      <c r="A104" s="44" t="inlineStr">
        <is>
          <t>UC-D01</t>
        </is>
      </c>
      <c r="B104" s="44" t="inlineStr">
        <is>
          <t>Mô tả tính năng và tạo STEP</t>
        </is>
      </c>
      <c r="C104" s="44" t="n">
        <v>1</v>
      </c>
      <c r="D104" s="44" t="inlineStr">
        <is>
          <t>N</t>
        </is>
      </c>
      <c r="E104" s="44" t="inlineStr">
        <is>
          <t>Ra lệnh: 'viết firmware đọc nhiệt độ BME280 qua I2C1, phát UART2 mỗi 500 ms, không float trong ISR' (hoặc lệnh lớn: 'làm toàn bộ firmware cho board này theo tài liệu')</t>
        </is>
      </c>
      <c r="F104" s="44" t="n"/>
      <c r="G104" s="44" t="n"/>
      <c r="H104" s="44" t="inlineStr">
        <is>
          <t>Lệnh</t>
        </is>
      </c>
      <c r="I104" s="45" t="inlineStr">
        <is>
          <t>Lệnh</t>
        </is>
      </c>
    </row>
    <row r="105" ht="23.25" customHeight="1" s="29">
      <c r="A105" s="40" t="inlineStr">
        <is>
          <t>UC-D01</t>
        </is>
      </c>
      <c r="B105" s="40" t="inlineStr">
        <is>
          <t>Mô tả tính năng và tạo STEP</t>
        </is>
      </c>
      <c r="C105" s="40" t="n">
        <v>2</v>
      </c>
      <c r="D105" s="40" t="inlineStr">
        <is>
          <t>T</t>
        </is>
      </c>
      <c r="E105" s="40" t="inlineStr">
        <is>
          <t>Planner chuẩn hóa thành Feature (tiêu đề, kỳ vọng quan sát được, ràng buộc) và hỏi lại điểm mơ hồ (tối đa 3 câu)</t>
        </is>
      </c>
      <c r="F105" s="40" t="n"/>
      <c r="G105" s="40" t="inlineStr">
        <is>
          <t>Feature</t>
        </is>
      </c>
      <c r="H105" s="40" t="n"/>
      <c r="I105" s="46" t="inlineStr">
        <is>
          <t>T1</t>
        </is>
      </c>
    </row>
    <row r="106" ht="15" customHeight="1" s="29">
      <c r="A106" s="40" t="inlineStr">
        <is>
          <t>UC-D01</t>
        </is>
      </c>
      <c r="B106" s="40" t="inlineStr">
        <is>
          <t>Mô tả tính năng và tạo STEP</t>
        </is>
      </c>
      <c r="C106" s="40" t="n">
        <v>3</v>
      </c>
      <c r="D106" s="40" t="inlineStr">
        <is>
          <t>K</t>
        </is>
      </c>
      <c r="E106" s="40" t="inlineStr">
        <is>
          <t>Ghi FEATURES.json (failing) và STEP.md</t>
        </is>
      </c>
      <c r="F106" s="40" t="n"/>
      <c r="G106" s="40" t="n"/>
      <c r="H106" s="40" t="n"/>
      <c r="I106" s="46" t="inlineStr">
        <is>
          <t>T1</t>
        </is>
      </c>
    </row>
    <row r="107" ht="23.25" customHeight="1" s="29">
      <c r="A107" s="40" t="inlineStr">
        <is>
          <t>UC-D02</t>
        </is>
      </c>
      <c r="B107" s="40" t="inlineStr">
        <is>
          <t>Lập kế hoạch có trích dẫn và duyệt G1</t>
        </is>
      </c>
      <c r="C107" s="40" t="n">
        <v>1</v>
      </c>
      <c r="D107" s="40" t="inlineStr">
        <is>
          <t>K</t>
        </is>
      </c>
      <c r="E107" s="40" t="inlineStr">
        <is>
          <t>Composer: ràng buộc + skill (≤3) + fact Graph-RAG 2 bước + STEP</t>
        </is>
      </c>
      <c r="F107" s="40" t="n"/>
      <c r="G107" s="40" t="inlineStr">
        <is>
          <t>ngữ cảnh ≤ 8k</t>
        </is>
      </c>
      <c r="H107" s="40" t="n"/>
      <c r="I107" s="46" t="inlineStr">
        <is>
          <t>T1</t>
        </is>
      </c>
    </row>
    <row r="108" ht="23.25" customHeight="1" s="29">
      <c r="A108" s="40" t="inlineStr">
        <is>
          <t>UC-D02</t>
        </is>
      </c>
      <c r="B108" s="40" t="inlineStr">
        <is>
          <t>Lập kế hoạch có trích dẫn và duyệt G1</t>
        </is>
      </c>
      <c r="C108" s="40" t="n">
        <v>2</v>
      </c>
      <c r="D108" s="40" t="inlineStr">
        <is>
          <t>T</t>
        </is>
      </c>
      <c r="E108" s="40" t="inlineStr">
        <is>
          <t>Planner sinh Plan{steps[], citations[], missing[]}</t>
        </is>
      </c>
      <c r="F108" s="40" t="n"/>
      <c r="G108" s="40" t="inlineStr">
        <is>
          <t>Plan</t>
        </is>
      </c>
      <c r="H108" s="40" t="n"/>
      <c r="I108" s="46" t="inlineStr">
        <is>
          <t>T1</t>
        </is>
      </c>
    </row>
    <row r="109" ht="23.25" customHeight="1" s="29">
      <c r="A109" s="40" t="inlineStr">
        <is>
          <t>UC-D02</t>
        </is>
      </c>
      <c r="B109" s="40" t="inlineStr">
        <is>
          <t>Lập kế hoạch có trích dẫn và duyệt G1</t>
        </is>
      </c>
      <c r="C109" s="40" t="n">
        <v>3</v>
      </c>
      <c r="D109" s="40" t="inlineStr">
        <is>
          <t>K</t>
        </is>
      </c>
      <c r="E109" s="40" t="inlineStr">
        <is>
          <t>Validator: schema + fact id tồn tại + UC-C01 xung đột</t>
        </is>
      </c>
      <c r="F109" s="40" t="n"/>
      <c r="G109" s="40" t="inlineStr">
        <is>
          <t>verdict</t>
        </is>
      </c>
      <c r="H109" s="40" t="n"/>
      <c r="I109" s="46" t="inlineStr">
        <is>
          <t>T1</t>
        </is>
      </c>
    </row>
    <row r="110" ht="23.25" customHeight="1" s="29">
      <c r="A110" s="40" t="inlineStr">
        <is>
          <t>UC-D02</t>
        </is>
      </c>
      <c r="B110" s="40" t="inlineStr">
        <is>
          <t>Lập kế hoạch có trích dẫn và duyệt G1</t>
        </is>
      </c>
      <c r="C110" s="40" t="n">
        <v>4</v>
      </c>
      <c r="D110" s="40" t="inlineStr">
        <is>
          <t>T</t>
        </is>
      </c>
      <c r="E110" s="40" t="inlineStr">
        <is>
          <t>Nếu missing → UC-B07; nếu ok → trình G1 với trích dẫn và cảnh báo</t>
        </is>
      </c>
      <c r="F110" s="40" t="n"/>
      <c r="G110" s="40" t="n"/>
      <c r="H110" s="40" t="n"/>
      <c r="I110" s="46" t="inlineStr">
        <is>
          <t>T1</t>
        </is>
      </c>
    </row>
    <row r="111" ht="23.25" customHeight="1" s="29">
      <c r="A111" s="44" t="inlineStr">
        <is>
          <t>UC-D02</t>
        </is>
      </c>
      <c r="B111" s="44" t="inlineStr">
        <is>
          <t>Lập kế hoạch có trích dẫn và duyệt G1</t>
        </is>
      </c>
      <c r="C111" s="44" t="n">
        <v>5</v>
      </c>
      <c r="D111" s="44" t="inlineStr">
        <is>
          <t>N</t>
        </is>
      </c>
      <c r="E111" s="44" t="inlineStr">
        <is>
          <t>Duyệt/sửa thứ tự/ràng buộc</t>
        </is>
      </c>
      <c r="F111" s="44" t="n"/>
      <c r="G111" s="44" t="n"/>
      <c r="H111" s="44" t="inlineStr">
        <is>
          <t>G1</t>
        </is>
      </c>
      <c r="I111" s="47" t="inlineStr">
        <is>
          <t>T2</t>
        </is>
      </c>
    </row>
    <row r="112" ht="23.25" customHeight="1" s="29">
      <c r="A112" s="40" t="inlineStr">
        <is>
          <t>UC-D02</t>
        </is>
      </c>
      <c r="B112" s="40" t="inlineStr">
        <is>
          <t>Lập kế hoạch có trích dẫn và duyệt G1</t>
        </is>
      </c>
      <c r="C112" s="40" t="n">
        <v>6</v>
      </c>
      <c r="D112" s="40" t="inlineStr">
        <is>
          <t>K</t>
        </is>
      </c>
      <c r="E112" s="40" t="inlineStr">
        <is>
          <t>Tách Feature con; ledger</t>
        </is>
      </c>
      <c r="F112" s="40" t="n"/>
      <c r="G112" s="40" t="n"/>
      <c r="H112" s="40" t="n"/>
      <c r="I112" s="46" t="inlineStr">
        <is>
          <t>T1</t>
        </is>
      </c>
    </row>
    <row r="113" ht="23.25" customHeight="1" s="29">
      <c r="A113" s="40" t="inlineStr">
        <is>
          <t>UC-D03</t>
        </is>
      </c>
      <c r="B113" s="40" t="inlineStr">
        <is>
          <t>Sinh mã với hằng số có nguồn (constant-guard)</t>
        </is>
      </c>
      <c r="C113" s="40" t="n">
        <v>1</v>
      </c>
      <c r="D113" s="40" t="inlineStr">
        <is>
          <t>T</t>
        </is>
      </c>
      <c r="E113" s="40" t="inlineStr">
        <is>
          <t>Coder sinh mã theo skill + fact; chú thích /* hkw:fact f_… */ cạnh mỗi hằng số</t>
        </is>
      </c>
      <c r="F113" s="40" t="n"/>
      <c r="G113" s="40" t="inlineStr">
        <is>
          <t>CodePatch</t>
        </is>
      </c>
      <c r="H113" s="40" t="n"/>
      <c r="I113" s="46" t="inlineStr">
        <is>
          <t>T1</t>
        </is>
      </c>
    </row>
    <row r="114" ht="23.25" customHeight="1" s="29">
      <c r="A114" s="40" t="inlineStr">
        <is>
          <t>UC-D03</t>
        </is>
      </c>
      <c r="B114" s="40" t="inlineStr">
        <is>
          <t>Sinh mã với hằng số có nguồn (constant-guard)</t>
        </is>
      </c>
      <c r="C114" s="40" t="n">
        <v>2</v>
      </c>
      <c r="D114" s="40" t="inlineStr">
        <is>
          <t>K</t>
        </is>
      </c>
      <c r="E114" s="40" t="inlineStr">
        <is>
          <t>Hook pre_write: constant-guard quét hằng số; quy ước repo; thư mục cho phép</t>
        </is>
      </c>
      <c r="F114" s="40" t="n"/>
      <c r="G114" s="40" t="inlineStr">
        <is>
          <t>chấp nhận/chặn</t>
        </is>
      </c>
      <c r="H114" s="40" t="n"/>
      <c r="I114" s="46" t="inlineStr">
        <is>
          <t>T1</t>
        </is>
      </c>
    </row>
    <row r="115" ht="23.25" customHeight="1" s="29">
      <c r="A115" s="40" t="inlineStr">
        <is>
          <t>UC-D03</t>
        </is>
      </c>
      <c r="B115" s="40" t="inlineStr">
        <is>
          <t>Sinh mã với hằng số có nguồn (constant-guard)</t>
        </is>
      </c>
      <c r="C115" s="40" t="n">
        <v>3</v>
      </c>
      <c r="D115" s="40" t="inlineStr">
        <is>
          <t>H</t>
        </is>
      </c>
      <c r="E115" s="40" t="inlineStr">
        <is>
          <t>build → size → static → host-test</t>
        </is>
      </c>
      <c r="F115" s="40" t="n"/>
      <c r="G115" s="40" t="inlineStr">
        <is>
          <t>ToolReport ×4</t>
        </is>
      </c>
      <c r="H115" s="40" t="n"/>
      <c r="I115" s="46" t="inlineStr">
        <is>
          <t>T1</t>
        </is>
      </c>
    </row>
    <row r="116" ht="23.25" customHeight="1" s="29">
      <c r="A116" s="40" t="inlineStr">
        <is>
          <t>UC-D03</t>
        </is>
      </c>
      <c r="B116" s="40" t="inlineStr">
        <is>
          <t>Sinh mã với hằng số có nguồn (constant-guard)</t>
        </is>
      </c>
      <c r="C116" s="40" t="n">
        <v>4</v>
      </c>
      <c r="D116" s="40" t="inlineStr">
        <is>
          <t>T</t>
        </is>
      </c>
      <c r="E116" s="40" t="inlineStr">
        <is>
          <t>Nếu lỗi: sửa theo ToolReport (≤ 3 vòng)</t>
        </is>
      </c>
      <c r="F116" s="40" t="n"/>
      <c r="G116" s="40" t="n"/>
      <c r="H116" s="40" t="n"/>
      <c r="I116" s="46" t="inlineStr">
        <is>
          <t>T1</t>
        </is>
      </c>
    </row>
    <row r="117" ht="23.25" customHeight="1" s="29">
      <c r="A117" s="40" t="inlineStr">
        <is>
          <t>UC-D03</t>
        </is>
      </c>
      <c r="B117" s="40" t="inlineStr">
        <is>
          <t>Sinh mã với hằng số có nguồn (constant-guard)</t>
        </is>
      </c>
      <c r="C117" s="40" t="n">
        <v>5</v>
      </c>
      <c r="D117" s="40" t="inlineStr">
        <is>
          <t>K</t>
        </is>
      </c>
      <c r="E117" s="40" t="inlineStr">
        <is>
          <t>Đăng ký CodeUnit với cites/uses; ledger</t>
        </is>
      </c>
      <c r="F117" s="40" t="n"/>
      <c r="G117" s="40" t="n"/>
      <c r="H117" s="40" t="n"/>
      <c r="I117" s="46" t="inlineStr">
        <is>
          <t>T1</t>
        </is>
      </c>
    </row>
    <row r="118" ht="23.25" customHeight="1" s="29">
      <c r="A118" s="40" t="inlineStr">
        <is>
          <t>UC-D04</t>
        </is>
      </c>
      <c r="B118" s="40" t="inlineStr">
        <is>
          <t>Review khác hãng và duyệt merge (G3)</t>
        </is>
      </c>
      <c r="C118" s="40" t="n">
        <v>1</v>
      </c>
      <c r="D118" s="40" t="inlineStr">
        <is>
          <t>T</t>
        </is>
      </c>
      <c r="E118" s="40" t="inlineStr">
        <is>
          <t>Reviewer chấm theo checklist Pack (ISR, volatile, timeout, kích thước); không sửa mã</t>
        </is>
      </c>
      <c r="F118" s="40" t="n"/>
      <c r="G118" s="40" t="inlineStr">
        <is>
          <t>Review</t>
        </is>
      </c>
      <c r="H118" s="40" t="n"/>
      <c r="I118" s="46" t="inlineStr">
        <is>
          <t>T1</t>
        </is>
      </c>
    </row>
    <row r="119" ht="23.25" customHeight="1" s="29">
      <c r="A119" s="40" t="inlineStr">
        <is>
          <t>UC-D04</t>
        </is>
      </c>
      <c r="B119" s="40" t="inlineStr">
        <is>
          <t>Review khác hãng và duyệt merge (G3)</t>
        </is>
      </c>
      <c r="C119" s="40" t="n">
        <v>2</v>
      </c>
      <c r="D119" s="40" t="inlineStr">
        <is>
          <t>K</t>
        </is>
      </c>
      <c r="E119" s="40" t="inlineStr">
        <is>
          <t>Trình G3: diff, rationale, citations, 4 ToolReport, Review</t>
        </is>
      </c>
      <c r="F119" s="40" t="n"/>
      <c r="G119" s="40" t="n"/>
      <c r="H119" s="40" t="n"/>
      <c r="I119" s="46" t="inlineStr">
        <is>
          <t>T1</t>
        </is>
      </c>
    </row>
    <row r="120" ht="23.25" customHeight="1" s="29">
      <c r="A120" s="44" t="inlineStr">
        <is>
          <t>UC-D04</t>
        </is>
      </c>
      <c r="B120" s="44" t="inlineStr">
        <is>
          <t>Review khác hãng và duyệt merge (G3)</t>
        </is>
      </c>
      <c r="C120" s="44" t="n">
        <v>3</v>
      </c>
      <c r="D120" s="44" t="inlineStr">
        <is>
          <t>N</t>
        </is>
      </c>
      <c r="E120" s="44" t="inlineStr">
        <is>
          <t>Duyệt &amp; merge / từ chối kèm lý do</t>
        </is>
      </c>
      <c r="F120" s="44" t="n"/>
      <c r="G120" s="44" t="n"/>
      <c r="H120" s="44" t="inlineStr">
        <is>
          <t>G3</t>
        </is>
      </c>
      <c r="I120" s="47" t="inlineStr">
        <is>
          <t>T2</t>
        </is>
      </c>
    </row>
    <row r="121" ht="23.25" customHeight="1" s="29">
      <c r="A121" s="40" t="inlineStr">
        <is>
          <t>UC-D04</t>
        </is>
      </c>
      <c r="B121" s="40" t="inlineStr">
        <is>
          <t>Review khác hãng và duyệt merge (G3)</t>
        </is>
      </c>
      <c r="C121" s="40" t="n">
        <v>4</v>
      </c>
      <c r="D121" s="40" t="inlineStr">
        <is>
          <t>K</t>
        </is>
      </c>
      <c r="E121" s="40" t="inlineStr">
        <is>
          <t>Merge; commit; cập nhật đồ thị; hoặc ghi sổ lỗi và đưa lý do vào prompt phủ định cho vòng sau</t>
        </is>
      </c>
      <c r="F121" s="40" t="n"/>
      <c r="G121" s="40" t="n"/>
      <c r="H121" s="40" t="n"/>
      <c r="I121" s="46" t="inlineStr">
        <is>
          <t>T1</t>
        </is>
      </c>
    </row>
    <row r="122" ht="23.25" customHeight="1" s="29">
      <c r="A122" s="40" t="inlineStr">
        <is>
          <t>UC-D05</t>
        </is>
      </c>
      <c r="B122" s="40" t="inlineStr">
        <is>
          <t>Kỹ sư sửa mã tay và đối chiếu hộ chiếu</t>
        </is>
      </c>
      <c r="C122" s="40" t="n">
        <v>1</v>
      </c>
      <c r="D122" s="40" t="inlineStr">
        <is>
          <t>K</t>
        </is>
      </c>
      <c r="E122" s="40" t="inlineStr">
        <is>
          <t>Khi lưu: quét hằng số; hover địa chỉ → giải nghĩa theo hộ chiếu</t>
        </is>
      </c>
      <c r="F122" s="40" t="n"/>
      <c r="G122" s="40" t="n"/>
      <c r="H122" s="40" t="n"/>
      <c r="I122" s="46" t="inlineStr">
        <is>
          <t>T1</t>
        </is>
      </c>
    </row>
    <row r="123" ht="23.25" customHeight="1" s="29">
      <c r="A123" s="40" t="inlineStr">
        <is>
          <t>UC-D05</t>
        </is>
      </c>
      <c r="B123" s="40" t="inlineStr">
        <is>
          <t>Kỹ sư sửa mã tay và đối chiếu hộ chiếu</t>
        </is>
      </c>
      <c r="C123" s="40" t="n">
        <v>2</v>
      </c>
      <c r="D123" s="40" t="inlineStr">
        <is>
          <t>T</t>
        </is>
      </c>
      <c r="E123" s="40" t="inlineStr">
        <is>
          <t>Gợi ý fact id cho hằng số (một cú bấm để chèn chú thích)</t>
        </is>
      </c>
      <c r="F123" s="40" t="n"/>
      <c r="G123" s="40" t="n"/>
      <c r="H123" s="40" t="n"/>
      <c r="I123" s="46" t="inlineStr">
        <is>
          <t>T1</t>
        </is>
      </c>
    </row>
    <row r="124" ht="23.25" customHeight="1" s="29">
      <c r="A124" s="44" t="inlineStr">
        <is>
          <t>UC-D05</t>
        </is>
      </c>
      <c r="B124" s="44" t="inlineStr">
        <is>
          <t>Kỹ sư sửa mã tay và đối chiếu hộ chiếu</t>
        </is>
      </c>
      <c r="C124" s="44" t="n">
        <v>3</v>
      </c>
      <c r="D124" s="44" t="inlineStr">
        <is>
          <t>N</t>
        </is>
      </c>
      <c r="E124" s="44" t="inlineStr">
        <is>
          <t>Chấp nhận/bỏ qua</t>
        </is>
      </c>
      <c r="F124" s="44" t="n"/>
      <c r="G124" s="44" t="n"/>
      <c r="H124" s="44" t="n"/>
      <c r="I124" s="47" t="inlineStr">
        <is>
          <t>T2</t>
        </is>
      </c>
    </row>
    <row r="125" ht="15" customHeight="1" s="29">
      <c r="A125" s="44" t="inlineStr">
        <is>
          <t>UC-D06</t>
        </is>
      </c>
      <c r="B125" s="44" t="inlineStr">
        <is>
          <t>Hoàn tác về phiên bản known-good</t>
        </is>
      </c>
      <c r="C125" s="44" t="n">
        <v>1</v>
      </c>
      <c r="D125" s="44" t="inlineStr">
        <is>
          <t>N</t>
        </is>
      </c>
      <c r="E125" s="44" t="inlineStr">
        <is>
          <t>Chọn known-good (danh sách có ngày, Feature passing)</t>
        </is>
      </c>
      <c r="F125" s="44" t="n"/>
      <c r="G125" s="44" t="n"/>
      <c r="H125" s="44" t="n"/>
      <c r="I125" s="47" t="inlineStr">
        <is>
          <t>T2</t>
        </is>
      </c>
    </row>
    <row r="126" ht="15" customHeight="1" s="29">
      <c r="A126" s="40" t="inlineStr">
        <is>
          <t>UC-D06</t>
        </is>
      </c>
      <c r="B126" s="40" t="inlineStr">
        <is>
          <t>Hoàn tác về phiên bản known-good</t>
        </is>
      </c>
      <c r="C126" s="40" t="n">
        <v>2</v>
      </c>
      <c r="D126" s="40" t="inlineStr">
        <is>
          <t>K</t>
        </is>
      </c>
      <c r="E126" s="40" t="inlineStr">
        <is>
          <t>Checkout tag; đặt Feature sau tag về failing</t>
        </is>
      </c>
      <c r="F126" s="40" t="n"/>
      <c r="G126" s="40" t="n"/>
      <c r="H126" s="40" t="n"/>
      <c r="I126" s="46" t="inlineStr">
        <is>
          <t>T1</t>
        </is>
      </c>
    </row>
    <row r="127" ht="15" customHeight="1" s="29">
      <c r="A127" s="40" t="inlineStr">
        <is>
          <t>UC-D06</t>
        </is>
      </c>
      <c r="B127" s="40" t="inlineStr">
        <is>
          <t>Hoàn tác về phiên bản known-good</t>
        </is>
      </c>
      <c r="C127" s="40" t="n">
        <v>3</v>
      </c>
      <c r="D127" s="40" t="inlineStr">
        <is>
          <t>H</t>
        </is>
      </c>
      <c r="E127" s="40" t="inlineStr">
        <is>
          <t>Build để xác nhận</t>
        </is>
      </c>
      <c r="F127" s="40" t="n"/>
      <c r="G127" s="40" t="inlineStr">
        <is>
          <t>ToolReport</t>
        </is>
      </c>
      <c r="H127" s="40" t="n"/>
      <c r="I127" s="46" t="inlineStr">
        <is>
          <t>T1</t>
        </is>
      </c>
    </row>
    <row r="128" ht="23.25" customHeight="1" s="29">
      <c r="A128" s="40" t="inlineStr">
        <is>
          <t>UC-E01</t>
        </is>
      </c>
      <c r="B128" s="40" t="inlineStr">
        <is>
          <t>Tác tử dựng môi trường mô phỏng cho chip/mạch (SIL)</t>
        </is>
      </c>
      <c r="C128" s="40" t="n">
        <v>1</v>
      </c>
      <c r="D128" s="40" t="inlineStr">
        <is>
          <t>T</t>
        </is>
      </c>
      <c r="E128" s="40" t="inlineStr">
        <is>
          <t>Tester đọc hộ chiếu: CPU, bộ nhớ, ngoại vi có địa chỉ; chọn nền: Renode (Cortex-M/RISC-V), simavr (AVR), hoặc tự xây khi không có</t>
        </is>
      </c>
      <c r="F128" s="40" t="inlineStr">
        <is>
          <t>hộ chiếu</t>
        </is>
      </c>
      <c r="G128" s="40" t="inlineStr">
        <is>
          <t>lựa chọn</t>
        </is>
      </c>
      <c r="H128" s="40" t="n"/>
      <c r="I128" s="46" t="inlineStr">
        <is>
          <t>T1</t>
        </is>
      </c>
    </row>
    <row r="129" ht="23.25" customHeight="1" s="29">
      <c r="A129" s="40" t="inlineStr">
        <is>
          <t>UC-E01</t>
        </is>
      </c>
      <c r="B129" s="40" t="inlineStr">
        <is>
          <t>Tác tử dựng môi trường mô phỏng cho chip/mạch (SIL)</t>
        </is>
      </c>
      <c r="C129" s="40" t="n">
        <v>2</v>
      </c>
      <c r="D129" s="40" t="inlineStr">
        <is>
          <t>T</t>
        </is>
      </c>
      <c r="E129" s="40" t="inlineStr">
        <is>
          <t>Sinh mô tả nền tảng (.repl) từ fact: bộ nhớ, ngoại vi chuẩn (UART, GPIO, I2C, TIM) với địa chỉ/IRQ; đánh dấu ngoại vi chưa có mô hình</t>
        </is>
      </c>
      <c r="F129" s="40" t="inlineStr">
        <is>
          <t>fact</t>
        </is>
      </c>
      <c r="G129" s="40" t="inlineStr">
        <is>
          <t>.repl</t>
        </is>
      </c>
      <c r="H129" s="40" t="n"/>
      <c r="I129" s="46" t="inlineStr">
        <is>
          <t>T1</t>
        </is>
      </c>
    </row>
    <row r="130" ht="23.25" customHeight="1" s="29">
      <c r="A130" s="40" t="inlineStr">
        <is>
          <t>UC-E01</t>
        </is>
      </c>
      <c r="B130" s="40" t="inlineStr">
        <is>
          <t>Tác tử dựng môi trường mô phỏng cho chip/mạch (SIL)</t>
        </is>
      </c>
      <c r="C130" s="40" t="n">
        <v>3</v>
      </c>
      <c r="D130" s="40" t="inlineStr">
        <is>
          <t>T</t>
        </is>
      </c>
      <c r="E130" s="40" t="inlineStr">
        <is>
          <t>Từ BoardPassport: nối ngoại vi ngoài bằng mock (BME280 mock trả id 0x60, dữ liệu theo công thức), LED trên PB3, UART2 ra console</t>
        </is>
      </c>
      <c r="F130" s="40" t="inlineStr">
        <is>
          <t>K3</t>
        </is>
      </c>
      <c r="G130" s="40" t="inlineStr">
        <is>
          <t>mock</t>
        </is>
      </c>
      <c r="H130" s="40" t="n"/>
      <c r="I130" s="46" t="inlineStr">
        <is>
          <t>T1</t>
        </is>
      </c>
    </row>
    <row r="131" ht="23.25" customHeight="1" s="29">
      <c r="A131" s="40" t="inlineStr">
        <is>
          <t>UC-E01</t>
        </is>
      </c>
      <c r="B131" s="40" t="inlineStr">
        <is>
          <t>Tác tử dựng môi trường mô phỏng cho chip/mạch (SIL)</t>
        </is>
      </c>
      <c r="C131" s="40" t="n">
        <v>4</v>
      </c>
      <c r="D131" s="40" t="inlineStr">
        <is>
          <t>H</t>
        </is>
      </c>
      <c r="E131" s="40" t="inlineStr">
        <is>
          <t>Chạy firmware 'hello' (UART in chuỗi + LED) trên mô phỏng</t>
        </is>
      </c>
      <c r="F131" s="40" t="n"/>
      <c r="G131" s="40" t="inlineStr">
        <is>
          <t>ToolReport</t>
        </is>
      </c>
      <c r="H131" s="40" t="n"/>
      <c r="I131" s="46" t="inlineStr">
        <is>
          <t>T1</t>
        </is>
      </c>
    </row>
    <row r="132" ht="23.25" customHeight="1" s="29">
      <c r="A132" s="44" t="inlineStr">
        <is>
          <t>UC-E01</t>
        </is>
      </c>
      <c r="B132" s="44" t="inlineStr">
        <is>
          <t>Tác tử dựng môi trường mô phỏng cho chip/mạch (SIL)</t>
        </is>
      </c>
      <c r="C132" s="44" t="n">
        <v>5</v>
      </c>
      <c r="D132" s="44" t="inlineStr">
        <is>
          <t>T</t>
        </is>
      </c>
      <c r="E132" s="44" t="inlineStr">
        <is>
          <t>Nếu thiếu mô hình ngoại vi quan trọng: đề xuất viết mock đơn giản (hành vi theo datasheet) → cần người duyệt tham số (G-FACT)</t>
        </is>
      </c>
      <c r="F132" s="44" t="n"/>
      <c r="G132" s="44" t="n"/>
      <c r="H132" s="44" t="inlineStr">
        <is>
          <t>G-FACT</t>
        </is>
      </c>
      <c r="I132" s="46" t="inlineStr">
        <is>
          <t>T1*</t>
        </is>
      </c>
    </row>
    <row r="133" ht="23.25" customHeight="1" s="29">
      <c r="A133" s="40" t="inlineStr">
        <is>
          <t>UC-E01</t>
        </is>
      </c>
      <c r="B133" s="40" t="inlineStr">
        <is>
          <t>Tác tử dựng môi trường mô phỏng cho chip/mạch (SIL)</t>
        </is>
      </c>
      <c r="C133" s="40" t="n">
        <v>6</v>
      </c>
      <c r="D133" s="40" t="inlineStr">
        <is>
          <t>K</t>
        </is>
      </c>
      <c r="E133" s="40" t="inlineStr">
        <is>
          <t>Lưu sim/ vào dự án; ghi K5 'mô hình mô phỏng dự án' với nguồn là fact đã dùng</t>
        </is>
      </c>
      <c r="F133" s="40" t="n"/>
      <c r="G133" s="40" t="n"/>
      <c r="H133" s="40" t="n"/>
      <c r="I133" s="46" t="inlineStr">
        <is>
          <t>T1</t>
        </is>
      </c>
    </row>
    <row r="134" ht="23.25" customHeight="1" s="29">
      <c r="A134" s="40" t="inlineStr">
        <is>
          <t>UC-E02</t>
        </is>
      </c>
      <c r="B134" s="40" t="inlineStr">
        <is>
          <t>Mô hình hóa đối tượng điều khiển (plant) và cảm biến</t>
        </is>
      </c>
      <c r="C134" s="40" t="n">
        <v>1</v>
      </c>
      <c r="D134" s="40" t="inlineStr">
        <is>
          <t>T</t>
        </is>
      </c>
      <c r="E134" s="40" t="inlineStr">
        <is>
          <t>Đề xuất mô hình (phương trình, tham số: khối lượng, chiều dài, hệ số ma sát) với nguồn (người cung cấp/đo)</t>
        </is>
      </c>
      <c r="F134" s="40" t="n"/>
      <c r="G134" s="40" t="n"/>
      <c r="H134" s="40" t="n"/>
      <c r="I134" s="46" t="inlineStr">
        <is>
          <t>T1</t>
        </is>
      </c>
    </row>
    <row r="135" ht="23.25" customHeight="1" s="29">
      <c r="A135" s="44" t="inlineStr">
        <is>
          <t>UC-E02</t>
        </is>
      </c>
      <c r="B135" s="44" t="inlineStr">
        <is>
          <t>Mô hình hóa đối tượng điều khiển (plant) và cảm biến</t>
        </is>
      </c>
      <c r="C135" s="44" t="n">
        <v>2</v>
      </c>
      <c r="D135" s="44" t="inlineStr">
        <is>
          <t>N</t>
        </is>
      </c>
      <c r="E135" s="44" t="inlineStr">
        <is>
          <t>Cung cấp/duyệt tham số</t>
        </is>
      </c>
      <c r="F135" s="44" t="n"/>
      <c r="G135" s="44" t="n"/>
      <c r="H135" s="44" t="inlineStr">
        <is>
          <t>G-FACT</t>
        </is>
      </c>
      <c r="I135" s="48" t="inlineStr">
        <is>
          <t>T3</t>
        </is>
      </c>
    </row>
    <row r="136" ht="23.25" customHeight="1" s="29">
      <c r="A136" s="40" t="inlineStr">
        <is>
          <t>UC-E02</t>
        </is>
      </c>
      <c r="B136" s="40" t="inlineStr">
        <is>
          <t>Mô hình hóa đối tượng điều khiển (plant) và cảm biến</t>
        </is>
      </c>
      <c r="C136" s="40" t="n">
        <v>3</v>
      </c>
      <c r="D136" s="40" t="inlineStr">
        <is>
          <t>T</t>
        </is>
      </c>
      <c r="E136" s="40" t="inlineStr">
        <is>
          <t>Kiểm mô hình bằng nghiệm giải tích/trường hợp đơn giản</t>
        </is>
      </c>
      <c r="F136" s="40" t="n"/>
      <c r="G136" s="40" t="n"/>
      <c r="H136" s="40" t="n"/>
      <c r="I136" s="46" t="inlineStr">
        <is>
          <t>T1</t>
        </is>
      </c>
    </row>
    <row r="137" ht="23.25" customHeight="1" s="29">
      <c r="A137" s="40" t="inlineStr">
        <is>
          <t>UC-E02</t>
        </is>
      </c>
      <c r="B137" s="40" t="inlineStr">
        <is>
          <t>Mô hình hóa đối tượng điều khiển (plant) và cảm biến</t>
        </is>
      </c>
      <c r="C137" s="40" t="n">
        <v>4</v>
      </c>
      <c r="D137" s="40" t="inlineStr">
        <is>
          <t>K</t>
        </is>
      </c>
      <c r="E137" s="40" t="inlineStr">
        <is>
          <t>Lưu; gắn với kịch bản</t>
        </is>
      </c>
      <c r="F137" s="40" t="n"/>
      <c r="G137" s="40" t="n"/>
      <c r="H137" s="40" t="n"/>
      <c r="I137" s="46" t="inlineStr">
        <is>
          <t>T1</t>
        </is>
      </c>
    </row>
    <row r="138" ht="15" customHeight="1" s="29">
      <c r="A138" s="40" t="inlineStr">
        <is>
          <t>UC-E03</t>
        </is>
      </c>
      <c r="B138" s="40" t="inlineStr">
        <is>
          <t>Sinh và chạy kịch bản kiểm thử SIL</t>
        </is>
      </c>
      <c r="C138" s="40" t="n">
        <v>1</v>
      </c>
      <c r="D138" s="40" t="inlineStr">
        <is>
          <t>T</t>
        </is>
      </c>
      <c r="E138" s="40" t="inlineStr">
        <is>
          <t>Từ kỳ vọng của Feature sinh bench/*.yaml (init, inject, expect)</t>
        </is>
      </c>
      <c r="F138" s="40" t="n"/>
      <c r="G138" s="40" t="inlineStr">
        <is>
          <t>kịch bản</t>
        </is>
      </c>
      <c r="H138" s="40" t="n"/>
      <c r="I138" s="46" t="inlineStr">
        <is>
          <t>T1</t>
        </is>
      </c>
    </row>
    <row r="139" ht="15" customHeight="1" s="29">
      <c r="A139" s="40" t="inlineStr">
        <is>
          <t>UC-E03</t>
        </is>
      </c>
      <c r="B139" s="40" t="inlineStr">
        <is>
          <t>Sinh và chạy kịch bản kiểm thử SIL</t>
        </is>
      </c>
      <c r="C139" s="40" t="n">
        <v>2</v>
      </c>
      <c r="D139" s="40" t="inlineStr">
        <is>
          <t>H</t>
        </is>
      </c>
      <c r="E139" s="40" t="inlineStr">
        <is>
          <t>Chạy trên mô phỏng; bắt UART/GPIO/biến</t>
        </is>
      </c>
      <c r="F139" s="40" t="n"/>
      <c r="G139" s="40" t="inlineStr">
        <is>
          <t>log</t>
        </is>
      </c>
      <c r="H139" s="40" t="n"/>
      <c r="I139" s="46" t="inlineStr">
        <is>
          <t>T1</t>
        </is>
      </c>
    </row>
    <row r="140" ht="15" customHeight="1" s="29">
      <c r="A140" s="40" t="inlineStr">
        <is>
          <t>UC-E03</t>
        </is>
      </c>
      <c r="B140" s="40" t="inlineStr">
        <is>
          <t>Sinh và chạy kịch bản kiểm thử SIL</t>
        </is>
      </c>
      <c r="C140" s="40" t="n">
        <v>3</v>
      </c>
      <c r="D140" s="40" t="inlineStr">
        <is>
          <t>K</t>
        </is>
      </c>
      <c r="E140" s="40" t="inlineStr">
        <is>
          <t>So với expect → ToolReport; lưu số đo</t>
        </is>
      </c>
      <c r="F140" s="40" t="n"/>
      <c r="G140" s="40" t="n"/>
      <c r="H140" s="40" t="n"/>
      <c r="I140" s="46" t="inlineStr">
        <is>
          <t>T1</t>
        </is>
      </c>
    </row>
    <row r="141" ht="15" customHeight="1" s="29">
      <c r="A141" s="40" t="inlineStr">
        <is>
          <t>UC-E03</t>
        </is>
      </c>
      <c r="B141" s="40" t="inlineStr">
        <is>
          <t>Sinh và chạy kịch bản kiểm thử SIL</t>
        </is>
      </c>
      <c r="C141" s="40" t="n">
        <v>4</v>
      </c>
      <c r="D141" s="40" t="inlineStr">
        <is>
          <t>T</t>
        </is>
      </c>
      <c r="E141" s="40" t="inlineStr">
        <is>
          <t>Nếu lệch: đề xuất nguyên nhân (mã / mô hình / fact)</t>
        </is>
      </c>
      <c r="F141" s="40" t="n"/>
      <c r="G141" s="40" t="n"/>
      <c r="H141" s="40" t="n"/>
      <c r="I141" s="46" t="inlineStr">
        <is>
          <t>T1</t>
        </is>
      </c>
    </row>
    <row r="142" ht="23.25" customHeight="1" s="29">
      <c r="A142" s="40" t="inlineStr">
        <is>
          <t>UC-E04</t>
        </is>
      </c>
      <c r="B142" s="40" t="inlineStr">
        <is>
          <t>So sánh SIL với HIL và cập nhật mô hình</t>
        </is>
      </c>
      <c r="C142" s="40" t="n">
        <v>1</v>
      </c>
      <c r="D142" s="40" t="inlineStr">
        <is>
          <t>K</t>
        </is>
      </c>
      <c r="E142" s="40" t="inlineStr">
        <is>
          <t>Ghép kết quả theo chỉ số (ổn định, latency, góc dư)</t>
        </is>
      </c>
      <c r="F142" s="40" t="n"/>
      <c r="G142" s="40" t="inlineStr">
        <is>
          <t>bảng</t>
        </is>
      </c>
      <c r="H142" s="40" t="n"/>
      <c r="I142" s="46" t="inlineStr">
        <is>
          <t>T1</t>
        </is>
      </c>
    </row>
    <row r="143" ht="23.25" customHeight="1" s="29">
      <c r="A143" s="40" t="inlineStr">
        <is>
          <t>UC-E04</t>
        </is>
      </c>
      <c r="B143" s="40" t="inlineStr">
        <is>
          <t>So sánh SIL với HIL và cập nhật mô hình</t>
        </is>
      </c>
      <c r="C143" s="40" t="n">
        <v>2</v>
      </c>
      <c r="D143" s="40" t="inlineStr">
        <is>
          <t>T</t>
        </is>
      </c>
      <c r="E143" s="40" t="inlineStr">
        <is>
          <t>Giải thích lệch; đề xuất tham số mới (ví dụ ma sát)</t>
        </is>
      </c>
      <c r="F143" s="40" t="n"/>
      <c r="G143" s="40" t="n"/>
      <c r="H143" s="40" t="n"/>
      <c r="I143" s="46" t="inlineStr">
        <is>
          <t>T1</t>
        </is>
      </c>
    </row>
    <row r="144" ht="23.25" customHeight="1" s="29">
      <c r="A144" s="44" t="inlineStr">
        <is>
          <t>UC-E04</t>
        </is>
      </c>
      <c r="B144" s="44" t="inlineStr">
        <is>
          <t>So sánh SIL với HIL và cập nhật mô hình</t>
        </is>
      </c>
      <c r="C144" s="44" t="n">
        <v>3</v>
      </c>
      <c r="D144" s="44" t="inlineStr">
        <is>
          <t>N</t>
        </is>
      </c>
      <c r="E144" s="44" t="inlineStr">
        <is>
          <t>Duyệt cập nhật mô hình</t>
        </is>
      </c>
      <c r="F144" s="44" t="n"/>
      <c r="G144" s="44" t="n"/>
      <c r="H144" s="44" t="inlineStr">
        <is>
          <t>G-FACT</t>
        </is>
      </c>
      <c r="I144" s="47" t="inlineStr">
        <is>
          <t>T2</t>
        </is>
      </c>
    </row>
    <row r="145" ht="23.25" customHeight="1" s="29">
      <c r="A145" s="40" t="inlineStr">
        <is>
          <t>UC-F01</t>
        </is>
      </c>
      <c r="B145" s="40" t="inlineStr">
        <is>
          <t>Cấp quyền thao tác nguy hiểm (G-OPS)</t>
        </is>
      </c>
      <c r="C145" s="40" t="n">
        <v>1</v>
      </c>
      <c r="D145" s="40" t="inlineStr">
        <is>
          <t>K</t>
        </is>
      </c>
      <c r="E145" s="40" t="inlineStr">
        <is>
          <t>Tool nguy hiểm trả needs_permission và mở mục G-OPS: thao tác cụ thể, target, artifact hash, lý do</t>
        </is>
      </c>
      <c r="F145" s="40" t="n"/>
      <c r="G145" s="40" t="n"/>
      <c r="H145" s="40" t="n"/>
      <c r="I145" s="46" t="inlineStr">
        <is>
          <t>T1</t>
        </is>
      </c>
    </row>
    <row r="146" ht="23.25" customHeight="1" s="29">
      <c r="A146" s="44" t="inlineStr">
        <is>
          <t>UC-F01</t>
        </is>
      </c>
      <c r="B146" s="44" t="inlineStr">
        <is>
          <t>Cấp quyền thao tác nguy hiểm (G-OPS)</t>
        </is>
      </c>
      <c r="C146" s="44" t="n">
        <v>2</v>
      </c>
      <c r="D146" s="44" t="inlineStr">
        <is>
          <t>N</t>
        </is>
      </c>
      <c r="E146" s="44" t="inlineStr">
        <is>
          <t>Cấp quyền cho lần này / cho phiên / từ chối</t>
        </is>
      </c>
      <c r="F146" s="44" t="n"/>
      <c r="G146" s="44" t="n"/>
      <c r="H146" s="44" t="inlineStr">
        <is>
          <t>G-OPS</t>
        </is>
      </c>
      <c r="I146" s="47" t="inlineStr">
        <is>
          <t>T2</t>
        </is>
      </c>
    </row>
    <row r="147" ht="23.25" customHeight="1" s="29">
      <c r="A147" s="40" t="inlineStr">
        <is>
          <t>UC-F01</t>
        </is>
      </c>
      <c r="B147" s="40" t="inlineStr">
        <is>
          <t>Cấp quyền thao tác nguy hiểm (G-OPS)</t>
        </is>
      </c>
      <c r="C147" s="40" t="n">
        <v>3</v>
      </c>
      <c r="D147" s="40" t="inlineStr">
        <is>
          <t>K</t>
        </is>
      </c>
      <c r="E147" s="40" t="inlineStr">
        <is>
          <t>Ghi Permission (expires_at); thực thi; ledger</t>
        </is>
      </c>
      <c r="F147" s="40" t="n"/>
      <c r="G147" s="40" t="n"/>
      <c r="H147" s="40" t="n"/>
      <c r="I147" s="46" t="inlineStr">
        <is>
          <t>T1</t>
        </is>
      </c>
    </row>
    <row r="148" ht="15" customHeight="1" s="29">
      <c r="A148" s="40" t="inlineStr">
        <is>
          <t>UC-F02</t>
        </is>
      </c>
      <c r="B148" s="40" t="inlineStr">
        <is>
          <t>Nạp firmware và xác minh</t>
        </is>
      </c>
      <c r="C148" s="40" t="n">
        <v>1</v>
      </c>
      <c r="D148" s="40" t="inlineStr">
        <is>
          <t>H</t>
        </is>
      </c>
      <c r="E148" s="40" t="inlineStr">
        <is>
          <t>Adapter theo ISA (probe-rs / avrdude / idf.py / west); verify sau nạp</t>
        </is>
      </c>
      <c r="F148" s="40" t="n"/>
      <c r="G148" s="40" t="inlineStr">
        <is>
          <t>ToolReport</t>
        </is>
      </c>
      <c r="H148" s="40" t="n"/>
      <c r="I148" s="46" t="inlineStr">
        <is>
          <t>T1</t>
        </is>
      </c>
    </row>
    <row r="149" ht="15" customHeight="1" s="29">
      <c r="A149" s="40" t="inlineStr">
        <is>
          <t>UC-F02</t>
        </is>
      </c>
      <c r="B149" s="40" t="inlineStr">
        <is>
          <t>Nạp firmware và xác minh</t>
        </is>
      </c>
      <c r="C149" s="40" t="n">
        <v>2</v>
      </c>
      <c r="D149" s="40" t="inlineStr">
        <is>
          <t>K</t>
        </is>
      </c>
      <c r="E149" s="40" t="inlineStr">
        <is>
          <t>Mở serial; ghi log JSONL</t>
        </is>
      </c>
      <c r="F149" s="40" t="n"/>
      <c r="G149" s="40" t="n"/>
      <c r="H149" s="40" t="n"/>
      <c r="I149" s="46" t="inlineStr">
        <is>
          <t>T1</t>
        </is>
      </c>
    </row>
    <row r="150" ht="23.25" customHeight="1" s="29">
      <c r="A150" s="40" t="inlineStr">
        <is>
          <t>UC-F03</t>
        </is>
      </c>
      <c r="B150" s="40" t="inlineStr">
        <is>
          <t>Quan sát serial, xác nhận vật lý (G4) và gắn bằng chứng</t>
        </is>
      </c>
      <c r="C150" s="40" t="n">
        <v>1</v>
      </c>
      <c r="D150" s="40" t="inlineStr">
        <is>
          <t>H</t>
        </is>
      </c>
      <c r="E150" s="40" t="inlineStr">
        <is>
          <t>serial.expect theo kịch bản; ghi log</t>
        </is>
      </c>
      <c r="F150" s="40" t="n"/>
      <c r="G150" s="40" t="n"/>
      <c r="H150" s="40" t="n"/>
      <c r="I150" s="46" t="inlineStr">
        <is>
          <t>T1</t>
        </is>
      </c>
    </row>
    <row r="151" ht="23.25" customHeight="1" s="29">
      <c r="A151" s="40" t="inlineStr">
        <is>
          <t>UC-F03</t>
        </is>
      </c>
      <c r="B151" s="40" t="inlineStr">
        <is>
          <t>Quan sát serial, xác nhận vật lý (G4) và gắn bằng chứng</t>
        </is>
      </c>
      <c r="C151" s="40" t="n">
        <v>2</v>
      </c>
      <c r="D151" s="40" t="inlineStr">
        <is>
          <t>T</t>
        </is>
      </c>
      <c r="E151" s="40" t="inlineStr">
        <is>
          <t>Tester so kết quả với kỳ vọng; trình bày cho người</t>
        </is>
      </c>
      <c r="F151" s="40" t="n"/>
      <c r="G151" s="40" t="n"/>
      <c r="H151" s="40" t="n"/>
      <c r="I151" s="46" t="inlineStr">
        <is>
          <t>T1</t>
        </is>
      </c>
    </row>
    <row r="152" ht="23.25" customHeight="1" s="29">
      <c r="A152" s="44" t="inlineStr">
        <is>
          <t>UC-F03</t>
        </is>
      </c>
      <c r="B152" s="44" t="inlineStr">
        <is>
          <t>Quan sát serial, xác nhận vật lý (G4) và gắn bằng chứng</t>
        </is>
      </c>
      <c r="C152" s="44" t="n">
        <v>3</v>
      </c>
      <c r="D152" s="44" t="inlineStr">
        <is>
          <t>N</t>
        </is>
      </c>
      <c r="E152" s="44" t="inlineStr">
        <is>
          <t>Xác nhận quan sát (LED, chuyển động, số đo) hoặc từ chối</t>
        </is>
      </c>
      <c r="F152" s="44" t="n"/>
      <c r="G152" s="44" t="n"/>
      <c r="H152" s="44" t="inlineStr">
        <is>
          <t>G4</t>
        </is>
      </c>
      <c r="I152" s="48" t="inlineStr">
        <is>
          <t>T3</t>
        </is>
      </c>
    </row>
    <row r="153" ht="23.25" customHeight="1" s="29">
      <c r="A153" s="40" t="inlineStr">
        <is>
          <t>UC-F03</t>
        </is>
      </c>
      <c r="B153" s="40" t="inlineStr">
        <is>
          <t>Quan sát serial, xác nhận vật lý (G4) và gắn bằng chứng</t>
        </is>
      </c>
      <c r="C153" s="40" t="n">
        <v>4</v>
      </c>
      <c r="D153" s="40" t="inlineStr">
        <is>
          <t>K</t>
        </is>
      </c>
      <c r="E153" s="40" t="inlineStr">
        <is>
          <t>passing + evidence; tag known-good</t>
        </is>
      </c>
      <c r="F153" s="40" t="n"/>
      <c r="G153" s="40" t="n"/>
      <c r="H153" s="40" t="n"/>
      <c r="I153" s="46" t="inlineStr">
        <is>
          <t>T1</t>
        </is>
      </c>
    </row>
    <row r="154" ht="15" customHeight="1" s="29">
      <c r="A154" s="40" t="inlineStr">
        <is>
          <t>UC-F04</t>
        </is>
      </c>
      <c r="B154" s="40" t="inlineStr">
        <is>
          <t>Hỏi tác tử tại dòng log (log gigabyte)</t>
        </is>
      </c>
      <c r="C154" s="40" t="n">
        <v>1</v>
      </c>
      <c r="D154" s="40" t="inlineStr">
        <is>
          <t>K</t>
        </is>
      </c>
      <c r="E154" s="40" t="inlineStr">
        <is>
          <t>GEditor tính thống kê toàn tệp (mẫu lặp, khoảng thời gian)</t>
        </is>
      </c>
      <c r="F154" s="40" t="n"/>
      <c r="G154" s="40" t="inlineStr">
        <is>
          <t>stats</t>
        </is>
      </c>
      <c r="H154" s="40" t="n"/>
      <c r="I154" s="46" t="inlineStr">
        <is>
          <t>T1</t>
        </is>
      </c>
    </row>
    <row r="155" ht="15" customHeight="1" s="29">
      <c r="A155" s="40" t="inlineStr">
        <is>
          <t>UC-F04</t>
        </is>
      </c>
      <c r="B155" s="40" t="inlineStr">
        <is>
          <t>Hỏi tác tử tại dòng log (log gigabyte)</t>
        </is>
      </c>
      <c r="C155" s="40" t="n">
        <v>2</v>
      </c>
      <c r="D155" s="40" t="inlineStr">
        <is>
          <t>K</t>
        </is>
      </c>
      <c r="E155" s="40" t="inlineStr">
        <is>
          <t>Lấy ngữ cảnh: fact thanh ghi liên quan, CodeUnit USES, DebugSession trước</t>
        </is>
      </c>
      <c r="F155" s="40" t="n"/>
      <c r="G155" s="40" t="n"/>
      <c r="H155" s="40" t="n"/>
      <c r="I155" s="46" t="inlineStr">
        <is>
          <t>T1</t>
        </is>
      </c>
    </row>
    <row r="156" ht="15" customHeight="1" s="29">
      <c r="A156" s="40" t="inlineStr">
        <is>
          <t>UC-F04</t>
        </is>
      </c>
      <c r="B156" s="40" t="inlineStr">
        <is>
          <t>Hỏi tác tử tại dòng log (log gigabyte)</t>
        </is>
      </c>
      <c r="C156" s="40" t="n">
        <v>3</v>
      </c>
      <c r="D156" s="40" t="inlineStr">
        <is>
          <t>T</t>
        </is>
      </c>
      <c r="E156" s="40" t="inlineStr">
        <is>
          <t>Debugger: giả thuyết xếp hạng + thí nghiệm phân biệt</t>
        </is>
      </c>
      <c r="F156" s="40" t="n"/>
      <c r="G156" s="40" t="inlineStr">
        <is>
          <t>Diagnosis</t>
        </is>
      </c>
      <c r="H156" s="40" t="n"/>
      <c r="I156" s="46" t="inlineStr">
        <is>
          <t>T1</t>
        </is>
      </c>
    </row>
    <row r="157" ht="15" customHeight="1" s="29">
      <c r="A157" s="44" t="inlineStr">
        <is>
          <t>UC-F04</t>
        </is>
      </c>
      <c r="B157" s="44" t="inlineStr">
        <is>
          <t>Hỏi tác tử tại dòng log (log gigabyte)</t>
        </is>
      </c>
      <c r="C157" s="44" t="n">
        <v>4</v>
      </c>
      <c r="D157" s="44" t="inlineStr">
        <is>
          <t>N</t>
        </is>
      </c>
      <c r="E157" s="44" t="inlineStr">
        <is>
          <t>Chọn thí nghiệm / lưu DebugSession</t>
        </is>
      </c>
      <c r="F157" s="44" t="n"/>
      <c r="G157" s="44" t="n"/>
      <c r="H157" s="44" t="n"/>
      <c r="I157" s="47" t="inlineStr">
        <is>
          <t>T2</t>
        </is>
      </c>
    </row>
    <row r="158" ht="15" customHeight="1" s="29">
      <c r="A158" s="40" t="inlineStr">
        <is>
          <t>UC-F05</t>
        </is>
      </c>
      <c r="B158" s="40" t="inlineStr">
        <is>
          <t>Gỡ lỗi mức probe và gói chứng cứ</t>
        </is>
      </c>
      <c r="C158" s="40" t="n">
        <v>1</v>
      </c>
      <c r="D158" s="40" t="inlineStr">
        <is>
          <t>H</t>
        </is>
      </c>
      <c r="E158" s="40" t="inlineStr">
        <is>
          <t>connect/halt/read_memory/diagnose_fault/unwind (probe-rs/OpenOCD)</t>
        </is>
      </c>
      <c r="F158" s="40" t="n"/>
      <c r="G158" s="40" t="inlineStr">
        <is>
          <t>EvidencePack</t>
        </is>
      </c>
      <c r="H158" s="40" t="n"/>
      <c r="I158" s="46" t="inlineStr">
        <is>
          <t>T1</t>
        </is>
      </c>
    </row>
    <row r="159" ht="15" customHeight="1" s="29">
      <c r="A159" s="40" t="inlineStr">
        <is>
          <t>UC-F05</t>
        </is>
      </c>
      <c r="B159" s="40" t="inlineStr">
        <is>
          <t>Gỡ lỗi mức probe và gói chứng cứ</t>
        </is>
      </c>
      <c r="C159" s="40" t="n">
        <v>2</v>
      </c>
      <c r="D159" s="40" t="inlineStr">
        <is>
          <t>K</t>
        </is>
      </c>
      <c r="E159" s="40" t="inlineStr">
        <is>
          <t>Giải nghĩa thanh ghi theo hộ chiếu (SR1.AF=1)</t>
        </is>
      </c>
      <c r="F159" s="40" t="n"/>
      <c r="G159" s="40" t="n"/>
      <c r="H159" s="40" t="n"/>
      <c r="I159" s="46" t="inlineStr">
        <is>
          <t>T1</t>
        </is>
      </c>
    </row>
    <row r="160" ht="15" customHeight="1" s="29">
      <c r="A160" s="40" t="inlineStr">
        <is>
          <t>UC-F05</t>
        </is>
      </c>
      <c r="B160" s="40" t="inlineStr">
        <is>
          <t>Gỡ lỗi mức probe và gói chứng cứ</t>
        </is>
      </c>
      <c r="C160" s="40" t="n">
        <v>3</v>
      </c>
      <c r="D160" s="40" t="inlineStr">
        <is>
          <t>T</t>
        </is>
      </c>
      <c r="E160" s="40" t="inlineStr">
        <is>
          <t>Cập nhật giả thuyết; đề xuất sửa → STEP mới (UC-D01)</t>
        </is>
      </c>
      <c r="F160" s="40" t="n"/>
      <c r="G160" s="40" t="n"/>
      <c r="H160" s="40" t="n"/>
      <c r="I160" s="46" t="inlineStr">
        <is>
          <t>T1</t>
        </is>
      </c>
    </row>
    <row r="161" ht="15" customHeight="1" s="29">
      <c r="A161" s="40" t="inlineStr">
        <is>
          <t>UC-F05</t>
        </is>
      </c>
      <c r="B161" s="40" t="inlineStr">
        <is>
          <t>Gỡ lỗi mức probe và gói chứng cứ</t>
        </is>
      </c>
      <c r="C161" s="40" t="n">
        <v>4</v>
      </c>
      <c r="D161" s="40" t="inlineStr">
        <is>
          <t>K</t>
        </is>
      </c>
      <c r="E161" s="40" t="inlineStr">
        <is>
          <t>Lưu DebugSession gắn fact/mã/log</t>
        </is>
      </c>
      <c r="F161" s="40" t="n"/>
      <c r="G161" s="40" t="n"/>
      <c r="H161" s="40" t="n"/>
      <c r="I161" s="46" t="inlineStr">
        <is>
          <t>T1</t>
        </is>
      </c>
    </row>
    <row r="162" ht="23.25" customHeight="1" s="29">
      <c r="A162" s="40" t="inlineStr">
        <is>
          <t>UC-F06</t>
        </is>
      </c>
      <c r="B162" s="40" t="inlineStr">
        <is>
          <t>Đo tín hiệu và năng lượng làm bằng chứng</t>
        </is>
      </c>
      <c r="C162" s="40" t="n">
        <v>1</v>
      </c>
      <c r="D162" s="40" t="inlineStr">
        <is>
          <t>H</t>
        </is>
      </c>
      <c r="E162" s="40" t="inlineStr">
        <is>
          <t>sigrok-cli decode I2C/SPI; đo dòng theo mốc GPIO</t>
        </is>
      </c>
      <c r="F162" s="40" t="n"/>
      <c r="G162" s="40" t="inlineStr">
        <is>
          <t>dataset</t>
        </is>
      </c>
      <c r="H162" s="40" t="n"/>
      <c r="I162" s="46" t="inlineStr">
        <is>
          <t>T1</t>
        </is>
      </c>
    </row>
    <row r="163" ht="23.25" customHeight="1" s="29">
      <c r="A163" s="40" t="inlineStr">
        <is>
          <t>UC-F06</t>
        </is>
      </c>
      <c r="B163" s="40" t="inlineStr">
        <is>
          <t>Đo tín hiệu và năng lượng làm bằng chứng</t>
        </is>
      </c>
      <c r="C163" s="40" t="n">
        <v>2</v>
      </c>
      <c r="D163" s="40" t="inlineStr">
        <is>
          <t>K</t>
        </is>
      </c>
      <c r="E163" s="40" t="inlineStr">
        <is>
          <t>Đồng bộ thời gian với log; lưu Measurement</t>
        </is>
      </c>
      <c r="F163" s="40" t="n"/>
      <c r="G163" s="40" t="n"/>
      <c r="H163" s="40" t="n"/>
      <c r="I163" s="46" t="inlineStr">
        <is>
          <t>T1</t>
        </is>
      </c>
    </row>
    <row r="164" ht="23.25" customHeight="1" s="29">
      <c r="A164" s="40" t="inlineStr">
        <is>
          <t>UC-F06</t>
        </is>
      </c>
      <c r="B164" s="40" t="inlineStr">
        <is>
          <t>Đo tín hiệu và năng lượng làm bằng chứng</t>
        </is>
      </c>
      <c r="C164" s="40" t="n">
        <v>3</v>
      </c>
      <c r="D164" s="40" t="inlineStr">
        <is>
          <t>T</t>
        </is>
      </c>
      <c r="E164" s="40" t="inlineStr">
        <is>
          <t>Đối chiếu giao dịch với kỳ vọng</t>
        </is>
      </c>
      <c r="F164" s="40" t="n"/>
      <c r="G164" s="40" t="n"/>
      <c r="H164" s="40" t="n"/>
      <c r="I164" s="46" t="inlineStr">
        <is>
          <t>T1</t>
        </is>
      </c>
    </row>
    <row r="165" ht="23.25" customHeight="1" s="29">
      <c r="A165" s="40" t="inlineStr">
        <is>
          <t>UC-G01</t>
        </is>
      </c>
      <c r="B165" s="40" t="inlineStr">
        <is>
          <t>Chạy benchmark Pack/skill trên board</t>
        </is>
      </c>
      <c r="C165" s="40" t="n">
        <v>1</v>
      </c>
      <c r="D165" s="40" t="inlineStr">
        <is>
          <t>T</t>
        </is>
      </c>
      <c r="E165" s="40" t="inlineStr">
        <is>
          <t>Chạy từng tác vụ qua P2–P4 tự động (gate người thay bằng kỳ vọng quan sát tự động)</t>
        </is>
      </c>
      <c r="F165" s="40" t="n"/>
      <c r="G165" s="40" t="n"/>
      <c r="H165" s="40" t="n"/>
      <c r="I165" s="46" t="inlineStr">
        <is>
          <t>T1</t>
        </is>
      </c>
    </row>
    <row r="166" ht="23.25" customHeight="1" s="29">
      <c r="A166" s="40" t="inlineStr">
        <is>
          <t>UC-G01</t>
        </is>
      </c>
      <c r="B166" s="40" t="inlineStr">
        <is>
          <t>Chạy benchmark Pack/skill trên board</t>
        </is>
      </c>
      <c r="C166" s="40" t="n">
        <v>2</v>
      </c>
      <c r="D166" s="40" t="inlineStr">
        <is>
          <t>K</t>
        </is>
      </c>
      <c r="E166" s="40" t="inlineStr">
        <is>
          <t>Chấm CF/BF/BC; ghi token/thời gian</t>
        </is>
      </c>
      <c r="F166" s="40" t="n"/>
      <c r="G166" s="40" t="inlineStr">
        <is>
          <t>báo cáo</t>
        </is>
      </c>
      <c r="H166" s="40" t="n"/>
      <c r="I166" s="46" t="inlineStr">
        <is>
          <t>T1</t>
        </is>
      </c>
    </row>
    <row r="167" ht="23.25" customHeight="1" s="29">
      <c r="A167" s="40" t="inlineStr">
        <is>
          <t>UC-G01</t>
        </is>
      </c>
      <c r="B167" s="40" t="inlineStr">
        <is>
          <t>Chạy benchmark Pack/skill trên board</t>
        </is>
      </c>
      <c r="C167" s="40" t="n">
        <v>3</v>
      </c>
      <c r="D167" s="40" t="inlineStr">
        <is>
          <t>T</t>
        </is>
      </c>
      <c r="E167" s="40" t="inlineStr">
        <is>
          <t>Phân tích ca lỗi → đề xuất sửa skill (K5) chờ duyệt</t>
        </is>
      </c>
      <c r="F167" s="40" t="n"/>
      <c r="G167" s="40" t="n"/>
      <c r="H167" s="40" t="n"/>
      <c r="I167" s="46" t="inlineStr">
        <is>
          <t>T1</t>
        </is>
      </c>
    </row>
    <row r="168" ht="23.25" customHeight="1" s="29">
      <c r="A168" s="40" t="inlineStr">
        <is>
          <t>UC-G02</t>
        </is>
      </c>
      <c r="B168" s="40" t="inlineStr">
        <is>
          <t>Đóng gói và phát hành hộ chiếu/skill (.hkp) — G5</t>
        </is>
      </c>
      <c r="C168" s="40" t="n">
        <v>1</v>
      </c>
      <c r="D168" s="40" t="inlineStr">
        <is>
          <t>K</t>
        </is>
      </c>
      <c r="E168" s="40" t="inlineStr">
        <is>
          <t>Đóng gói fact + con trỏ nguồn + skills + bench + badges; kiểm license</t>
        </is>
      </c>
      <c r="F168" s="40" t="n"/>
      <c r="G168" s="40" t="inlineStr">
        <is>
          <t>.hkp</t>
        </is>
      </c>
      <c r="H168" s="40" t="n"/>
      <c r="I168" s="46" t="inlineStr">
        <is>
          <t>T1</t>
        </is>
      </c>
    </row>
    <row r="169" ht="23.25" customHeight="1" s="29">
      <c r="A169" s="44" t="inlineStr">
        <is>
          <t>UC-G02</t>
        </is>
      </c>
      <c r="B169" s="44" t="inlineStr">
        <is>
          <t>Đóng gói và phát hành hộ chiếu/skill (.hkp) — G5</t>
        </is>
      </c>
      <c r="C169" s="44" t="n">
        <v>2</v>
      </c>
      <c r="D169" s="44" t="inlineStr">
        <is>
          <t>N</t>
        </is>
      </c>
      <c r="E169" s="44" t="inlineStr">
        <is>
          <t>Duyệt; ký</t>
        </is>
      </c>
      <c r="F169" s="44" t="n"/>
      <c r="G169" s="44" t="n"/>
      <c r="H169" s="44" t="inlineStr">
        <is>
          <t>G5</t>
        </is>
      </c>
      <c r="I169" s="47" t="inlineStr">
        <is>
          <t>T2</t>
        </is>
      </c>
    </row>
    <row r="170" ht="23.25" customHeight="1" s="29">
      <c r="A170" s="40" t="inlineStr">
        <is>
          <t>UC-G02</t>
        </is>
      </c>
      <c r="B170" s="40" t="inlineStr">
        <is>
          <t>Đóng gói và phát hành hộ chiếu/skill (.hkp) — G5</t>
        </is>
      </c>
      <c r="C170" s="40" t="n">
        <v>3</v>
      </c>
      <c r="D170" s="40" t="inlineStr">
        <is>
          <t>K</t>
        </is>
      </c>
      <c r="E170" s="40" t="inlineStr">
        <is>
          <t>Publish; index</t>
        </is>
      </c>
      <c r="F170" s="40" t="n"/>
      <c r="G170" s="40" t="n"/>
      <c r="H170" s="40" t="n"/>
      <c r="I170" s="46" t="inlineStr">
        <is>
          <t>T1</t>
        </is>
      </c>
    </row>
    <row r="171" ht="15" customHeight="1" s="29">
      <c r="A171" s="44" t="inlineStr">
        <is>
          <t>UC-G03</t>
        </is>
      </c>
      <c r="B171" s="44" t="inlineStr">
        <is>
          <t>Pull gói từ registry vào dự án</t>
        </is>
      </c>
      <c r="C171" s="44" t="n">
        <v>1</v>
      </c>
      <c r="D171" s="44" t="inlineStr">
        <is>
          <t>N</t>
        </is>
      </c>
      <c r="E171" s="44" t="inlineStr">
        <is>
          <t>Xem huy hiệu, benchmark, chữ ký; chọn phiên bản</t>
        </is>
      </c>
      <c r="F171" s="44" t="n"/>
      <c r="G171" s="44" t="n"/>
      <c r="H171" s="44" t="inlineStr">
        <is>
          <t>G-SRC</t>
        </is>
      </c>
      <c r="I171" s="47" t="inlineStr">
        <is>
          <t>T2</t>
        </is>
      </c>
    </row>
    <row r="172" ht="15" customHeight="1" s="29">
      <c r="A172" s="40" t="inlineStr">
        <is>
          <t>UC-G03</t>
        </is>
      </c>
      <c r="B172" s="40" t="inlineStr">
        <is>
          <t>Pull gói từ registry vào dự án</t>
        </is>
      </c>
      <c r="C172" s="40" t="n">
        <v>2</v>
      </c>
      <c r="D172" s="40" t="inlineStr">
        <is>
          <t>K</t>
        </is>
      </c>
      <c r="E172" s="40" t="inlineStr">
        <is>
          <t>Kiểm chữ ký; nạp; ghim</t>
        </is>
      </c>
      <c r="F172" s="40" t="n"/>
      <c r="G172" s="40" t="n"/>
      <c r="H172" s="40" t="n"/>
      <c r="I172" s="46" t="inlineStr">
        <is>
          <t>T1</t>
        </is>
      </c>
    </row>
    <row r="173" ht="15" customHeight="1" s="29">
      <c r="A173" s="40" t="inlineStr">
        <is>
          <t>UC-G04</t>
        </is>
      </c>
      <c r="B173" s="40" t="inlineStr">
        <is>
          <t>Xuất báo cáo và ma trận Người–AI</t>
        </is>
      </c>
      <c r="C173" s="40" t="n">
        <v>1</v>
      </c>
      <c r="D173" s="40" t="inlineStr">
        <is>
          <t>K</t>
        </is>
      </c>
      <c r="E173" s="40" t="inlineStr">
        <is>
          <t>Tổng hợp gate, lượt gọi, ToolReport, Feature, benchmark</t>
        </is>
      </c>
      <c r="F173" s="40" t="n"/>
      <c r="G173" s="40" t="n"/>
      <c r="H173" s="40" t="n"/>
      <c r="I173" s="46" t="inlineStr">
        <is>
          <t>T1</t>
        </is>
      </c>
    </row>
    <row r="174" ht="15" customHeight="1" s="29">
      <c r="A174" s="40" t="inlineStr">
        <is>
          <t>UC-G04</t>
        </is>
      </c>
      <c r="B174" s="40" t="inlineStr">
        <is>
          <t>Xuất báo cáo và ma trận Người–AI</t>
        </is>
      </c>
      <c r="C174" s="40" t="n">
        <v>2</v>
      </c>
      <c r="D174" s="40" t="inlineStr">
        <is>
          <t>K</t>
        </is>
      </c>
      <c r="E174" s="40" t="inlineStr">
        <is>
          <t>Sinh tài liệu có mục Nguồn</t>
        </is>
      </c>
      <c r="F174" s="40" t="n"/>
      <c r="G174" s="40" t="n"/>
      <c r="H174" s="40" t="n"/>
      <c r="I174" s="46" t="inlineStr">
        <is>
          <t>T1</t>
        </is>
      </c>
    </row>
    <row r="175" ht="15" customHeight="1" s="29">
      <c r="A175" s="44" t="inlineStr">
        <is>
          <t>UC-G04</t>
        </is>
      </c>
      <c r="B175" s="44" t="inlineStr">
        <is>
          <t>Xuất báo cáo và ma trận Người–AI</t>
        </is>
      </c>
      <c r="C175" s="44" t="n">
        <v>3</v>
      </c>
      <c r="D175" s="44" t="inlineStr">
        <is>
          <t>N</t>
        </is>
      </c>
      <c r="E175" s="44" t="inlineStr">
        <is>
          <t>Duyệt</t>
        </is>
      </c>
      <c r="F175" s="44" t="n"/>
      <c r="G175" s="44" t="n"/>
      <c r="H175" s="44" t="inlineStr">
        <is>
          <t>G5</t>
        </is>
      </c>
      <c r="I175" s="47" t="inlineStr">
        <is>
          <t>T2</t>
        </is>
      </c>
    </row>
    <row r="176" ht="23.25" customHeight="1" s="29">
      <c r="A176" s="44" t="inlineStr">
        <is>
          <t>UC-H01</t>
        </is>
      </c>
      <c r="B176" s="44" t="inlineStr">
        <is>
          <t>Ra lệnh / hỏi trong cửa sổ trò chuyện</t>
        </is>
      </c>
      <c r="C176" s="44" t="n">
        <v>1</v>
      </c>
      <c r="D176" s="44" t="inlineStr">
        <is>
          <t>N</t>
        </is>
      </c>
      <c r="E176" s="44" t="inlineStr">
        <is>
          <t>Một câu lệnh, có thể là lệnh lớn bao trùm nhiều UC ('từ zip này dựng tri thức, môi trường, mô phỏng rồi viết firmware')</t>
        </is>
      </c>
      <c r="F176" s="44" t="n"/>
      <c r="G176" s="44" t="n"/>
      <c r="H176" s="44" t="inlineStr">
        <is>
          <t>Lệnh</t>
        </is>
      </c>
      <c r="I176" s="45" t="inlineStr">
        <is>
          <t>Lệnh</t>
        </is>
      </c>
    </row>
    <row r="177" ht="23.25" customHeight="1" s="29">
      <c r="A177" s="40" t="inlineStr">
        <is>
          <t>UC-H01</t>
        </is>
      </c>
      <c r="B177" s="40" t="inlineStr">
        <is>
          <t>Ra lệnh / hỏi trong cửa sổ trò chuyện</t>
        </is>
      </c>
      <c r="C177" s="40" t="n">
        <v>2</v>
      </c>
      <c r="D177" s="40" t="inlineStr">
        <is>
          <t>T</t>
        </is>
      </c>
      <c r="E177" s="40" t="inlineStr">
        <is>
          <t>Router phân loại ý định → vai trò; lệnh lớn được tách thành chuỗi UC và chạy theo chính sách A3</t>
        </is>
      </c>
      <c r="F177" s="40" t="n"/>
      <c r="G177" s="40" t="n"/>
      <c r="H177" s="40" t="n"/>
      <c r="I177" s="46" t="inlineStr">
        <is>
          <t>T1</t>
        </is>
      </c>
    </row>
    <row r="178" ht="23.25" customHeight="1" s="29">
      <c r="A178" s="40" t="inlineStr">
        <is>
          <t>UC-H01</t>
        </is>
      </c>
      <c r="B178" s="40" t="inlineStr">
        <is>
          <t>Ra lệnh / hỏi trong cửa sổ trò chuyện</t>
        </is>
      </c>
      <c r="C178" s="40" t="n">
        <v>3</v>
      </c>
      <c r="D178" s="40" t="inlineStr">
        <is>
          <t>T</t>
        </is>
      </c>
      <c r="E178" s="40" t="inlineStr">
        <is>
          <t>Vai trò trả lời; nếu cần hành động nguy hiểm → G-OPS; nếu thiếu tri thức → UC-B07</t>
        </is>
      </c>
      <c r="F178" s="40" t="n"/>
      <c r="G178" s="40" t="n"/>
      <c r="H178" s="40" t="n"/>
      <c r="I178" s="46" t="inlineStr">
        <is>
          <t>T1</t>
        </is>
      </c>
    </row>
    <row r="179" ht="23.25" customHeight="1" s="29">
      <c r="A179" s="40" t="inlineStr">
        <is>
          <t>UC-H01</t>
        </is>
      </c>
      <c r="B179" s="40" t="inlineStr">
        <is>
          <t>Ra lệnh / hỏi trong cửa sổ trò chuyện</t>
        </is>
      </c>
      <c r="C179" s="40" t="n">
        <v>4</v>
      </c>
      <c r="D179" s="40" t="inlineStr">
        <is>
          <t>K</t>
        </is>
      </c>
      <c r="E179" s="40" t="inlineStr">
        <is>
          <t>Ledger; panel 'hành động đã làm'</t>
        </is>
      </c>
      <c r="F179" s="40" t="n"/>
      <c r="G179" s="40" t="n"/>
      <c r="H179" s="40" t="n"/>
      <c r="I179" s="46" t="inlineStr">
        <is>
          <t>T1</t>
        </is>
      </c>
    </row>
    <row r="180" ht="23.25" customHeight="1" s="29">
      <c r="A180" s="40" t="inlineStr">
        <is>
          <t>UC-H02</t>
        </is>
      </c>
      <c r="B180" s="40" t="inlineStr">
        <is>
          <t>Tác tử tự đánh giá đủ thông tin trước khi làm</t>
        </is>
      </c>
      <c r="C180" s="40" t="n">
        <v>1</v>
      </c>
      <c r="D180" s="40" t="inlineStr">
        <is>
          <t>T</t>
        </is>
      </c>
      <c r="E180" s="40" t="inlineStr">
        <is>
          <t>Liệt kê fact cần cho tác vụ; kiểm tồn tại và trạng thái (reviewed?)</t>
        </is>
      </c>
      <c r="F180" s="40" t="n"/>
      <c r="G180" s="40" t="n"/>
      <c r="H180" s="40" t="n"/>
      <c r="I180" s="46" t="inlineStr">
        <is>
          <t>T1</t>
        </is>
      </c>
    </row>
    <row r="181" ht="23.25" customHeight="1" s="29">
      <c r="A181" s="40" t="inlineStr">
        <is>
          <t>UC-H02</t>
        </is>
      </c>
      <c r="B181" s="40" t="inlineStr">
        <is>
          <t>Tác tử tự đánh giá đủ thông tin trước khi làm</t>
        </is>
      </c>
      <c r="C181" s="40" t="n">
        <v>2</v>
      </c>
      <c r="D181" s="40" t="inlineStr">
        <is>
          <t>T</t>
        </is>
      </c>
      <c r="E181" s="40" t="inlineStr">
        <is>
          <t>Nếu thiếu/chưa duyệt → nêu rõ và dừng chờ</t>
        </is>
      </c>
      <c r="F181" s="40" t="n"/>
      <c r="G181" s="40" t="n"/>
      <c r="H181" s="40" t="n"/>
      <c r="I181" s="46" t="inlineStr">
        <is>
          <t>T1</t>
        </is>
      </c>
    </row>
    <row r="182" ht="23.25" customHeight="1" s="29">
      <c r="A182" s="40" t="inlineStr">
        <is>
          <t>UC-H03</t>
        </is>
      </c>
      <c r="B182" s="40" t="inlineStr">
        <is>
          <t>Vượt ngân sách hoặc mô hình không khả dụng</t>
        </is>
      </c>
      <c r="C182" s="40" t="n">
        <v>1</v>
      </c>
      <c r="D182" s="40" t="inlineStr">
        <is>
          <t>K</t>
        </is>
      </c>
      <c r="E182" s="40" t="inlineStr">
        <is>
          <t>Thử ứng viên kế tiếp theo fallback_on</t>
        </is>
      </c>
      <c r="F182" s="40" t="n"/>
      <c r="G182" s="40" t="n"/>
      <c r="H182" s="40" t="n"/>
      <c r="I182" s="46" t="inlineStr">
        <is>
          <t>T1</t>
        </is>
      </c>
    </row>
    <row r="183" ht="23.25" customHeight="1" s="29">
      <c r="A183" s="40" t="inlineStr">
        <is>
          <t>UC-H03</t>
        </is>
      </c>
      <c r="B183" s="40" t="inlineStr">
        <is>
          <t>Vượt ngân sách hoặc mô hình không khả dụng</t>
        </is>
      </c>
      <c r="C183" s="40" t="n">
        <v>2</v>
      </c>
      <c r="D183" s="40" t="inlineStr">
        <is>
          <t>K</t>
        </is>
      </c>
      <c r="E183" s="40" t="inlineStr">
        <is>
          <t>Nếu vượt ngân sách ngày → mở mục hỏi người</t>
        </is>
      </c>
      <c r="F183" s="40" t="n"/>
      <c r="G183" s="40" t="n"/>
      <c r="H183" s="40" t="n"/>
      <c r="I183" s="46" t="inlineStr">
        <is>
          <t>T1</t>
        </is>
      </c>
    </row>
    <row r="184" ht="23.25" customHeight="1" s="29">
      <c r="A184" s="44" t="inlineStr">
        <is>
          <t>UC-H03</t>
        </is>
      </c>
      <c r="B184" s="44" t="inlineStr">
        <is>
          <t>Vượt ngân sách hoặc mô hình không khả dụng</t>
        </is>
      </c>
      <c r="C184" s="44" t="n">
        <v>3</v>
      </c>
      <c r="D184" s="44" t="inlineStr">
        <is>
          <t>N</t>
        </is>
      </c>
      <c r="E184" s="44" t="inlineStr">
        <is>
          <t>Tăng ngân sách / chuyển cục bộ / dừng</t>
        </is>
      </c>
      <c r="F184" s="44" t="n"/>
      <c r="G184" s="44" t="n"/>
      <c r="H184" s="44" t="n"/>
      <c r="I184" s="47" t="inlineStr">
        <is>
          <t>T2</t>
        </is>
      </c>
    </row>
    <row r="185" ht="23.25" customHeight="1" s="29">
      <c r="A185" s="40" t="inlineStr">
        <is>
          <t>UC-H04</t>
        </is>
      </c>
      <c r="B185" s="40" t="inlineStr">
        <is>
          <t>Tác tử từ chối hoặc trả lời 'không biết'</t>
        </is>
      </c>
      <c r="C185" s="40" t="n">
        <v>1</v>
      </c>
      <c r="D185" s="40" t="inlineStr">
        <is>
          <t>T</t>
        </is>
      </c>
      <c r="E185" s="40" t="inlineStr">
        <is>
          <t>Trả lời rõ 'không có trong hộ chiếu' và đề nghị tìm/nạp</t>
        </is>
      </c>
      <c r="F185" s="40" t="n"/>
      <c r="G185" s="40" t="n"/>
      <c r="H185" s="40" t="n"/>
      <c r="I185" s="46" t="inlineStr">
        <is>
          <t>T1</t>
        </is>
      </c>
    </row>
    <row r="186" ht="23.25" customHeight="1" s="29">
      <c r="A186" s="40" t="inlineStr">
        <is>
          <t>UC-H04</t>
        </is>
      </c>
      <c r="B186" s="40" t="inlineStr">
        <is>
          <t>Tác tử từ chối hoặc trả lời 'không biết'</t>
        </is>
      </c>
      <c r="C186" s="40" t="n">
        <v>2</v>
      </c>
      <c r="D186" s="40" t="inlineStr">
        <is>
          <t>K</t>
        </is>
      </c>
      <c r="E186" s="40" t="inlineStr">
        <is>
          <t>stop_reason refusal → fallback theo chính sách; ghi ledger</t>
        </is>
      </c>
      <c r="F186" s="40" t="n"/>
      <c r="G186" s="40" t="n"/>
      <c r="H186" s="40" t="n"/>
      <c r="I186" s="46" t="inlineStr">
        <is>
          <t>T1</t>
        </is>
      </c>
    </row>
    <row r="187">
      <c r="A187" s="49" t="inlineStr">
        <is>
          <t>UC-I01</t>
        </is>
      </c>
      <c r="B187" s="49" t="inlineStr">
        <is>
          <t>Phân tích yêu cầu từ lệnh/tài liệu và sinh ReqSet</t>
        </is>
      </c>
      <c r="C187" s="49" t="n">
        <v>1</v>
      </c>
      <c r="D187" s="49" t="inlineStr">
        <is>
          <t>N</t>
        </is>
      </c>
      <c r="E187" s="49" t="inlineStr">
        <is>
          <t>Ra lệnh: 'phân tích yêu cầu cho robot từ README' (hoặc tự chạy sau nhập zip)</t>
        </is>
      </c>
      <c r="F187" s="49" t="inlineStr">
        <is>
          <t>câu lệnh</t>
        </is>
      </c>
      <c r="G187" s="49" t="inlineStr"/>
      <c r="H187" s="49" t="inlineStr">
        <is>
          <t>Lệnh</t>
        </is>
      </c>
      <c r="I187" s="49" t="n"/>
    </row>
    <row r="188">
      <c r="A188" s="43" t="inlineStr">
        <is>
          <t>UC-I01</t>
        </is>
      </c>
      <c r="B188" s="43" t="inlineStr">
        <is>
          <t>Phân tích yêu cầu từ lệnh/tài liệu và sinh ReqSet</t>
        </is>
      </c>
      <c r="C188" s="43" t="n">
        <v>2</v>
      </c>
      <c r="D188" s="43" t="inlineStr">
        <is>
          <t>T</t>
        </is>
      </c>
      <c r="E188" s="43" t="inlineStr">
        <is>
          <t>req.elicit: gom câu yêu cầu từ README/tài liệu/ảnh/chat; nêu gaps</t>
        </is>
      </c>
      <c r="F188" s="43" t="inlineStr">
        <is>
          <t>nguồn</t>
        </is>
      </c>
      <c r="G188" s="43" t="inlineStr">
        <is>
          <t>raw[]</t>
        </is>
      </c>
      <c r="H188" s="43" t="inlineStr">
        <is>
          <t>req.elicit</t>
        </is>
      </c>
      <c r="I188" s="43" t="n"/>
    </row>
    <row r="189">
      <c r="A189" s="42" t="inlineStr">
        <is>
          <t>UC-I01</t>
        </is>
      </c>
      <c r="B189" s="42" t="inlineStr">
        <is>
          <t>Phân tích yêu cầu từ lệnh/tài liệu và sinh ReqSet</t>
        </is>
      </c>
      <c r="C189" s="42" t="n">
        <v>3</v>
      </c>
      <c r="D189" s="42" t="inlineStr">
        <is>
          <t>T</t>
        </is>
      </c>
      <c r="E189" s="42" t="inlineStr">
        <is>
          <t>req.classify: FR/NFR/HW/SAFETY/RT, câu đo được, mã UR/FR</t>
        </is>
      </c>
      <c r="F189" s="42" t="inlineStr">
        <is>
          <t>raw</t>
        </is>
      </c>
      <c r="G189" s="42" t="inlineStr">
        <is>
          <t>ReqSet</t>
        </is>
      </c>
      <c r="H189" s="42" t="inlineStr">
        <is>
          <t>req.classify</t>
        </is>
      </c>
      <c r="I189" s="42" t="n"/>
    </row>
    <row r="190">
      <c r="A190" s="43" t="inlineStr">
        <is>
          <t>UC-I01</t>
        </is>
      </c>
      <c r="B190" s="43" t="inlineStr">
        <is>
          <t>Phân tích yêu cầu từ lệnh/tài liệu và sinh ReqSet</t>
        </is>
      </c>
      <c r="C190" s="43" t="n">
        <v>4</v>
      </c>
      <c r="D190" s="43" t="inlineStr">
        <is>
          <t>K</t>
        </is>
      </c>
      <c r="E190" s="43" t="inlineStr">
        <is>
          <t>req.ground_hw: so ngưỡng với fact (tần số, RAM, ADC, bus); thiếu fact → kg.request</t>
        </is>
      </c>
      <c r="F190" s="43" t="inlineStr">
        <is>
          <t>ReqSet, hộ chiếu</t>
        </is>
      </c>
      <c r="G190" s="43" t="inlineStr">
        <is>
          <t>FeasibilityReport</t>
        </is>
      </c>
      <c r="H190" s="43" t="inlineStr">
        <is>
          <t>req.ground_hw</t>
        </is>
      </c>
      <c r="I190" s="43" t="n"/>
    </row>
    <row r="191">
      <c r="A191" s="42" t="inlineStr">
        <is>
          <t>UC-I01</t>
        </is>
      </c>
      <c r="B191" s="42" t="inlineStr">
        <is>
          <t>Phân tích yêu cầu từ lệnh/tài liệu và sinh ReqSet</t>
        </is>
      </c>
      <c r="C191" s="42" t="n">
        <v>5</v>
      </c>
      <c r="D191" s="42" t="inlineStr">
        <is>
          <t>T</t>
        </is>
      </c>
      <c r="E191" s="42" t="inlineStr">
        <is>
          <t>req.detect_conflict + req.prioritize; mâu thuẫn không tự giải → một câu hỏi gộp</t>
        </is>
      </c>
      <c r="F191" s="42" t="inlineStr">
        <is>
          <t>ReqSet</t>
        </is>
      </c>
      <c r="G191" s="42" t="inlineStr">
        <is>
          <t>Issue[], ReqSet'</t>
        </is>
      </c>
      <c r="H191" s="42" t="inlineStr">
        <is>
          <t>T1*</t>
        </is>
      </c>
      <c r="I191" s="42" t="n"/>
    </row>
    <row r="192">
      <c r="A192" s="49" t="inlineStr">
        <is>
          <t>UC-I01</t>
        </is>
      </c>
      <c r="B192" s="49" t="inlineStr">
        <is>
          <t>Phân tích yêu cầu từ lệnh/tài liệu và sinh ReqSet</t>
        </is>
      </c>
      <c r="C192" s="49" t="n">
        <v>6</v>
      </c>
      <c r="D192" s="49" t="inlineStr">
        <is>
          <t>N</t>
        </is>
      </c>
      <c r="E192" s="49" t="inlineStr">
        <is>
          <t>Trả lời câu hỏi gộp (hoặc mặc định sau timeout)</t>
        </is>
      </c>
      <c r="F192" s="49" t="inlineStr">
        <is>
          <t>Question</t>
        </is>
      </c>
      <c r="G192" s="49" t="inlineStr">
        <is>
          <t>answer</t>
        </is>
      </c>
      <c r="H192" s="49" t="inlineStr">
        <is>
          <t>D3</t>
        </is>
      </c>
      <c r="I192" s="49" t="n"/>
    </row>
    <row r="193">
      <c r="A193" s="42" t="inlineStr">
        <is>
          <t>UC-I01</t>
        </is>
      </c>
      <c r="B193" s="42" t="inlineStr">
        <is>
          <t>Phân tích yêu cầu từ lệnh/tài liệu và sinh ReqSet</t>
        </is>
      </c>
      <c r="C193" s="42" t="n">
        <v>7</v>
      </c>
      <c r="D193" s="42" t="inlineStr">
        <is>
          <t>T</t>
        </is>
      </c>
      <c r="E193" s="42" t="inlineStr">
        <is>
          <t>req.acceptance sinh Given–When–Then; ghi bảng requirement; chat.report_back</t>
        </is>
      </c>
      <c r="F193" s="42" t="inlineStr">
        <is>
          <t>ReqSet</t>
        </is>
      </c>
      <c r="G193" s="42" t="inlineStr">
        <is>
          <t>AC[]</t>
        </is>
      </c>
      <c r="H193" s="42" t="inlineStr">
        <is>
          <t>req.acceptance</t>
        </is>
      </c>
      <c r="I193" s="42" t="n"/>
    </row>
    <row r="194">
      <c r="A194" s="43" t="inlineStr">
        <is>
          <t>UC-I02</t>
        </is>
      </c>
      <c r="B194" s="43" t="inlineStr">
        <is>
          <t>Thiết kế kiến trúc firmware, HwMap, ngân sách, ADR</t>
        </is>
      </c>
      <c r="C194" s="43" t="n">
        <v>1</v>
      </c>
      <c r="D194" s="43" t="inlineStr">
        <is>
          <t>T</t>
        </is>
      </c>
      <c r="E194" s="43" t="inlineStr">
        <is>
          <t>arch.style_select theo NFR/RT và fact tài nguyên (quy tắc tiền kiểm + lý do)</t>
        </is>
      </c>
      <c r="F194" s="43" t="inlineStr">
        <is>
          <t>ReqSet, hộ chiếu</t>
        </is>
      </c>
      <c r="G194" s="43" t="inlineStr">
        <is>
          <t>ArchDecision</t>
        </is>
      </c>
      <c r="H194" s="43" t="inlineStr">
        <is>
          <t>T1*</t>
        </is>
      </c>
      <c r="I194" s="43" t="n"/>
    </row>
    <row r="195">
      <c r="A195" s="42" t="inlineStr">
        <is>
          <t>UC-I02</t>
        </is>
      </c>
      <c r="B195" s="42" t="inlineStr">
        <is>
          <t>Thiết kế kiến trúc firmware, HwMap, ngân sách, ADR</t>
        </is>
      </c>
      <c r="C195" s="42" t="n">
        <v>2</v>
      </c>
      <c r="D195" s="42" t="inlineStr">
        <is>
          <t>T</t>
        </is>
      </c>
      <c r="E195" s="42" t="inlineStr">
        <is>
          <t>arch.decompose → module theo lớp; mỗi FR có module</t>
        </is>
      </c>
      <c r="F195" s="42" t="inlineStr">
        <is>
          <t>ReqSet</t>
        </is>
      </c>
      <c r="G195" s="42" t="inlineStr">
        <is>
          <t>ModuleGraph</t>
        </is>
      </c>
      <c r="H195" s="42" t="inlineStr">
        <is>
          <t>arch.decompose</t>
        </is>
      </c>
      <c r="I195" s="42" t="n"/>
    </row>
    <row r="196">
      <c r="A196" s="43" t="inlineStr">
        <is>
          <t>UC-I02</t>
        </is>
      </c>
      <c r="B196" s="43" t="inlineStr">
        <is>
          <t>Thiết kế kiến trúc firmware, HwMap, ngân sách, ADR</t>
        </is>
      </c>
      <c r="C196" s="43" t="n">
        <v>3</v>
      </c>
      <c r="D196" s="43" t="inlineStr">
        <is>
          <t>K</t>
        </is>
      </c>
      <c r="E196" s="43" t="inlineStr">
        <is>
          <t>arch.map_hw + board.check_pins; xung đột → board.propose_fix</t>
        </is>
      </c>
      <c r="F196" s="43" t="inlineStr">
        <is>
          <t>ModuleGraph, hộ chiếu</t>
        </is>
      </c>
      <c r="G196" s="43" t="inlineStr">
        <is>
          <t>HwMap</t>
        </is>
      </c>
      <c r="H196" s="43" t="inlineStr">
        <is>
          <t>arch.map_hw</t>
        </is>
      </c>
      <c r="I196" s="43" t="n"/>
    </row>
    <row r="197">
      <c r="A197" s="42" t="inlineStr">
        <is>
          <t>UC-I02</t>
        </is>
      </c>
      <c r="B197" s="42" t="inlineStr">
        <is>
          <t>Thiết kế kiến trúc firmware, HwMap, ngân sách, ADR</t>
        </is>
      </c>
      <c r="C197" s="42" t="n">
        <v>4</v>
      </c>
      <c r="D197" s="42" t="inlineStr">
        <is>
          <t>T</t>
        </is>
      </c>
      <c r="E197" s="42" t="inlineStr">
        <is>
          <t>arch.memory_budget + arch.timing_budget (RMS)</t>
        </is>
      </c>
      <c r="F197" s="42" t="inlineStr">
        <is>
          <t>ModuleGraph</t>
        </is>
      </c>
      <c r="G197" s="42" t="inlineStr">
        <is>
          <t>budgets</t>
        </is>
      </c>
      <c r="H197" s="42" t="inlineStr">
        <is>
          <t>arch.memory_budget</t>
        </is>
      </c>
      <c r="I197" s="42" t="n"/>
    </row>
    <row r="198">
      <c r="A198" s="43" t="inlineStr">
        <is>
          <t>UC-I02</t>
        </is>
      </c>
      <c r="B198" s="43" t="inlineStr">
        <is>
          <t>Thiết kế kiến trúc firmware, HwMap, ngân sách, ADR</t>
        </is>
      </c>
      <c r="C198" s="43" t="n">
        <v>5</v>
      </c>
      <c r="D198" s="43" t="inlineStr">
        <is>
          <t>T</t>
        </is>
      </c>
      <c r="E198" s="43" t="inlineStr">
        <is>
          <t>arch.interface_spec + arch.state_machine cho module có FSM</t>
        </is>
      </c>
      <c r="F198" s="43" t="inlineStr">
        <is>
          <t>ModuleGraph</t>
        </is>
      </c>
      <c r="G198" s="43" t="inlineStr">
        <is>
          <t>interfaces, FSM</t>
        </is>
      </c>
      <c r="H198" s="43" t="inlineStr"/>
      <c r="I198" s="43" t="n"/>
    </row>
    <row r="199">
      <c r="A199" s="42" t="inlineStr">
        <is>
          <t>UC-I02</t>
        </is>
      </c>
      <c r="B199" s="42" t="inlineStr">
        <is>
          <t>Thiết kế kiến trúc firmware, HwMap, ngân sách, ADR</t>
        </is>
      </c>
      <c r="C199" s="42" t="n">
        <v>6</v>
      </c>
      <c r="D199" s="42" t="inlineStr">
        <is>
          <t>T</t>
        </is>
      </c>
      <c r="E199" s="42" t="inlineStr">
        <is>
          <t>arch.adr ghi quyết định có trích dẫn; arch.review theo checklist</t>
        </is>
      </c>
      <c r="F199" s="42" t="inlineStr">
        <is>
          <t>decision</t>
        </is>
      </c>
      <c r="G199" s="42" t="inlineStr">
        <is>
          <t>ADR, findings</t>
        </is>
      </c>
      <c r="H199" s="42" t="inlineStr">
        <is>
          <t>arch.adr</t>
        </is>
      </c>
      <c r="I199" s="42" t="n"/>
    </row>
    <row r="200">
      <c r="A200" s="49" t="inlineStr">
        <is>
          <t>UC-I02</t>
        </is>
      </c>
      <c r="B200" s="49" t="inlineStr">
        <is>
          <t>Thiết kế kiến trúc firmware, HwMap, ngân sách, ADR</t>
        </is>
      </c>
      <c r="C200" s="49" t="n">
        <v>7</v>
      </c>
      <c r="D200" s="49" t="inlineStr">
        <is>
          <t>N</t>
        </is>
      </c>
      <c r="E200" s="49" t="inlineStr">
        <is>
          <t>Duyệt nếu đổi kiến trúc dự án đã có (G1) hoặc chọn phương án cuối khi arch.compare</t>
        </is>
      </c>
      <c r="F200" s="49" t="inlineStr">
        <is>
          <t>ADR</t>
        </is>
      </c>
      <c r="G200" s="49" t="inlineStr">
        <is>
          <t>approved</t>
        </is>
      </c>
      <c r="H200" s="49" t="inlineStr">
        <is>
          <t>G1 tự động ≥ A2</t>
        </is>
      </c>
      <c r="I200" s="49" t="n"/>
    </row>
    <row r="201">
      <c r="A201" s="42" t="inlineStr">
        <is>
          <t>UC-I02</t>
        </is>
      </c>
      <c r="B201" s="42" t="inlineStr">
        <is>
          <t>Thiết kế kiến trúc firmware, HwMap, ngân sách, ADR</t>
        </is>
      </c>
      <c r="C201" s="42" t="n">
        <v>8</v>
      </c>
      <c r="D201" s="42" t="inlineStr">
        <is>
          <t>T</t>
        </is>
      </c>
      <c r="E201" s="42" t="inlineStr">
        <is>
          <t>arch.to_plan → Feature; diagram.architecture/pinmap; chat.report_back</t>
        </is>
      </c>
      <c r="F201" s="42" t="inlineStr">
        <is>
          <t>ModuleGraph</t>
        </is>
      </c>
      <c r="G201" s="42" t="inlineStr">
        <is>
          <t>FEATURES.json</t>
        </is>
      </c>
      <c r="H201" s="42" t="inlineStr">
        <is>
          <t>arch.to_plan</t>
        </is>
      </c>
      <c r="I201" s="42" t="n"/>
    </row>
    <row r="202">
      <c r="A202" s="49" t="inlineStr">
        <is>
          <t>UC-I03</t>
        </is>
      </c>
      <c r="B202" s="49" t="inlineStr">
        <is>
          <t>Vẽ lược đồ từ mô hình và đồng bộ với mã</t>
        </is>
      </c>
      <c r="C202" s="49" t="n">
        <v>1</v>
      </c>
      <c r="D202" s="49" t="inlineStr">
        <is>
          <t>N</t>
        </is>
      </c>
      <c r="E202" s="49" t="inlineStr">
        <is>
          <t>Ra lệnh 'vẽ sơ đồ trạng thái module motor' (hoặc tự chạy trong P7)</t>
        </is>
      </c>
      <c r="F202" s="49" t="inlineStr">
        <is>
          <t>câu lệnh</t>
        </is>
      </c>
      <c r="G202" s="49" t="inlineStr"/>
      <c r="H202" s="49" t="inlineStr">
        <is>
          <t>Lệnh</t>
        </is>
      </c>
      <c r="I202" s="49" t="n"/>
    </row>
    <row r="203">
      <c r="A203" s="42" t="inlineStr">
        <is>
          <t>UC-I03</t>
        </is>
      </c>
      <c r="B203" s="42" t="inlineStr">
        <is>
          <t>Vẽ lược đồ từ mô hình và đồng bộ với mã</t>
        </is>
      </c>
      <c r="C203" s="42" t="n">
        <v>2</v>
      </c>
      <c r="D203" s="42" t="inlineStr">
        <is>
          <t>T</t>
        </is>
      </c>
      <c r="E203" s="42" t="inlineStr">
        <is>
          <t>Chọn generator theo kind; sinh mã lược đồ với node_ids = định danh mô hình</t>
        </is>
      </c>
      <c r="F203" s="42" t="inlineStr">
        <is>
          <t>mô hình</t>
        </is>
      </c>
      <c r="G203" s="42" t="inlineStr">
        <is>
          <t>Diagram.src</t>
        </is>
      </c>
      <c r="H203" s="42" t="inlineStr">
        <is>
          <t>diagram.state</t>
        </is>
      </c>
      <c r="I203" s="42" t="n"/>
    </row>
    <row r="204">
      <c r="A204" s="43" t="inlineStr">
        <is>
          <t>UC-I03</t>
        </is>
      </c>
      <c r="B204" s="43" t="inlineStr">
        <is>
          <t>Vẽ lược đồ từ mô hình và đồng bộ với mã</t>
        </is>
      </c>
      <c r="C204" s="43" t="n">
        <v>3</v>
      </c>
      <c r="D204" s="43" t="inlineStr">
        <is>
          <t>K</t>
        </is>
      </c>
      <c r="E204" s="43" t="inlineStr">
        <is>
          <t>diagram.lint (cú pháp, mồ côi, tên khớp mô hình)</t>
        </is>
      </c>
      <c r="F204" s="43" t="inlineStr">
        <is>
          <t>src</t>
        </is>
      </c>
      <c r="G204" s="43" t="inlineStr">
        <is>
          <t>issues</t>
        </is>
      </c>
      <c r="H204" s="43" t="inlineStr">
        <is>
          <t>diagram.lint</t>
        </is>
      </c>
      <c r="I204" s="43" t="n"/>
    </row>
    <row r="205">
      <c r="A205" s="42" t="inlineStr">
        <is>
          <t>UC-I03</t>
        </is>
      </c>
      <c r="B205" s="42" t="inlineStr">
        <is>
          <t>Vẽ lược đồ từ mô hình và đồng bộ với mã</t>
        </is>
      </c>
      <c r="C205" s="42" t="n">
        <v>4</v>
      </c>
      <c r="D205" s="42" t="inlineStr">
        <is>
          <t>H</t>
        </is>
      </c>
      <c r="E205" s="42" t="inlineStr">
        <is>
          <t>diagram.render trong sandbox (mmdc/plantuml/dot/d2/wavedrom) hoặc GEditor render</t>
        </is>
      </c>
      <c r="F205" s="42" t="inlineStr">
        <is>
          <t>src</t>
        </is>
      </c>
      <c r="G205" s="42" t="inlineStr">
        <is>
          <t>svg</t>
        </is>
      </c>
      <c r="H205" s="42" t="inlineStr">
        <is>
          <t>diagram.render</t>
        </is>
      </c>
      <c r="I205" s="42" t="n"/>
    </row>
    <row r="206">
      <c r="A206" s="49" t="inlineStr">
        <is>
          <t>UC-I03</t>
        </is>
      </c>
      <c r="B206" s="49" t="inlineStr">
        <is>
          <t>Vẽ lược đồ từ mô hình và đồng bộ với mã</t>
        </is>
      </c>
      <c r="C206" s="49" t="n">
        <v>5</v>
      </c>
      <c r="D206" s="49" t="inlineStr">
        <is>
          <t>N</t>
        </is>
      </c>
      <c r="E206" s="49" t="inlineStr">
        <is>
          <t>Xem/sửa mã lược đồ trong DiagramView; sửa → lint/render lại</t>
        </is>
      </c>
      <c r="F206" s="49" t="inlineStr">
        <is>
          <t>src'</t>
        </is>
      </c>
      <c r="G206" s="49" t="inlineStr"/>
      <c r="H206" s="49" t="inlineStr"/>
      <c r="I206" s="49" t="n"/>
    </row>
    <row r="207">
      <c r="A207" s="42" t="inlineStr">
        <is>
          <t>UC-I03</t>
        </is>
      </c>
      <c r="B207" s="42" t="inlineStr">
        <is>
          <t>Vẽ lược đồ từ mô hình và đồng bộ với mã</t>
        </is>
      </c>
      <c r="C207" s="42" t="n">
        <v>6</v>
      </c>
      <c r="D207" s="42" t="inlineStr">
        <is>
          <t>T</t>
        </is>
      </c>
      <c r="E207" s="42" t="inlineStr">
        <is>
          <t>diagram.sync check ↔ mã/kiến trúc; lệch nhỏ tự cập nhật, lệch lớn hỏi</t>
        </is>
      </c>
      <c r="F207" s="42" t="inlineStr">
        <is>
          <t>src, code</t>
        </is>
      </c>
      <c r="G207" s="42" t="inlineStr">
        <is>
          <t>diff</t>
        </is>
      </c>
      <c r="H207" s="42" t="inlineStr">
        <is>
          <t>T1*</t>
        </is>
      </c>
      <c r="I207" s="42" t="n"/>
    </row>
    <row r="208">
      <c r="A208" s="49" t="inlineStr">
        <is>
          <t>UC-I04</t>
        </is>
      </c>
      <c r="B208" s="49" t="inlineStr">
        <is>
          <t>Sinh tài liệu chuẩn EAA/EIDE và kiểm style</t>
        </is>
      </c>
      <c r="C208" s="49" t="n">
        <v>1</v>
      </c>
      <c r="D208" s="49" t="inlineStr">
        <is>
          <t>N</t>
        </is>
      </c>
      <c r="E208" s="49" t="inlineStr">
        <is>
          <t>Ra lệnh 'viết SRS cho dự án'</t>
        </is>
      </c>
      <c r="F208" s="49" t="inlineStr">
        <is>
          <t>câu lệnh</t>
        </is>
      </c>
      <c r="G208" s="49" t="inlineStr"/>
      <c r="H208" s="49" t="inlineStr">
        <is>
          <t>Lệnh</t>
        </is>
      </c>
      <c r="I208" s="49" t="n"/>
    </row>
    <row r="209">
      <c r="A209" s="42" t="inlineStr">
        <is>
          <t>UC-I04</t>
        </is>
      </c>
      <c r="B209" s="42" t="inlineStr">
        <is>
          <t>Sinh tài liệu chuẩn EAA/EIDE và kiểm style</t>
        </is>
      </c>
      <c r="C209" s="42" t="n">
        <v>2</v>
      </c>
      <c r="D209" s="42" t="inlineStr">
        <is>
          <t>T</t>
        </is>
      </c>
      <c r="E209" s="42" t="inlineStr">
        <is>
          <t>doc.generate: mục lục chuẩn theo loại; mỗi mục lấy tri thức nguồn; writer viết có citations</t>
        </is>
      </c>
      <c r="F209" s="42" t="inlineStr">
        <is>
          <t>type, scope</t>
        </is>
      </c>
      <c r="G209" s="42" t="inlineStr">
        <is>
          <t>sections</t>
        </is>
      </c>
      <c r="H209" s="42" t="inlineStr">
        <is>
          <t>doc.generate</t>
        </is>
      </c>
      <c r="I209" s="42" t="n"/>
    </row>
    <row r="210">
      <c r="A210" s="43" t="inlineStr">
        <is>
          <t>UC-I04</t>
        </is>
      </c>
      <c r="B210" s="43" t="inlineStr">
        <is>
          <t>Sinh tài liệu chuẩn EAA/EIDE và kiểm style</t>
        </is>
      </c>
      <c r="C210" s="43" t="n">
        <v>3</v>
      </c>
      <c r="D210" s="43" t="inlineStr">
        <is>
          <t>T</t>
        </is>
      </c>
      <c r="E210" s="43" t="inlineStr">
        <is>
          <t>doc.embed_diagram cho hình chuẩn (kiến trúc, chân, trạng thái)</t>
        </is>
      </c>
      <c r="F210" s="43" t="inlineStr">
        <is>
          <t>diagram ids</t>
        </is>
      </c>
      <c r="G210" s="43" t="inlineStr">
        <is>
          <t>figures</t>
        </is>
      </c>
      <c r="H210" s="43" t="inlineStr">
        <is>
          <t>doc.embed_diagram</t>
        </is>
      </c>
      <c r="I210" s="43" t="n"/>
    </row>
    <row r="211">
      <c r="A211" s="42" t="inlineStr">
        <is>
          <t>UC-I04</t>
        </is>
      </c>
      <c r="B211" s="42" t="inlineStr">
        <is>
          <t>Sinh tài liệu chuẩn EAA/EIDE và kiểm style</t>
        </is>
      </c>
      <c r="C211" s="42" t="n">
        <v>4</v>
      </c>
      <c r="D211" s="42" t="inlineStr">
        <is>
          <t>K</t>
        </is>
      </c>
      <c r="E211" s="42" t="inlineStr">
        <is>
          <t>doc.style_check: tiếng Việt, thuật ngữ, khẳng định có nguồn, định dạng</t>
        </is>
      </c>
      <c r="F211" s="42" t="inlineStr">
        <is>
          <t>doc</t>
        </is>
      </c>
      <c r="G211" s="42" t="inlineStr">
        <is>
          <t>issues</t>
        </is>
      </c>
      <c r="H211" s="42" t="inlineStr">
        <is>
          <t>doc.style_check</t>
        </is>
      </c>
      <c r="I211" s="42" t="n"/>
    </row>
    <row r="212">
      <c r="A212" s="43" t="inlineStr">
        <is>
          <t>UC-I04</t>
        </is>
      </c>
      <c r="B212" s="43" t="inlineStr">
        <is>
          <t>Sinh tài liệu chuẩn EAA/EIDE và kiểm style</t>
        </is>
      </c>
      <c r="C212" s="43" t="n">
        <v>5</v>
      </c>
      <c r="D212" s="43" t="inlineStr">
        <is>
          <t>T</t>
        </is>
      </c>
      <c r="E212" s="43" t="inlineStr">
        <is>
          <t>Sửa mục có issue (≤ 2 vòng); dựng docx; lưu DocArtifact; báo cáo</t>
        </is>
      </c>
      <c r="F212" s="43" t="inlineStr">
        <is>
          <t>doc</t>
        </is>
      </c>
      <c r="G212" s="43" t="inlineStr">
        <is>
          <t>docx</t>
        </is>
      </c>
      <c r="H212" s="43" t="inlineStr"/>
      <c r="I212" s="43" t="n"/>
    </row>
    <row r="213">
      <c r="A213" s="49" t="inlineStr">
        <is>
          <t>UC-I05</t>
        </is>
      </c>
      <c r="B213" s="49" t="inlineStr">
        <is>
          <t>Đổi yêu cầu → tác động → cập nhật tài liệu/lược đồ</t>
        </is>
      </c>
      <c r="C213" s="49" t="n">
        <v>1</v>
      </c>
      <c r="D213" s="49" t="inlineStr">
        <is>
          <t>N</t>
        </is>
      </c>
      <c r="E213" s="49" t="inlineStr">
        <is>
          <t>Sửa yêu cầu (hoặc fact đổi qua UC-B13)</t>
        </is>
      </c>
      <c r="F213" s="49" t="inlineStr">
        <is>
          <t>delta</t>
        </is>
      </c>
      <c r="G213" s="49" t="inlineStr"/>
      <c r="H213" s="49" t="inlineStr">
        <is>
          <t>Lệnh</t>
        </is>
      </c>
      <c r="I213" s="49" t="n"/>
    </row>
    <row r="214">
      <c r="A214" s="43" t="inlineStr">
        <is>
          <t>UC-I05</t>
        </is>
      </c>
      <c r="B214" s="43" t="inlineStr">
        <is>
          <t>Đổi yêu cầu → tác động → cập nhật tài liệu/lược đồ</t>
        </is>
      </c>
      <c r="C214" s="43" t="n">
        <v>2</v>
      </c>
      <c r="D214" s="43" t="inlineStr">
        <is>
          <t>K</t>
        </is>
      </c>
      <c r="E214" s="43" t="inlineStr">
        <is>
          <t>req.change_impact + kg.impact → danh sách hiện vật</t>
        </is>
      </c>
      <c r="F214" s="43" t="inlineStr">
        <is>
          <t>delta</t>
        </is>
      </c>
      <c r="G214" s="43" t="inlineStr">
        <is>
          <t>ImpactReport</t>
        </is>
      </c>
      <c r="H214" s="43" t="inlineStr">
        <is>
          <t>req.change_impact</t>
        </is>
      </c>
      <c r="I214" s="43" t="n"/>
    </row>
    <row r="215">
      <c r="A215" s="42" t="inlineStr">
        <is>
          <t>UC-I05</t>
        </is>
      </c>
      <c r="B215" s="42" t="inlineStr">
        <is>
          <t>Đổi yêu cầu → tác động → cập nhật tài liệu/lược đồ</t>
        </is>
      </c>
      <c r="C215" s="42" t="n">
        <v>3</v>
      </c>
      <c r="D215" s="42" t="inlineStr">
        <is>
          <t>T</t>
        </is>
      </c>
      <c r="E215" s="42" t="inlineStr">
        <is>
          <t>doc.sync/diagram.sync: mục nhỏ tự cập nhật, lớn hỏi</t>
        </is>
      </c>
      <c r="F215" s="42" t="inlineStr">
        <is>
          <t>stale[]</t>
        </is>
      </c>
      <c r="G215" s="42" t="inlineStr">
        <is>
          <t>updated[]</t>
        </is>
      </c>
      <c r="H215" s="42" t="inlineStr">
        <is>
          <t>T1*</t>
        </is>
      </c>
      <c r="I215" s="42" t="n"/>
    </row>
    <row r="216">
      <c r="A216" s="43" t="inlineStr">
        <is>
          <t>UC-I05</t>
        </is>
      </c>
      <c r="B216" s="43" t="inlineStr">
        <is>
          <t>Đổi yêu cầu → tác động → cập nhật tài liệu/lược đồ</t>
        </is>
      </c>
      <c r="C216" s="43" t="n">
        <v>4</v>
      </c>
      <c r="D216" s="43" t="inlineStr">
        <is>
          <t>K</t>
        </is>
      </c>
      <c r="E216" s="43" t="inlineStr">
        <is>
          <t>Feature liên quan → failing; view.impact_map; báo cáo</t>
        </is>
      </c>
      <c r="F216" s="43" t="inlineStr">
        <is>
          <t>impact</t>
        </is>
      </c>
      <c r="G216" s="43" t="inlineStr"/>
      <c r="H216" s="43" t="inlineStr"/>
      <c r="I216" s="43" t="n"/>
    </row>
    <row r="217">
      <c r="A217" s="49" t="inlineStr">
        <is>
          <t>UC-J01</t>
        </is>
      </c>
      <c r="B217" s="49" t="inlineStr">
        <is>
          <t>Xem bản đồ tri thức, nguồn gốc, độ phủ, tác động</t>
        </is>
      </c>
      <c r="C217" s="49" t="n">
        <v>1</v>
      </c>
      <c r="D217" s="49" t="inlineStr">
        <is>
          <t>N</t>
        </is>
      </c>
      <c r="E217" s="49" t="inlineStr">
        <is>
          <t>Mở bản đồ / ra lệnh</t>
        </is>
      </c>
      <c r="F217" s="49" t="inlineStr"/>
      <c r="G217" s="49" t="inlineStr"/>
      <c r="H217" s="49" t="inlineStr">
        <is>
          <t>Lệnh</t>
        </is>
      </c>
      <c r="I217" s="49" t="n"/>
    </row>
    <row r="218">
      <c r="A218" s="43" t="inlineStr">
        <is>
          <t>UC-J01</t>
        </is>
      </c>
      <c r="B218" s="43" t="inlineStr">
        <is>
          <t>Xem bản đồ tri thức, nguồn gốc, độ phủ, tác động</t>
        </is>
      </c>
      <c r="C218" s="43" t="n">
        <v>2</v>
      </c>
      <c r="D218" s="43" t="inlineStr">
        <is>
          <t>K</t>
        </is>
      </c>
      <c r="E218" s="43" t="inlineStr">
        <is>
          <t>view.kg_map: dựng, tô màu tier/status/lớp, gom cụm &gt; 5.000 nút</t>
        </is>
      </c>
      <c r="F218" s="43" t="inlineStr">
        <is>
          <t>project</t>
        </is>
      </c>
      <c r="G218" s="43" t="inlineStr">
        <is>
          <t>GraphView</t>
        </is>
      </c>
      <c r="H218" s="43" t="inlineStr">
        <is>
          <t>view.kg_map</t>
        </is>
      </c>
      <c r="I218" s="43" t="n"/>
    </row>
    <row r="219">
      <c r="A219" s="49" t="inlineStr">
        <is>
          <t>UC-J01</t>
        </is>
      </c>
      <c r="B219" s="49" t="inlineStr">
        <is>
          <t>Xem bản đồ tri thức, nguồn gốc, độ phủ, tác động</t>
        </is>
      </c>
      <c r="C219" s="49" t="n">
        <v>3</v>
      </c>
      <c r="D219" s="49" t="inlineStr">
        <is>
          <t>N</t>
        </is>
      </c>
      <c r="E219" s="49" t="inlineStr">
        <is>
          <t>Nhấp nút → view.kg_focus; nhấp fact → view.provenance mở PDF trang/bbox</t>
        </is>
      </c>
      <c r="F219" s="49" t="inlineStr">
        <is>
          <t>node</t>
        </is>
      </c>
      <c r="G219" s="49" t="inlineStr"/>
      <c r="H219" s="49" t="inlineStr"/>
      <c r="I219" s="49" t="n"/>
    </row>
    <row r="220">
      <c r="A220" s="43" t="inlineStr">
        <is>
          <t>UC-J01</t>
        </is>
      </c>
      <c r="B220" s="43" t="inlineStr">
        <is>
          <t>Xem bản đồ tri thức, nguồn gốc, độ phủ, tác động</t>
        </is>
      </c>
      <c r="C220" s="43" t="n">
        <v>4</v>
      </c>
      <c r="D220" s="43" t="inlineStr">
        <is>
          <t>K</t>
        </is>
      </c>
      <c r="E220" s="43" t="inlineStr">
        <is>
          <t>view.coverage_map / view.impact_map theo yêu cầu</t>
        </is>
      </c>
      <c r="F220" s="43" t="inlineStr">
        <is>
          <t>passport|delta</t>
        </is>
      </c>
      <c r="G220" s="43" t="inlineStr">
        <is>
          <t>heatmap|graph</t>
        </is>
      </c>
      <c r="H220" s="43" t="inlineStr"/>
      <c r="I220" s="43" t="n"/>
    </row>
    <row r="221">
      <c r="A221" s="49" t="inlineStr">
        <is>
          <t>UC-J01</t>
        </is>
      </c>
      <c r="B221" s="49" t="inlineStr">
        <is>
          <t>Xem bản đồ tri thức, nguồn gốc, độ phủ, tác động</t>
        </is>
      </c>
      <c r="C221" s="49" t="n">
        <v>5</v>
      </c>
      <c r="D221" s="49" t="inlineStr">
        <is>
          <t>N</t>
        </is>
      </c>
      <c r="E221" s="49" t="inlineStr">
        <is>
          <t>Xuất Mermaid/DOT để chèn tài liệu</t>
        </is>
      </c>
      <c r="F221" s="49" t="inlineStr">
        <is>
          <t>view</t>
        </is>
      </c>
      <c r="G221" s="49" t="inlineStr">
        <is>
          <t>file</t>
        </is>
      </c>
      <c r="H221" s="49" t="inlineStr">
        <is>
          <t>view.export_map</t>
        </is>
      </c>
      <c r="I221" s="49" t="n"/>
    </row>
    <row r="222">
      <c r="A222" s="49" t="inlineStr">
        <is>
          <t>UC-J02</t>
        </is>
      </c>
      <c r="B222" s="49" t="inlineStr">
        <is>
          <t>Hỏi–đáp RAG có trích dẫn và trace</t>
        </is>
      </c>
      <c r="C222" s="49" t="n">
        <v>1</v>
      </c>
      <c r="D222" s="49" t="inlineStr">
        <is>
          <t>N</t>
        </is>
      </c>
      <c r="E222" s="49" t="inlineStr">
        <is>
          <t>Hỏi 'địa chỉ I2C BME280 và điều kiện chọn?'</t>
        </is>
      </c>
      <c r="F222" s="49" t="inlineStr">
        <is>
          <t>question</t>
        </is>
      </c>
      <c r="G222" s="49" t="inlineStr"/>
      <c r="H222" s="49" t="inlineStr">
        <is>
          <t>Lệnh</t>
        </is>
      </c>
      <c r="I222" s="49" t="n"/>
    </row>
    <row r="223">
      <c r="A223" s="42" t="inlineStr">
        <is>
          <t>UC-J02</t>
        </is>
      </c>
      <c r="B223" s="42" t="inlineStr">
        <is>
          <t>Hỏi–đáp RAG có trích dẫn và trace</t>
        </is>
      </c>
      <c r="C223" s="42" t="n">
        <v>2</v>
      </c>
      <c r="D223" s="42" t="inlineStr">
        <is>
          <t>K</t>
        </is>
      </c>
      <c r="E223" s="42" t="inlineStr">
        <is>
          <t>RagIndex.retrieve lai (FTS5 + vector + lan tỏa KG)</t>
        </is>
      </c>
      <c r="F223" s="42" t="inlineStr">
        <is>
          <t>question</t>
        </is>
      </c>
      <c r="G223" s="42" t="inlineStr">
        <is>
          <t>hits[]</t>
        </is>
      </c>
      <c r="H223" s="42" t="inlineStr">
        <is>
          <t>memory.retrieve</t>
        </is>
      </c>
      <c r="I223" s="42" t="n"/>
    </row>
    <row r="224">
      <c r="A224" s="43" t="inlineStr">
        <is>
          <t>UC-J02</t>
        </is>
      </c>
      <c r="B224" s="43" t="inlineStr">
        <is>
          <t>Hỏi–đáp RAG có trích dẫn và trace</t>
        </is>
      </c>
      <c r="C224" s="43" t="n">
        <v>3</v>
      </c>
      <c r="D224" s="43" t="inlineStr">
        <is>
          <t>T</t>
        </is>
      </c>
      <c r="E224" s="43" t="inlineStr">
        <is>
          <t>writer trả lời chỉ từ chunk, mỗi câu [n]; không đủ điểm → chat.decline</t>
        </is>
      </c>
      <c r="F224" s="43" t="inlineStr">
        <is>
          <t>hits</t>
        </is>
      </c>
      <c r="G224" s="43" t="inlineStr">
        <is>
          <t>answer</t>
        </is>
      </c>
      <c r="H224" s="43" t="inlineStr">
        <is>
          <t>view.rag_ask</t>
        </is>
      </c>
      <c r="I224" s="43" t="n"/>
    </row>
    <row r="225">
      <c r="A225" s="49" t="inlineStr">
        <is>
          <t>UC-J02</t>
        </is>
      </c>
      <c r="B225" s="49" t="inlineStr">
        <is>
          <t>Hỏi–đáp RAG có trích dẫn và trace</t>
        </is>
      </c>
      <c r="C225" s="49" t="n">
        <v>4</v>
      </c>
      <c r="D225" s="49" t="inlineStr">
        <is>
          <t>N</t>
        </is>
      </c>
      <c r="E225" s="49" t="inlineStr">
        <is>
          <t>Nhấp [n] → mở nguồn; 'Vì sao' → view.rag_trace; 'So sánh nguồn' → view.rag_compare</t>
        </is>
      </c>
      <c r="F225" s="49" t="inlineStr"/>
      <c r="G225" s="49" t="inlineStr"/>
      <c r="H225" s="49" t="inlineStr"/>
      <c r="I225" s="49" t="n"/>
    </row>
    <row r="226">
      <c r="A226" s="43" t="inlineStr">
        <is>
          <t>UC-J03</t>
        </is>
      </c>
      <c r="B226" s="43" t="inlineStr">
        <is>
          <t>Dò board/probe/ID chip và tự cấu hình target</t>
        </is>
      </c>
      <c r="C226" s="43" t="n">
        <v>1</v>
      </c>
      <c r="D226" s="43" t="inlineStr">
        <is>
          <t>H</t>
        </is>
      </c>
      <c r="E226" s="43" t="inlineStr">
        <is>
          <t>event.discover.changed khi cắm/rút (hotplug)</t>
        </is>
      </c>
      <c r="F226" s="43" t="inlineStr">
        <is>
          <t>USB</t>
        </is>
      </c>
      <c r="G226" s="43" t="inlineStr"/>
      <c r="H226" s="43" t="inlineStr"/>
      <c r="I226" s="43" t="n"/>
    </row>
    <row r="227">
      <c r="A227" s="42" t="inlineStr">
        <is>
          <t>UC-J03</t>
        </is>
      </c>
      <c r="B227" s="42" t="inlineStr">
        <is>
          <t>Dò board/probe/ID chip và tự cấu hình target</t>
        </is>
      </c>
      <c r="C227" s="42" t="n">
        <v>2</v>
      </c>
      <c r="D227" s="42" t="inlineStr">
        <is>
          <t>K</t>
        </is>
      </c>
      <c r="E227" s="42" t="inlineStr">
        <is>
          <t>discover.ports + discover.probe (VID/PID, probe-rs list)</t>
        </is>
      </c>
      <c r="F227" s="42" t="inlineStr"/>
      <c r="G227" s="42" t="inlineStr">
        <is>
          <t>ports, probes</t>
        </is>
      </c>
      <c r="H227" s="42" t="inlineStr">
        <is>
          <t>discover.ports</t>
        </is>
      </c>
      <c r="I227" s="42" t="n"/>
    </row>
    <row r="228">
      <c r="A228" s="43" t="inlineStr">
        <is>
          <t>UC-J03</t>
        </is>
      </c>
      <c r="B228" s="43" t="inlineStr">
        <is>
          <t>Dò board/probe/ID chip và tự cấu hình target</t>
        </is>
      </c>
      <c r="C228" s="43" t="n">
        <v>3</v>
      </c>
      <c r="D228" s="43" t="inlineStr">
        <is>
          <t>H</t>
        </is>
      </c>
      <c r="E228" s="43" t="inlineStr">
        <is>
          <t>discover.chip_id qua probe theo họ; đối chiếu hộ chiếu</t>
        </is>
      </c>
      <c r="F228" s="43" t="inlineStr">
        <is>
          <t>probe</t>
        </is>
      </c>
      <c r="G228" s="43" t="inlineStr">
        <is>
          <t>identity</t>
        </is>
      </c>
      <c r="H228" s="43" t="inlineStr">
        <is>
          <t>discover.chip_id</t>
        </is>
      </c>
      <c r="I228" s="43" t="n"/>
    </row>
    <row r="229">
      <c r="A229" s="42" t="inlineStr">
        <is>
          <t>UC-J03</t>
        </is>
      </c>
      <c r="B229" s="42" t="inlineStr">
        <is>
          <t>Dò board/probe/ID chip và tự cấu hình target</t>
        </is>
      </c>
      <c r="C229" s="42" t="n">
        <v>4</v>
      </c>
      <c r="D229" s="42" t="inlineStr">
        <is>
          <t>K</t>
        </is>
      </c>
      <c r="E229" s="42" t="inlineStr">
        <is>
          <t>discover.firmware_probe (banner) + discover.power (VDD)</t>
        </is>
      </c>
      <c r="F229" s="42" t="inlineStr">
        <is>
          <t>port</t>
        </is>
      </c>
      <c r="G229" s="42" t="inlineStr">
        <is>
          <t>fw, power</t>
        </is>
      </c>
      <c r="H229" s="42" t="inlineStr"/>
      <c r="I229" s="42" t="n"/>
    </row>
    <row r="230">
      <c r="A230" s="43" t="inlineStr">
        <is>
          <t>UC-J03</t>
        </is>
      </c>
      <c r="B230" s="43" t="inlineStr">
        <is>
          <t>Dò board/probe/ID chip và tự cấu hình target</t>
        </is>
      </c>
      <c r="C230" s="43" t="n">
        <v>5</v>
      </c>
      <c r="D230" s="43" t="inlineStr">
        <is>
          <t>K</t>
        </is>
      </c>
      <c r="E230" s="43" t="inlineStr">
        <is>
          <t>discover.auto_setup ghi target.yaml (sao lưu cũ); board lab từ autonomy.yaml</t>
        </is>
      </c>
      <c r="F230" s="43" t="inlineStr">
        <is>
          <t>discovery</t>
        </is>
      </c>
      <c r="G230" s="43" t="inlineStr">
        <is>
          <t>target.yaml</t>
        </is>
      </c>
      <c r="H230" s="43" t="inlineStr">
        <is>
          <t>discover.auto_setup</t>
        </is>
      </c>
      <c r="I230" s="43" t="n"/>
    </row>
    <row r="231">
      <c r="A231" s="42" t="inlineStr">
        <is>
          <t>UC-J03</t>
        </is>
      </c>
      <c r="B231" s="42" t="inlineStr">
        <is>
          <t>Dò board/probe/ID chip và tự cấu hình target</t>
        </is>
      </c>
      <c r="C231" s="42" t="n">
        <v>6</v>
      </c>
      <c r="D231" s="42" t="inlineStr">
        <is>
          <t>T</t>
        </is>
      </c>
      <c r="E231" s="42" t="inlineStr">
        <is>
          <t>Thông báo ngắn trong chat/thanh trạng thái</t>
        </is>
      </c>
      <c r="F231" s="42" t="inlineStr"/>
      <c r="G231" s="42" t="inlineStr"/>
      <c r="H231" s="42" t="inlineStr"/>
      <c r="I231" s="42" t="n"/>
    </row>
    <row r="232">
      <c r="A232" s="43" t="inlineStr">
        <is>
          <t>UC-J04</t>
        </is>
      </c>
      <c r="B232" s="43" t="inlineStr">
        <is>
          <t>Dò tốc độ kết nối tối ưu</t>
        </is>
      </c>
      <c r="C232" s="43" t="n">
        <v>1</v>
      </c>
      <c r="D232" s="43" t="inlineStr">
        <is>
          <t>T</t>
        </is>
      </c>
      <c r="E232" s="43" t="inlineStr">
        <is>
          <t>Chọn thang nấc theo kind; limit từ fact (swd_max_khz, uart_max_baud) hoặc mặc định ISA</t>
        </is>
      </c>
      <c r="F232" s="43" t="inlineStr">
        <is>
          <t>kind</t>
        </is>
      </c>
      <c r="G232" s="43" t="inlineStr">
        <is>
          <t>ladder, limit</t>
        </is>
      </c>
      <c r="H232" s="43" t="inlineStr">
        <is>
          <t>discover.link_speed</t>
        </is>
      </c>
      <c r="I232" s="43" t="n"/>
    </row>
    <row r="233">
      <c r="A233" s="42" t="inlineStr">
        <is>
          <t>UC-J04</t>
        </is>
      </c>
      <c r="B233" s="42" t="inlineStr">
        <is>
          <t>Dò tốc độ kết nối tối ưu</t>
        </is>
      </c>
      <c r="C233" s="42" t="n">
        <v>2</v>
      </c>
      <c r="D233" s="42" t="inlineStr">
        <is>
          <t>H</t>
        </is>
      </c>
      <c r="E233" s="42" t="inlineStr">
        <is>
          <t>Thử từng nấc 1.000 khung (echo/IDCODE/ID ngoại vi); đo lỗi</t>
        </is>
      </c>
      <c r="F233" s="42" t="inlineStr">
        <is>
          <t>nấc</t>
        </is>
      </c>
      <c r="G233" s="42" t="inlineStr">
        <is>
          <t>err</t>
        </is>
      </c>
      <c r="H233" s="42" t="inlineStr"/>
      <c r="I233" s="42" t="n"/>
    </row>
    <row r="234">
      <c r="A234" s="43" t="inlineStr">
        <is>
          <t>UC-J04</t>
        </is>
      </c>
      <c r="B234" s="43" t="inlineStr">
        <is>
          <t>Dò tốc độ kết nối tối ưu</t>
        </is>
      </c>
      <c r="C234" s="43" t="n">
        <v>3</v>
      </c>
      <c r="D234" s="43" t="inlineStr">
        <is>
          <t>T</t>
        </is>
      </c>
      <c r="E234" s="43" t="inlineStr">
        <is>
          <t>Chọn nấc cao nhất lỗi 0; nấc vượt limit → ASK</t>
        </is>
      </c>
      <c r="F234" s="43" t="inlineStr">
        <is>
          <t>tried</t>
        </is>
      </c>
      <c r="G234" s="43" t="inlineStr">
        <is>
          <t>chosen</t>
        </is>
      </c>
      <c r="H234" s="43" t="inlineStr">
        <is>
          <t>T1</t>
        </is>
      </c>
      <c r="I234" s="43" t="n"/>
    </row>
    <row r="235">
      <c r="A235" s="42" t="inlineStr">
        <is>
          <t>UC-J04</t>
        </is>
      </c>
      <c r="B235" s="42" t="inlineStr">
        <is>
          <t>Dò tốc độ kết nối tối ưu</t>
        </is>
      </c>
      <c r="C235" s="42" t="n">
        <v>4</v>
      </c>
      <c r="D235" s="42" t="inlineStr">
        <is>
          <t>K</t>
        </is>
      </c>
      <c r="E235" s="42" t="inlineStr">
        <is>
          <t>Ghi target.yaml; báo cáo</t>
        </is>
      </c>
      <c r="F235" s="42" t="inlineStr"/>
      <c r="G235" s="42" t="inlineStr"/>
      <c r="H235" s="42" t="inlineStr"/>
      <c r="I235" s="42" t="n"/>
    </row>
    <row r="236">
      <c r="A236" s="43" t="inlineStr">
        <is>
          <t>UC-J05</t>
        </is>
      </c>
      <c r="B236" s="43" t="inlineStr">
        <is>
          <t>Nhận diện board từ ID + quét bus + ảnh</t>
        </is>
      </c>
      <c r="C236" s="43" t="n">
        <v>1</v>
      </c>
      <c r="D236" s="43" t="inlineStr">
        <is>
          <t>K</t>
        </is>
      </c>
      <c r="E236" s="43" t="inlineStr">
        <is>
          <t>discover.bus_scan i2c/spi trên board lab (firmware kiểm định)</t>
        </is>
      </c>
      <c r="F236" s="43" t="inlineStr">
        <is>
          <t>bus</t>
        </is>
      </c>
      <c r="G236" s="43" t="inlineStr">
        <is>
          <t>devices</t>
        </is>
      </c>
      <c r="H236" s="43" t="inlineStr">
        <is>
          <t>discover.bus_scan</t>
        </is>
      </c>
      <c r="I236" s="43" t="n"/>
    </row>
    <row r="237">
      <c r="A237" s="42" t="inlineStr">
        <is>
          <t>UC-J05</t>
        </is>
      </c>
      <c r="B237" s="42" t="inlineStr">
        <is>
          <t>Nhận diện board từ ID + quét bus + ảnh</t>
        </is>
      </c>
      <c r="C237" s="42" t="n">
        <v>2</v>
      </c>
      <c r="D237" s="42" t="inlineStr">
        <is>
          <t>T</t>
        </is>
      </c>
      <c r="E237" s="42" t="inlineStr">
        <is>
          <t>extract.image_board nếu có ảnh</t>
        </is>
      </c>
      <c r="F237" s="42" t="inlineStr">
        <is>
          <t>image</t>
        </is>
      </c>
      <c r="G237" s="42" t="inlineStr">
        <is>
          <t>parts</t>
        </is>
      </c>
      <c r="H237" s="42" t="inlineStr"/>
      <c r="I237" s="42" t="n"/>
    </row>
    <row r="238">
      <c r="A238" s="43" t="inlineStr">
        <is>
          <t>UC-J05</t>
        </is>
      </c>
      <c r="B238" s="43" t="inlineStr">
        <is>
          <t>Nhận diện board từ ID + quét bus + ảnh</t>
        </is>
      </c>
      <c r="C238" s="43" t="n">
        <v>3</v>
      </c>
      <c r="D238" s="43" t="inlineStr">
        <is>
          <t>T</t>
        </is>
      </c>
      <c r="E238" s="43" t="inlineStr">
        <is>
          <t>discover.board_match tính điểm với registry/templates/BOM</t>
        </is>
      </c>
      <c r="F238" s="43" t="inlineStr">
        <is>
          <t>evidence</t>
        </is>
      </c>
      <c r="G238" s="43" t="inlineStr">
        <is>
          <t>candidates</t>
        </is>
      </c>
      <c r="H238" s="43" t="inlineStr">
        <is>
          <t>discover.board_match</t>
        </is>
      </c>
      <c r="I238" s="43" t="n"/>
    </row>
    <row r="239">
      <c r="A239" s="49" t="inlineStr">
        <is>
          <t>UC-J05</t>
        </is>
      </c>
      <c r="B239" s="49" t="inlineStr">
        <is>
          <t>Nhận diện board từ ID + quét bus + ảnh</t>
        </is>
      </c>
      <c r="C239" s="49" t="n">
        <v>4</v>
      </c>
      <c r="D239" s="49" t="inlineStr">
        <is>
          <t>N</t>
        </is>
      </c>
      <c r="E239" s="49" t="inlineStr">
        <is>
          <t>Chọn nếu ứng viên điểm gần nhau (một câu hỏi gộp)</t>
        </is>
      </c>
      <c r="F239" s="49" t="inlineStr">
        <is>
          <t>candidates</t>
        </is>
      </c>
      <c r="G239" s="49" t="inlineStr">
        <is>
          <t>board</t>
        </is>
      </c>
      <c r="H239" s="49" t="inlineStr">
        <is>
          <t>T1*</t>
        </is>
      </c>
      <c r="I239" s="49" t="n"/>
    </row>
    <row r="240">
      <c r="A240" s="43" t="inlineStr">
        <is>
          <t>UC-K01</t>
        </is>
      </c>
      <c r="B240" s="43" t="inlineStr">
        <is>
          <t>Tác tử tự viết công cụ khi thiếu năng lực</t>
        </is>
      </c>
      <c r="C240" s="43" t="n">
        <v>1</v>
      </c>
      <c r="D240" s="43" t="inlineStr">
        <is>
          <t>T</t>
        </is>
      </c>
      <c r="E240" s="43" t="inlineStr">
        <is>
          <t>tool.need: nhận diện nhu cầu, viết ToolSpec (vào/ra/effects/deps/acceptance); tool.search tái dùng nếu có</t>
        </is>
      </c>
      <c r="F240" s="43" t="inlineStr">
        <is>
          <t>gap</t>
        </is>
      </c>
      <c r="G240" s="43" t="inlineStr">
        <is>
          <t>ToolSpec</t>
        </is>
      </c>
      <c r="H240" s="43" t="inlineStr">
        <is>
          <t>tool.need</t>
        </is>
      </c>
      <c r="I240" s="43" t="n"/>
    </row>
    <row r="241">
      <c r="A241" s="42" t="inlineStr">
        <is>
          <t>UC-K01</t>
        </is>
      </c>
      <c r="B241" s="42" t="inlineStr">
        <is>
          <t>Tác tử tự viết công cụ khi thiếu năng lực</t>
        </is>
      </c>
      <c r="C241" s="42" t="n">
        <v>2</v>
      </c>
      <c r="D241" s="42" t="inlineStr">
        <is>
          <t>T</t>
        </is>
      </c>
      <c r="E241" s="42" t="inlineStr">
        <is>
          <t>tool.write: coder sinh tool.py + test; kiểm tĩnh import theo effects</t>
        </is>
      </c>
      <c r="F241" s="42" t="inlineStr">
        <is>
          <t>ToolSpec</t>
        </is>
      </c>
      <c r="G241" s="42" t="inlineStr">
        <is>
          <t>code, tests</t>
        </is>
      </c>
      <c r="H241" s="42" t="inlineStr">
        <is>
          <t>tool.write</t>
        </is>
      </c>
      <c r="I241" s="42" t="n"/>
    </row>
    <row r="242">
      <c r="A242" s="43" t="inlineStr">
        <is>
          <t>UC-K01</t>
        </is>
      </c>
      <c r="B242" s="43" t="inlineStr">
        <is>
          <t>Tác tử tự viết công cụ khi thiếu năng lực</t>
        </is>
      </c>
      <c r="C242" s="43" t="n">
        <v>3</v>
      </c>
      <c r="D242" s="43" t="inlineStr">
        <is>
          <t>K</t>
        </is>
      </c>
      <c r="E242" s="43" t="inlineStr">
        <is>
          <t>tool.test trong sandbox: pytest + giám sát hiệu ứng thực tế ⊆ khai báo</t>
        </is>
      </c>
      <c r="F242" s="43" t="inlineStr">
        <is>
          <t>tool</t>
        </is>
      </c>
      <c r="G242" s="43" t="inlineStr">
        <is>
          <t>ToolReport, effects_ok</t>
        </is>
      </c>
      <c r="H242" s="43" t="inlineStr">
        <is>
          <t>tool.test</t>
        </is>
      </c>
      <c r="I242" s="43" t="n"/>
    </row>
    <row r="243">
      <c r="A243" s="42" t="inlineStr">
        <is>
          <t>UC-K01</t>
        </is>
      </c>
      <c r="B243" s="42" t="inlineStr">
        <is>
          <t>Tác tử tự viết công cụ khi thiếu năng lực</t>
        </is>
      </c>
      <c r="C243" s="42" t="n">
        <v>4</v>
      </c>
      <c r="D243" s="42" t="inlineStr">
        <is>
          <t>T</t>
        </is>
      </c>
      <c r="E243" s="42" t="inlineStr">
        <is>
          <t>Thất bại → tool.repair ≤ 3 vòng</t>
        </is>
      </c>
      <c r="F243" s="42" t="inlineStr">
        <is>
          <t>report</t>
        </is>
      </c>
      <c r="G243" s="42" t="inlineStr">
        <is>
          <t>code'</t>
        </is>
      </c>
      <c r="H243" s="42" t="inlineStr">
        <is>
          <t>tool.repair</t>
        </is>
      </c>
      <c r="I243" s="42" t="n"/>
    </row>
    <row r="244">
      <c r="A244" s="43" t="inlineStr">
        <is>
          <t>UC-K01</t>
        </is>
      </c>
      <c r="B244" s="43" t="inlineStr">
        <is>
          <t>Tác tử tự viết công cụ khi thiếu năng lực</t>
        </is>
      </c>
      <c r="C244" s="43" t="n">
        <v>5</v>
      </c>
      <c r="D244" s="43" t="inlineStr">
        <is>
          <t>K</t>
        </is>
      </c>
      <c r="E244" s="43" t="inlineStr">
        <is>
          <t>tool.register: khai báo Capability user.&lt;name&gt; (risk từ effects, tier, undo); nạp nóng registry</t>
        </is>
      </c>
      <c r="F244" s="43" t="inlineStr">
        <is>
          <t>tool</t>
        </is>
      </c>
      <c r="G244" s="43" t="inlineStr">
        <is>
          <t>USER-nn</t>
        </is>
      </c>
      <c r="H244" s="43" t="inlineStr">
        <is>
          <t>tool.register</t>
        </is>
      </c>
      <c r="I244" s="43" t="n"/>
    </row>
    <row r="245">
      <c r="A245" s="49" t="inlineStr">
        <is>
          <t>UC-K01</t>
        </is>
      </c>
      <c r="B245" s="49" t="inlineStr">
        <is>
          <t>Tác tử tự viết công cụ khi thiếu năng lực</t>
        </is>
      </c>
      <c r="C245" s="49" t="n">
        <v>6</v>
      </c>
      <c r="D245" s="49" t="inlineStr">
        <is>
          <t>K</t>
        </is>
      </c>
      <c r="E245" s="49" t="inlineStr">
        <is>
          <t>tool.run trong chuỗi: policy G-TOOL (TOOL-01…05) → sandbox theo effects → kết quả → ledger</t>
        </is>
      </c>
      <c r="F245" s="49" t="inlineStr">
        <is>
          <t>args</t>
        </is>
      </c>
      <c r="G245" s="49" t="inlineStr">
        <is>
          <t>result</t>
        </is>
      </c>
      <c r="H245" s="49" t="inlineStr">
        <is>
          <t>G-TOOL</t>
        </is>
      </c>
      <c r="I245" s="49" t="n"/>
    </row>
    <row r="246">
      <c r="A246" s="49" t="inlineStr">
        <is>
          <t>UC-K01</t>
        </is>
      </c>
      <c r="B246" s="49" t="inlineStr">
        <is>
          <t>Tác tử tự viết công cụ khi thiếu năng lực</t>
        </is>
      </c>
      <c r="C246" s="49" t="n">
        <v>7</v>
      </c>
      <c r="D246" s="49" t="inlineStr">
        <is>
          <t>N</t>
        </is>
      </c>
      <c r="E246" s="49" t="inlineStr">
        <is>
          <t>Chỉ khi hiệu ứng hệ thống/phần cứng ngoài lab hoặc chưa đủ lịch sử: duyệt/từ chối; xem mã và test trong ToolForge</t>
        </is>
      </c>
      <c r="F246" s="49" t="inlineStr">
        <is>
          <t>ASK</t>
        </is>
      </c>
      <c r="G246" s="49" t="inlineStr">
        <is>
          <t>decision</t>
        </is>
      </c>
      <c r="H246" s="49" t="inlineStr">
        <is>
          <t>TOOL-05/TOOL-99</t>
        </is>
      </c>
      <c r="I246" s="49" t="n"/>
    </row>
    <row r="247">
      <c r="A247" s="42" t="inlineStr">
        <is>
          <t>UC-K01</t>
        </is>
      </c>
      <c r="B247" s="42" t="inlineStr">
        <is>
          <t>Tác tử tự viết công cụ khi thiếu năng lực</t>
        </is>
      </c>
      <c r="C247" s="42" t="n">
        <v>8</v>
      </c>
      <c r="D247" s="42" t="inlineStr">
        <is>
          <t>T</t>
        </is>
      </c>
      <c r="E247" s="42" t="inlineStr">
        <is>
          <t>Sau ≥ 3 lần ok: tool.promote đề xuất gói kind=tool → Pack owner duyệt → năng lực chính thức; hoặc tool.deprecate</t>
        </is>
      </c>
      <c r="F247" s="42" t="inlineStr">
        <is>
          <t>tool</t>
        </is>
      </c>
      <c r="G247" s="42" t="inlineStr">
        <is>
          <t>proposal</t>
        </is>
      </c>
      <c r="H247" s="42" t="inlineStr">
        <is>
          <t>T2</t>
        </is>
      </c>
      <c r="I247" s="4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E7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8" min="1" max="1"/>
    <col width="30" customWidth="1" style="28" min="2" max="2"/>
    <col width="9" customWidth="1" style="28" min="3" max="3"/>
    <col width="40" customWidth="1" style="28" min="4" max="4"/>
    <col width="80" customWidth="1" style="28" min="5" max="5"/>
  </cols>
  <sheetData>
    <row r="1" ht="30" customHeight="1" s="29">
      <c r="A1" s="41" t="inlineStr">
        <is>
          <t>Mã UC</t>
        </is>
      </c>
      <c r="B1" s="41" t="inlineStr">
        <is>
          <t>Tên use case</t>
        </is>
      </c>
      <c r="C1" s="41" t="inlineStr">
        <is>
          <t>Mã luồng</t>
        </is>
      </c>
      <c r="D1" s="41" t="inlineStr">
        <is>
          <t>Điều kiện</t>
        </is>
      </c>
      <c r="E1" s="41" t="inlineStr">
        <is>
          <t>Xử lý</t>
        </is>
      </c>
    </row>
    <row r="2" ht="15" customHeight="1" s="29">
      <c r="A2" s="40" t="inlineStr">
        <is>
          <t>UC-A01</t>
        </is>
      </c>
      <c r="B2" s="40" t="inlineStr">
        <is>
          <t>Tạo dự án mới</t>
        </is>
      </c>
      <c r="C2" s="40" t="inlineStr">
        <is>
          <t>A1</t>
        </is>
      </c>
      <c r="D2" s="40" t="inlineStr">
        <is>
          <t>Thư mục đã có .hkw/</t>
        </is>
      </c>
      <c r="E2" s="40" t="inlineStr">
        <is>
          <t>Hỏi: mở dự án hiện có (UC-A06) hay khởi tạo lại (cần xác nhận, không xóa store)</t>
        </is>
      </c>
    </row>
    <row r="3" ht="23.25" customHeight="1" s="29">
      <c r="A3" s="40" t="inlineStr">
        <is>
          <t>UC-A01</t>
        </is>
      </c>
      <c r="B3" s="40" t="inlineStr">
        <is>
          <t>Tạo dự án mới</t>
        </is>
      </c>
      <c r="C3" s="40" t="inlineStr">
        <is>
          <t>A2</t>
        </is>
      </c>
      <c r="D3" s="40" t="inlineStr">
        <is>
          <t>Chưa có mô hình nào cấu hình khóa API</t>
        </is>
      </c>
      <c r="E3" s="40" t="inlineStr">
        <is>
          <t>Chuyển sang chế độ cục bộ nếu có Ollama; nếu không, vẫn tạo dự án nhưng tác tử tạm tắt (chỉ nhập tri thức tầng vàng bằng parser)</t>
        </is>
      </c>
    </row>
    <row r="4" ht="23.25" customHeight="1" s="29">
      <c r="A4" s="40" t="inlineStr">
        <is>
          <t>UC-A02</t>
        </is>
      </c>
      <c r="B4" s="40" t="inlineStr">
        <is>
          <t>Khai báo hoặc suy ra chip / ISA / board của dự án</t>
        </is>
      </c>
      <c r="C4" s="40" t="inlineStr">
        <is>
          <t>A1</t>
        </is>
      </c>
      <c r="D4" s="40" t="inlineStr">
        <is>
          <t>Chip tùy chỉnh (không có SVD/ATDF)</t>
        </is>
      </c>
      <c r="E4" s="40" t="inlineStr">
        <is>
          <t>Tạo ISA profile 'custom' + hướng dẫn kỹ sư cung cấp bản đồ thanh ghi (SVD/CSV/YAML) → UC-B03 với nguồn do người cung cấp</t>
        </is>
      </c>
    </row>
    <row r="5" ht="23.25" customHeight="1" s="29">
      <c r="A5" s="40" t="inlineStr">
        <is>
          <t>UC-A02</t>
        </is>
      </c>
      <c r="B5" s="40" t="inlineStr">
        <is>
          <t>Khai báo hoặc suy ra chip / ISA / board của dự án</t>
        </is>
      </c>
      <c r="C5" s="40" t="inlineStr">
        <is>
          <t>A2</t>
        </is>
      </c>
      <c r="D5" s="40" t="inlineStr">
        <is>
          <t>Tài liệu nêu 2 chip khác nhau</t>
        </is>
      </c>
      <c r="E5" s="40" t="inlineStr">
        <is>
          <t>Hỏi người: chip chính nào; chip còn lại là ngoại vi ngoài hay MCU phụ</t>
        </is>
      </c>
    </row>
    <row r="6" ht="23.25" customHeight="1" s="29">
      <c r="A6" s="40" t="inlineStr">
        <is>
          <t>UC-A03</t>
        </is>
      </c>
      <c r="B6" s="40" t="inlineStr">
        <is>
          <t>Khám phá, cài đặt và khóa toolchain (eide doctor)</t>
        </is>
      </c>
      <c r="C6" s="40" t="inlineStr">
        <is>
          <t>A1</t>
        </is>
      </c>
      <c r="D6" s="40" t="inlineStr">
        <is>
          <t>Toolchain đóng (XC8/IAR/Keil)</t>
        </is>
      </c>
      <c r="E6" s="40" t="inlineStr">
        <is>
          <t>Không tự cài; hướng dẫn tải từ hãng; chỉ kiểm sự có mặt và phiên bản</t>
        </is>
      </c>
    </row>
    <row r="7" ht="23.25" customHeight="1" s="29">
      <c r="A7" s="40" t="inlineStr">
        <is>
          <t>UC-A03</t>
        </is>
      </c>
      <c r="B7" s="40" t="inlineStr">
        <is>
          <t>Khám phá, cài đặt và khóa toolchain (eide doctor)</t>
        </is>
      </c>
      <c r="C7" s="40" t="inlineStr">
        <is>
          <t>A2</t>
        </is>
      </c>
      <c r="D7" s="40" t="inlineStr">
        <is>
          <t>Không có mạng (offline)</t>
        </is>
      </c>
      <c r="E7" s="40" t="inlineStr">
        <is>
          <t>Chỉ kiểm; liệt kê gói cần tải thủ công kèm hash mong đợi</t>
        </is>
      </c>
    </row>
    <row r="8" ht="23.25" customHeight="1" s="29">
      <c r="A8" s="40" t="inlineStr">
        <is>
          <t>UC-A03</t>
        </is>
      </c>
      <c r="B8" s="40" t="inlineStr">
        <is>
          <t>Khám phá, cài đặt và khóa toolchain (eide doctor)</t>
        </is>
      </c>
      <c r="C8" s="40" t="inlineStr">
        <is>
          <t>A3</t>
        </is>
      </c>
      <c r="D8" s="40" t="inlineStr">
        <is>
          <t>Phiên bản đã khóa khác phiên bản có trên máy</t>
        </is>
      </c>
      <c r="E8" s="40" t="inlineStr">
        <is>
          <t>Cảnh báo lệch; hỏi khóa lại hay cài đúng phiên bản cũ</t>
        </is>
      </c>
    </row>
    <row r="9" ht="23.25" customHeight="1" s="29">
      <c r="A9" s="40" t="inlineStr">
        <is>
          <t>UC-A04</t>
        </is>
      </c>
      <c r="B9" s="40" t="inlineStr">
        <is>
          <t>Cấu hình mô hình ngôn ngữ và chế độ cục bộ</t>
        </is>
      </c>
      <c r="C9" s="40" t="inlineStr">
        <is>
          <t>A1</t>
        </is>
      </c>
      <c r="D9" s="40" t="inlineStr">
        <is>
          <t>offline_mode nhưng không có mô hình cục bộ</t>
        </is>
      </c>
      <c r="E9" s="40" t="inlineStr">
        <is>
          <t>Từ chối bật; đề nghị cài Ollama + qwen2.5-coder</t>
        </is>
      </c>
    </row>
    <row r="10" ht="23.25" customHeight="1" s="29">
      <c r="A10" s="40" t="inlineStr">
        <is>
          <t>UC-A04</t>
        </is>
      </c>
      <c r="B10" s="40" t="inlineStr">
        <is>
          <t>Cấu hình mô hình ngôn ngữ và chế độ cục bộ</t>
        </is>
      </c>
      <c r="C10" s="40" t="inlineStr">
        <is>
          <t>A2</t>
        </is>
      </c>
      <c r="D10" s="40" t="inlineStr">
        <is>
          <t>Chỉ có một nhà cung cấp</t>
        </is>
      </c>
      <c r="E10" s="40" t="inlineStr">
        <is>
          <t>Cho phép nhưng ghi cảnh báo 'reviewer cùng hãng' vào ledger và thanh trạng thái</t>
        </is>
      </c>
    </row>
    <row r="11" ht="15" customHeight="1" s="29">
      <c r="A11" s="40" t="inlineStr">
        <is>
          <t>UC-A05</t>
        </is>
      </c>
      <c r="B11" s="40" t="inlineStr">
        <is>
          <t>Nhập dự án mã nguồn có sẵn</t>
        </is>
      </c>
      <c r="C11" s="40" t="inlineStr">
        <is>
          <t>A1</t>
        </is>
      </c>
      <c r="D11" s="40" t="inlineStr">
        <is>
          <t>Repo dùng hệ sinh thái chưa có Pack (ví dụ PIC)</t>
        </is>
      </c>
      <c r="E11" s="40" t="inlineStr">
        <is>
          <t>Tạo Pack khung 'custom' và chỉ bật kiểm tĩnh + build qua lệnh do người khai báo</t>
        </is>
      </c>
    </row>
    <row r="12" ht="15" customHeight="1" s="29">
      <c r="A12" s="40" t="inlineStr">
        <is>
          <t>UC-A06</t>
        </is>
      </c>
      <c r="B12" s="40" t="inlineStr">
        <is>
          <t>Tiếp tục phiên làm việc</t>
        </is>
      </c>
      <c r="C12" s="40" t="inlineStr">
        <is>
          <t>A1</t>
        </is>
      </c>
      <c r="D12" s="40" t="inlineStr">
        <is>
          <t>Hash store lệch</t>
        </is>
      </c>
      <c r="E12" s="40" t="inlineStr">
        <is>
          <t>Từ chối mở ở chế độ ghi; đề nghị tái dựng đồ thị và kiểm toán ledger</t>
        </is>
      </c>
    </row>
    <row r="13" ht="15" customHeight="1" s="29">
      <c r="A13" s="40" t="inlineStr">
        <is>
          <t>UC-A06</t>
        </is>
      </c>
      <c r="B13" s="40" t="inlineStr">
        <is>
          <t>Tiếp tục phiên làm việc</t>
        </is>
      </c>
      <c r="C13" s="40" t="inlineStr">
        <is>
          <t>A2</t>
        </is>
      </c>
      <c r="D13" s="40" t="inlineStr">
        <is>
          <t>Toolchain đổi so với tools.lock</t>
        </is>
      </c>
      <c r="E13" s="40" t="inlineStr">
        <is>
          <t>Chuyển sang UC-A03</t>
        </is>
      </c>
    </row>
    <row r="14" ht="23.25" customHeight="1" s="29">
      <c r="A14" s="40" t="inlineStr">
        <is>
          <t>UC-B01</t>
        </is>
      </c>
      <c r="B14" s="40" t="inlineStr">
        <is>
          <t>Nhập gói tài liệu hỗn hợp (zip có mạch, ảnh, PDF, tệp linh tinh)</t>
        </is>
      </c>
      <c r="C14" s="40" t="inlineStr">
        <is>
          <t>A1</t>
        </is>
      </c>
      <c r="D14" s="40" t="inlineStr">
        <is>
          <t>Zip chứa zip lồng quá 5 cấp hoặc &gt; 2 GB</t>
        </is>
      </c>
      <c r="E14" s="40" t="inlineStr">
        <is>
          <t>Dừng ở giới hạn, liệt kê phần chưa mở, hỏi người</t>
        </is>
      </c>
    </row>
    <row r="15" ht="23.25" customHeight="1" s="29">
      <c r="A15" s="40" t="inlineStr">
        <is>
          <t>UC-B01</t>
        </is>
      </c>
      <c r="B15" s="40" t="inlineStr">
        <is>
          <t>Nhập gói tài liệu hỗn hợp (zip có mạch, ảnh, PDF, tệp linh tinh)</t>
        </is>
      </c>
      <c r="C15" s="40" t="inlineStr">
        <is>
          <t>A2</t>
        </is>
      </c>
      <c r="D15" s="40" t="inlineStr">
        <is>
          <t>Tệp nén có mật khẩu</t>
        </is>
      </c>
      <c r="E15" s="40" t="inlineStr">
        <is>
          <t>Hỏi mật khẩu; không thử đoán</t>
        </is>
      </c>
    </row>
    <row r="16" ht="23.25" customHeight="1" s="29">
      <c r="A16" s="40" t="inlineStr">
        <is>
          <t>UC-B01</t>
        </is>
      </c>
      <c r="B16" s="40" t="inlineStr">
        <is>
          <t>Nhập gói tài liệu hỗn hợp (zip có mạch, ảnh, PDF, tệp linh tinh)</t>
        </is>
      </c>
      <c r="C16" s="40" t="inlineStr">
        <is>
          <t>A3</t>
        </is>
      </c>
      <c r="D16" s="40" t="inlineStr">
        <is>
          <t>Tệp đã có trong store (trùng hash)</t>
        </is>
      </c>
      <c r="E16" s="40" t="inlineStr">
        <is>
          <t>Bỏ qua và ghi 'trùng'; không tạo fact mới</t>
        </is>
      </c>
    </row>
    <row r="17" ht="23.25" customHeight="1" s="29">
      <c r="A17" s="40" t="inlineStr">
        <is>
          <t>UC-B01</t>
        </is>
      </c>
      <c r="B17" s="40" t="inlineStr">
        <is>
          <t>Nhập gói tài liệu hỗn hợp (zip có mạch, ảnh, PDF, tệp linh tinh)</t>
        </is>
      </c>
      <c r="C17" s="40" t="inlineStr">
        <is>
          <t>A4</t>
        </is>
      </c>
      <c r="D17" s="40" t="inlineStr">
        <is>
          <t>Không tệp nào sinh được hộ chiếu (toàn ảnh và văn bản)</t>
        </is>
      </c>
      <c r="E17" s="40" t="inlineStr">
        <is>
          <t>Librarian đề xuất tìm SVD/datasheet trên mạng (UC-B07/B08)</t>
        </is>
      </c>
    </row>
    <row r="18" ht="23.25" customHeight="1" s="29">
      <c r="A18" s="40" t="inlineStr">
        <is>
          <t>UC-B02</t>
        </is>
      </c>
      <c r="B18" s="40" t="inlineStr">
        <is>
          <t>Suy ra chip / linh kiện từ tài liệu và ảnh</t>
        </is>
      </c>
      <c r="C18" s="40" t="inlineStr">
        <is>
          <t>A1</t>
        </is>
      </c>
      <c r="D18" s="40" t="inlineStr">
        <is>
          <t>Ảnh mờ, không đọc được nhãn</t>
        </is>
      </c>
      <c r="E18" s="40" t="inlineStr">
        <is>
          <t>Yêu cầu ảnh rõ hơn hoặc nhập tay mã linh kiện</t>
        </is>
      </c>
    </row>
    <row r="19" ht="23.25" customHeight="1" s="29">
      <c r="A19" s="40" t="inlineStr">
        <is>
          <t>UC-B03</t>
        </is>
      </c>
      <c r="B19" s="40" t="inlineStr">
        <is>
          <t>Nhập nguồn cấu trúc chính hãng (SVD / ATDF / EDC / header)</t>
        </is>
      </c>
      <c r="C19" s="40" t="inlineStr">
        <is>
          <t>A1</t>
        </is>
      </c>
      <c r="D19" s="40" t="inlineStr">
        <is>
          <t>SVD lỗi cú pháp</t>
        </is>
      </c>
      <c r="E19" s="40" t="inlineStr">
        <is>
          <t>Báo dòng lỗi; đề nghị tìm bản khác (UC-B08)</t>
        </is>
      </c>
    </row>
    <row r="20" ht="23.25" customHeight="1" s="29">
      <c r="A20" s="40" t="inlineStr">
        <is>
          <t>UC-B03</t>
        </is>
      </c>
      <c r="B20" s="40" t="inlineStr">
        <is>
          <t>Nhập nguồn cấu trúc chính hãng (SVD / ATDF / EDC / header)</t>
        </is>
      </c>
      <c r="C20" s="40" t="inlineStr">
        <is>
          <t>A2</t>
        </is>
      </c>
      <c r="D20" s="40" t="inlineStr">
        <is>
          <t>Chip đã có hộ chiếu cùng phiên bản, hash khác</t>
        </is>
      </c>
      <c r="E20" s="40" t="inlineStr">
        <is>
          <t>Nhập thành nguồn thứ hai; mâu thuẫn được liệt kê cho UC-B11</t>
        </is>
      </c>
    </row>
    <row r="21" ht="34.5" customHeight="1" s="29">
      <c r="A21" s="40" t="inlineStr">
        <is>
          <t>UC-B04</t>
        </is>
      </c>
      <c r="B21" s="40" t="inlineStr">
        <is>
          <t>Trích xuất tri thức từ PDF (datasheet, reference manual, errata)</t>
        </is>
      </c>
      <c r="C21" s="40" t="inlineStr">
        <is>
          <t>A1</t>
        </is>
      </c>
      <c r="D21" s="40" t="inlineStr">
        <is>
          <t>PDF scan (ảnh)</t>
        </is>
      </c>
      <c r="E21" s="40" t="inlineStr">
        <is>
          <t>OCR rồi trích; confidence giảm 0,1; bắt buộc duyệt từng dòng thay vì theo nhóm</t>
        </is>
      </c>
    </row>
    <row r="22" ht="34.5" customHeight="1" s="29">
      <c r="A22" s="40" t="inlineStr">
        <is>
          <t>UC-B04</t>
        </is>
      </c>
      <c r="B22" s="40" t="inlineStr">
        <is>
          <t>Trích xuất tri thức từ PDF (datasheet, reference manual, errata)</t>
        </is>
      </c>
      <c r="C22" s="40" t="inlineStr">
        <is>
          <t>A2</t>
        </is>
      </c>
      <c r="D22" s="40" t="inlineStr">
        <is>
          <t>Bảng trải nhiều trang / cột gộp</t>
        </is>
      </c>
      <c r="E22" s="40" t="inlineStr">
        <is>
          <t>Ghép bảng theo tiêu đề lặp; nếu không chắc → đánh dấu 'cần xem' cho người</t>
        </is>
      </c>
    </row>
    <row r="23" ht="34.5" customHeight="1" s="29">
      <c r="A23" s="40" t="inlineStr">
        <is>
          <t>UC-B04</t>
        </is>
      </c>
      <c r="B23" s="40" t="inlineStr">
        <is>
          <t>Trích xuất tri thức từ PDF (datasheet, reference manual, errata)</t>
        </is>
      </c>
      <c r="C23" s="40" t="inlineStr">
        <is>
          <t>A3</t>
        </is>
      </c>
      <c r="D23" s="40" t="inlineStr">
        <is>
          <t>PDF là bản dịch/không chính hãng</t>
        </is>
      </c>
      <c r="E23" s="40" t="inlineStr">
        <is>
          <t>Tầng đồng; chỉ dùng làm gợi ý tìm bản gốc</t>
        </is>
      </c>
    </row>
    <row r="24" ht="23.25" customHeight="1" s="29">
      <c r="A24" s="40" t="inlineStr">
        <is>
          <t>UC-B05</t>
        </is>
      </c>
      <c r="B24" s="40" t="inlineStr">
        <is>
          <t>Trích xuất từ ảnh (schematic chụp, ảnh board, ảnh màn hình đo)</t>
        </is>
      </c>
      <c r="C24" s="40" t="inlineStr">
        <is>
          <t>A1</t>
        </is>
      </c>
      <c r="D24" s="40" t="inlineStr">
        <is>
          <t>Mô hình cục bộ không có thị giác</t>
        </is>
      </c>
      <c r="E24" s="40" t="inlineStr">
        <is>
          <t>Báo không thể; đề nghị bật mô hình đám mây cho vai trò cartographer (tài liệu sẽ rời máy — cần xác nhận) hoặc nhập tay</t>
        </is>
      </c>
    </row>
    <row r="25" ht="23.25" customHeight="1" s="29">
      <c r="A25" s="40" t="inlineStr">
        <is>
          <t>UC-B06</t>
        </is>
      </c>
      <c r="B25" s="40" t="inlineStr">
        <is>
          <t>Nhập schematic KiCad và dựng hộ chiếu mạch</t>
        </is>
      </c>
      <c r="C25" s="40" t="inlineStr">
        <is>
          <t>A1</t>
        </is>
      </c>
      <c r="D25" s="40" t="inlineStr">
        <is>
          <t>Linh kiện không có hộ chiếu</t>
        </is>
      </c>
      <c r="E25" s="40" t="inlineStr">
        <is>
          <t>Tạo AcquisitionRequest (UC-B07) cho MPN đó; net vẫn được lưu</t>
        </is>
      </c>
    </row>
    <row r="26" ht="23.25" customHeight="1" s="29">
      <c r="A26" s="40" t="inlineStr">
        <is>
          <t>UC-B06</t>
        </is>
      </c>
      <c r="B26" s="40" t="inlineStr">
        <is>
          <t>Nhập schematic KiCad và dựng hộ chiếu mạch</t>
        </is>
      </c>
      <c r="C26" s="40" t="inlineStr">
        <is>
          <t>A2</t>
        </is>
      </c>
      <c r="D26" s="40" t="inlineStr">
        <is>
          <t>Schematic Altium/Eagle</t>
        </is>
      </c>
      <c r="E26" s="40" t="inlineStr">
        <is>
          <t>Đề nghị xuất netlist chuẩn (KiCad/Protel) hoặc dùng ảnh (UC-B05)</t>
        </is>
      </c>
    </row>
    <row r="27" ht="23.25" customHeight="1" s="29">
      <c r="A27" s="40" t="inlineStr">
        <is>
          <t>UC-B07</t>
        </is>
      </c>
      <c r="B27" s="40" t="inlineStr">
        <is>
          <t>Phát hiện thiếu tri thức và tạo yêu cầu nhận tri thức</t>
        </is>
      </c>
      <c r="C27" s="40" t="inlineStr">
        <is>
          <t>A1</t>
        </is>
      </c>
      <c r="D27" s="40" t="inlineStr">
        <is>
          <t>Yêu cầu trùng với yêu cầu đang mở</t>
        </is>
      </c>
      <c r="E27" s="40" t="inlineStr">
        <is>
          <t>Gộp; tăng mức ưu tiên</t>
        </is>
      </c>
    </row>
    <row r="28" ht="23.25" customHeight="1" s="29">
      <c r="A28" s="40" t="inlineStr">
        <is>
          <t>UC-B08</t>
        </is>
      </c>
      <c r="B28" s="40" t="inlineStr">
        <is>
          <t>Tìm nguồn tri thức (registry → kho hãng → docs MCP → web)</t>
        </is>
      </c>
      <c r="C28" s="40" t="inlineStr">
        <is>
          <t>A1</t>
        </is>
      </c>
      <c r="D28" s="40" t="inlineStr">
        <is>
          <t>offline_mode</t>
        </is>
      </c>
      <c r="E28" s="40" t="inlineStr">
        <is>
          <t>Chỉ registry và kho cục bộ; báo 'không tìm web vì chế độ cục bộ'</t>
        </is>
      </c>
    </row>
    <row r="29" ht="23.25" customHeight="1" s="29">
      <c r="A29" s="40" t="inlineStr">
        <is>
          <t>UC-B08</t>
        </is>
      </c>
      <c r="B29" s="40" t="inlineStr">
        <is>
          <t>Tìm nguồn tri thức (registry → kho hãng → docs MCP → web)</t>
        </is>
      </c>
      <c r="C29" s="40" t="inlineStr">
        <is>
          <t>A2</t>
        </is>
      </c>
      <c r="D29" s="40" t="inlineStr">
        <is>
          <t>Không có ứng viên</t>
        </is>
      </c>
      <c r="E29" s="40" t="inlineStr">
        <is>
          <t>Giữ REQUESTED; gợi ý người cung cấp tệp</t>
        </is>
      </c>
    </row>
    <row r="30" ht="23.25" customHeight="1" s="29">
      <c r="A30" s="40" t="inlineStr">
        <is>
          <t>UC-B08</t>
        </is>
      </c>
      <c r="B30" s="40" t="inlineStr">
        <is>
          <t>Tìm nguồn tri thức (registry → kho hãng → docs MCP → web)</t>
        </is>
      </c>
      <c r="C30" s="40" t="inlineStr">
        <is>
          <t>A3</t>
        </is>
      </c>
      <c r="D30" s="40" t="inlineStr">
        <is>
          <t>Ứng viên quá lớn (&gt; ngưỡng)</t>
        </is>
      </c>
      <c r="E30" s="40" t="inlineStr">
        <is>
          <t>Đánh dấu; chỉ tải khi người xác nhận riêng (G-OPS)</t>
        </is>
      </c>
    </row>
    <row r="31" ht="23.25" customHeight="1" s="29">
      <c r="A31" s="40" t="inlineStr">
        <is>
          <t>UC-B09</t>
        </is>
      </c>
      <c r="B31" s="40" t="inlineStr">
        <is>
          <t>Xác nhận nguồn (G-SRC): xem thông tin, chọn, tải</t>
        </is>
      </c>
      <c r="C31" s="40" t="inlineStr">
        <is>
          <t>A1</t>
        </is>
      </c>
      <c r="D31" s="40" t="inlineStr">
        <is>
          <t>Tải thất bại / hash lệch</t>
        </is>
      </c>
      <c r="E31" s="40" t="inlineStr">
        <is>
          <t>Báo; không tạo Source; quay về CANDIDATES</t>
        </is>
      </c>
    </row>
    <row r="32" ht="23.25" customHeight="1" s="29">
      <c r="A32" s="40" t="inlineStr">
        <is>
          <t>UC-B09</t>
        </is>
      </c>
      <c r="B32" s="40" t="inlineStr">
        <is>
          <t>Xác nhận nguồn (G-SRC): xem thông tin, chọn, tải</t>
        </is>
      </c>
      <c r="C32" s="40" t="inlineStr">
        <is>
          <t>A2</t>
        </is>
      </c>
      <c r="D32" s="40" t="inlineStr">
        <is>
          <t>License cấm phân phối lại</t>
        </is>
      </c>
      <c r="E32" s="40" t="inlineStr">
        <is>
          <t>Vẫn dùng cục bộ; gói .hkp sau này chỉ chứa con trỏ + hash</t>
        </is>
      </c>
    </row>
    <row r="33" ht="23.25" customHeight="1" s="29">
      <c r="A33" s="40" t="inlineStr">
        <is>
          <t>UC-B10</t>
        </is>
      </c>
      <c r="B33" s="40" t="inlineStr">
        <is>
          <t>Duyệt fact (G-FACT) theo nhóm với ảnh cắt</t>
        </is>
      </c>
      <c r="C33" s="40" t="inlineStr">
        <is>
          <t>A1</t>
        </is>
      </c>
      <c r="D33" s="40" t="inlineStr">
        <is>
          <t>Nhóm có mâu thuẫn với nguồn khác</t>
        </is>
      </c>
      <c r="E33" s="40" t="inlineStr">
        <is>
          <t>Hiển thị cặp giá trị; người chọn (UC-B11)</t>
        </is>
      </c>
    </row>
    <row r="34" ht="23.25" customHeight="1" s="29">
      <c r="A34" s="40" t="inlineStr">
        <is>
          <t>UC-B10</t>
        </is>
      </c>
      <c r="B34" s="40" t="inlineStr">
        <is>
          <t>Duyệt fact (G-FACT) theo nhóm với ảnh cắt</t>
        </is>
      </c>
      <c r="C34" s="40" t="inlineStr">
        <is>
          <t>A2</t>
        </is>
      </c>
      <c r="D34" s="40" t="inlineStr">
        <is>
          <t>Người sửa giá trị tay</t>
        </is>
      </c>
      <c r="E34" s="40" t="inlineStr">
        <is>
          <t>Tạo fact method=manual, source = 'manual by &lt;user&gt;', tier bạc</t>
        </is>
      </c>
    </row>
    <row r="35" ht="23.25" customHeight="1" s="29">
      <c r="A35" s="40" t="inlineStr">
        <is>
          <t>UC-B11</t>
        </is>
      </c>
      <c r="B35" s="40" t="inlineStr">
        <is>
          <t>Giải quyết mâu thuẫn giữa các nguồn</t>
        </is>
      </c>
      <c r="C35" s="40" t="inlineStr">
        <is>
          <t>A1</t>
        </is>
      </c>
      <c r="D35" s="40" t="inlineStr">
        <is>
          <t>Mâu thuẫn giữa SVD chính hãng và SVD cộng đồng</t>
        </is>
      </c>
      <c r="E35" s="40" t="inlineStr">
        <is>
          <t>Mặc định ưu tiên chính hãng; cộng đồng xuống tầng bạc; vẫn cần người xác nhận nếu mã đang trích dẫn</t>
        </is>
      </c>
    </row>
    <row r="36" ht="15" customHeight="1" s="29">
      <c r="A36" s="40" t="inlineStr">
        <is>
          <t>UC-B12</t>
        </is>
      </c>
      <c r="B36" s="40" t="inlineStr">
        <is>
          <t>Kiểm định hộ chiếu trên board thật</t>
        </is>
      </c>
      <c r="C36" s="40" t="inlineStr">
        <is>
          <t>A1</t>
        </is>
      </c>
      <c r="D36" s="40" t="inlineStr">
        <is>
          <t>AVR/PIC không có probe</t>
        </is>
      </c>
      <c r="E36" s="40" t="inlineStr">
        <is>
          <t>Chỉ kiểm bằng firmware + serial (signature bytes qua bootloader nếu có)</t>
        </is>
      </c>
    </row>
    <row r="37" ht="15" customHeight="1" s="29">
      <c r="A37" s="40" t="inlineStr">
        <is>
          <t>UC-B12</t>
        </is>
      </c>
      <c r="B37" s="40" t="inlineStr">
        <is>
          <t>Kiểm định hộ chiếu trên board thật</t>
        </is>
      </c>
      <c r="C37" s="40" t="inlineStr">
        <is>
          <t>A2</t>
        </is>
      </c>
      <c r="D37" s="40" t="inlineStr">
        <is>
          <t>ID không khớp</t>
        </is>
      </c>
      <c r="E37" s="40" t="inlineStr">
        <is>
          <t>Không hạ tier; mở DebugSession; đề xuất: sai chip? sai hộ chiếu? kết nối?</t>
        </is>
      </c>
    </row>
    <row r="38" ht="34.5" customHeight="1" s="29">
      <c r="A38" s="40" t="inlineStr">
        <is>
          <t>UC-B13</t>
        </is>
      </c>
      <c r="B38" s="40" t="inlineStr">
        <is>
          <t>Cập nhật phiên bản tri thức (SVD/datasheet mới) và phân tích ảnh hưởng</t>
        </is>
      </c>
      <c r="C38" s="40" t="inlineStr">
        <is>
          <t>A1</t>
        </is>
      </c>
      <c r="D38" s="40" t="inlineStr">
        <is>
          <t>Phiên bản mới thiếu ngoại vi bản cũ có</t>
        </is>
      </c>
      <c r="E38" s="40" t="inlineStr">
        <is>
          <t>Cảnh báo mạnh; đề nghị giữ hoặc dùng overlay</t>
        </is>
      </c>
    </row>
    <row r="39" ht="23.25" customHeight="1" s="29">
      <c r="A39" s="40" t="inlineStr">
        <is>
          <t>UC-B14</t>
        </is>
      </c>
      <c r="B39" s="40" t="inlineStr">
        <is>
          <t>Hỏi đáp tra cứu hộ chiếu (ngôn ngữ tự nhiên có trích dẫn)</t>
        </is>
      </c>
      <c r="C39" s="40" t="inlineStr">
        <is>
          <t>A1</t>
        </is>
      </c>
      <c r="D39" s="40" t="inlineStr">
        <is>
          <t>Không có fact</t>
        </is>
      </c>
      <c r="E39" s="40" t="inlineStr">
        <is>
          <t>Trả lời 'không có trong hộ chiếu' và đề nghị UC-B07; không suy đoán giá trị</t>
        </is>
      </c>
    </row>
    <row r="40" ht="23.25" customHeight="1" s="29">
      <c r="A40" s="40" t="inlineStr">
        <is>
          <t>UC-D02</t>
        </is>
      </c>
      <c r="B40" s="40" t="inlineStr">
        <is>
          <t>Lập kế hoạch có trích dẫn và duyệt G1</t>
        </is>
      </c>
      <c r="C40" s="40" t="inlineStr">
        <is>
          <t>A1</t>
        </is>
      </c>
      <c r="D40" s="40" t="inlineStr">
        <is>
          <t>Validator thất bại 2 lần</t>
        </is>
      </c>
      <c r="E40" s="40" t="inlineStr">
        <is>
          <t>Bàn giao người kèm lý do; không tự lặp thêm</t>
        </is>
      </c>
    </row>
    <row r="41" ht="23.25" customHeight="1" s="29">
      <c r="A41" s="40" t="inlineStr">
        <is>
          <t>UC-D03</t>
        </is>
      </c>
      <c r="B41" s="40" t="inlineStr">
        <is>
          <t>Sinh mã với hằng số có nguồn (constant-guard)</t>
        </is>
      </c>
      <c r="C41" s="40" t="inlineStr">
        <is>
          <t>A1</t>
        </is>
      </c>
      <c r="D41" s="40" t="inlineStr">
        <is>
          <t>Constant-guard chặn hằng số không nguồn</t>
        </is>
      </c>
      <c r="E41" s="40" t="inlineStr">
        <is>
          <t>Tạo AcquisitionRequest (UC-B07) và tạm dừng bước; không được 'bịa' fact</t>
        </is>
      </c>
    </row>
    <row r="42" ht="23.25" customHeight="1" s="29">
      <c r="A42" s="40" t="inlineStr">
        <is>
          <t>UC-D03</t>
        </is>
      </c>
      <c r="B42" s="40" t="inlineStr">
        <is>
          <t>Sinh mã với hằng số có nguồn (constant-guard)</t>
        </is>
      </c>
      <c r="C42" s="40" t="inlineStr">
        <is>
          <t>A2</t>
        </is>
      </c>
      <c r="D42" s="40" t="inlineStr">
        <is>
          <t>Quá 3 vòng</t>
        </is>
      </c>
      <c r="E42" s="40" t="inlineStr">
        <is>
          <t>Bàn giao người kèm toàn bộ log; Feature giữ failing</t>
        </is>
      </c>
    </row>
    <row r="43" ht="23.25" customHeight="1" s="29">
      <c r="A43" s="40" t="inlineStr">
        <is>
          <t>UC-D03</t>
        </is>
      </c>
      <c r="B43" s="40" t="inlineStr">
        <is>
          <t>Sinh mã với hằng số có nguồn (constant-guard)</t>
        </is>
      </c>
      <c r="C43" s="40" t="inlineStr">
        <is>
          <t>A3</t>
        </is>
      </c>
      <c r="D43" s="40" t="inlineStr">
        <is>
          <t>Ngân sách token/ngày vượt</t>
        </is>
      </c>
      <c r="E43" s="40" t="inlineStr">
        <is>
          <t>Dừng; mở gate hỏi tăng ngân sách (UC-H03)</t>
        </is>
      </c>
    </row>
    <row r="44" ht="23.25" customHeight="1" s="29">
      <c r="A44" s="40" t="inlineStr">
        <is>
          <t>UC-D04</t>
        </is>
      </c>
      <c r="B44" s="40" t="inlineStr">
        <is>
          <t>Review khác hãng và duyệt merge (G3)</t>
        </is>
      </c>
      <c r="C44" s="40" t="inlineStr">
        <is>
          <t>A1</t>
        </is>
      </c>
      <c r="D44" s="40" t="inlineStr">
        <is>
          <t>Chỉ có một hãng</t>
        </is>
      </c>
      <c r="E44" s="40" t="inlineStr">
        <is>
          <t>Vẫn review nhưng nhãn 'cùng hãng' hiển thị ở G3</t>
        </is>
      </c>
    </row>
    <row r="45" ht="23.25" customHeight="1" s="29">
      <c r="A45" s="40" t="inlineStr">
        <is>
          <t>UC-E01</t>
        </is>
      </c>
      <c r="B45" s="40" t="inlineStr">
        <is>
          <t>Tác tử dựng môi trường mô phỏng cho chip/mạch (SIL)</t>
        </is>
      </c>
      <c r="C45" s="40" t="inlineStr">
        <is>
          <t>A1</t>
        </is>
      </c>
      <c r="D45" s="40" t="inlineStr">
        <is>
          <t>Chip không có trong Renode/QEMU</t>
        </is>
      </c>
      <c r="E45" s="40" t="inlineStr">
        <is>
          <t>Mô phỏng tự xây theo mô hình EAA (MIL/SIL với HAL giả lập bằng ctypes); mức tin cậy ghi rõ</t>
        </is>
      </c>
    </row>
    <row r="46" ht="23.25" customHeight="1" s="29">
      <c r="A46" s="40" t="inlineStr">
        <is>
          <t>UC-E01</t>
        </is>
      </c>
      <c r="B46" s="40" t="inlineStr">
        <is>
          <t>Tác tử dựng môi trường mô phỏng cho chip/mạch (SIL)</t>
        </is>
      </c>
      <c r="C46" s="40" t="inlineStr">
        <is>
          <t>A2</t>
        </is>
      </c>
      <c r="D46" s="40" t="inlineStr">
        <is>
          <t>Renode chưa cài</t>
        </is>
      </c>
      <c r="E46" s="40" t="inlineStr">
        <is>
          <t>UC-A03 (cài có hỏi)</t>
        </is>
      </c>
    </row>
    <row r="47" ht="23.25" customHeight="1" s="29">
      <c r="A47" s="40" t="inlineStr">
        <is>
          <t>UC-E01</t>
        </is>
      </c>
      <c r="B47" s="40" t="inlineStr">
        <is>
          <t>Tác tử dựng môi trường mô phỏng cho chip/mạch (SIL)</t>
        </is>
      </c>
      <c r="C47" s="40" t="inlineStr">
        <is>
          <t>A3</t>
        </is>
      </c>
      <c r="D47" s="40" t="inlineStr">
        <is>
          <t>Firmware 'hello' không chạy trên mô phỏng</t>
        </is>
      </c>
      <c r="E47" s="40" t="inlineStr">
        <is>
          <t>DebugSession; phổ biến nhất là địa chỉ ngoại vi/IRQ sai → kiểm lại fact hoặc lỗi .repl</t>
        </is>
      </c>
    </row>
    <row r="48" ht="23.25" customHeight="1" s="29">
      <c r="A48" s="40" t="inlineStr">
        <is>
          <t>UC-F01</t>
        </is>
      </c>
      <c r="B48" s="40" t="inlineStr">
        <is>
          <t>Cấp quyền thao tác nguy hiểm (G-OPS)</t>
        </is>
      </c>
      <c r="C48" s="40" t="inlineStr">
        <is>
          <t>A1</t>
        </is>
      </c>
      <c r="D48" s="40" t="inlineStr">
        <is>
          <t>Người vắng mặt</t>
        </is>
      </c>
      <c r="E48" s="40" t="inlineStr">
        <is>
          <t>Thao tác chờ; tác tử tiếp tục việc khác không cần quyền</t>
        </is>
      </c>
    </row>
    <row r="49" ht="15" customHeight="1" s="29">
      <c r="A49" s="40" t="inlineStr">
        <is>
          <t>UC-F02</t>
        </is>
      </c>
      <c r="B49" s="40" t="inlineStr">
        <is>
          <t>Nạp firmware và xác minh</t>
        </is>
      </c>
      <c r="C49" s="40" t="inlineStr">
        <is>
          <t>A1</t>
        </is>
      </c>
      <c r="D49" s="40" t="inlineStr">
        <is>
          <t>Verify thất bại</t>
        </is>
      </c>
      <c r="E49" s="40" t="inlineStr">
        <is>
          <t>Không đánh dấu nạp thành công; DebugSession</t>
        </is>
      </c>
    </row>
    <row r="50" ht="15" customHeight="1" s="29">
      <c r="A50" s="40" t="inlineStr">
        <is>
          <t>UC-F05</t>
        </is>
      </c>
      <c r="B50" s="40" t="inlineStr">
        <is>
          <t>Gỡ lỗi mức probe và gói chứng cứ</t>
        </is>
      </c>
      <c r="C50" s="40" t="inlineStr">
        <is>
          <t>A1</t>
        </is>
      </c>
      <c r="D50" s="40" t="inlineStr">
        <is>
          <t>Không có probe (AVR/PIC)</t>
        </is>
      </c>
      <c r="E50" s="40" t="inlineStr">
        <is>
          <t>Sinh firmware kiểm tra + serial + đo tín hiệu</t>
        </is>
      </c>
    </row>
    <row r="51" ht="23.25" customHeight="1" s="29">
      <c r="A51" s="40" t="inlineStr">
        <is>
          <t>UC-G02</t>
        </is>
      </c>
      <c r="B51" s="40" t="inlineStr">
        <is>
          <t>Đóng gói và phát hành hộ chiếu/skill (.hkp) — G5</t>
        </is>
      </c>
      <c r="C51" s="40" t="inlineStr">
        <is>
          <t>A1</t>
        </is>
      </c>
      <c r="D51" s="40" t="inlineStr">
        <is>
          <t>Thiếu license ở Source</t>
        </is>
      </c>
      <c r="E51" s="40" t="inlineStr">
        <is>
          <t>Từ chối đóng gói cho tới khi bổ sung</t>
        </is>
      </c>
    </row>
    <row r="52" ht="23.25" customHeight="1" s="29">
      <c r="A52" s="40" t="inlineStr">
        <is>
          <t>UC-A01</t>
        </is>
      </c>
      <c r="B52" s="40" t="inlineStr">
        <is>
          <t>Tạo dự án mới</t>
        </is>
      </c>
      <c r="C52" s="40" t="inlineStr">
        <is>
          <t>A3</t>
        </is>
      </c>
      <c r="D52" s="40" t="inlineStr">
        <is>
          <t>Đã có dự án tên gần giống hoặc trùng (grounding D1)</t>
        </is>
      </c>
      <c r="E52" s="40" t="inlineStr">
        <is>
          <t>Không tạo; nói rõ đã có gì (ngày, số feature passing, board); hỏi MỘT câu: tiếp tục (mặc định) / nhân bản / tạo mới; ghi đè chỉ khi người gõ đúng cụm 'xóa &lt;tên&gt;' (R4)</t>
        </is>
      </c>
    </row>
    <row r="53" ht="23.25" customHeight="1" s="29">
      <c r="A53" s="40" t="inlineStr">
        <is>
          <t>UC-A01</t>
        </is>
      </c>
      <c r="B53" s="40" t="inlineStr">
        <is>
          <t>Tạo dự án mới</t>
        </is>
      </c>
      <c r="C53" s="40" t="inlineStr">
        <is>
          <t>A4</t>
        </is>
      </c>
      <c r="D53" s="40" t="inlineStr">
        <is>
          <t>Đầu vào chỉ có ý tưởng (không board, không tài liệu)</t>
        </is>
      </c>
      <c r="E53" s="40" t="inlineStr">
        <is>
          <t>Tạo khung dự án ngay; tra registry mẫu tham chiếu; đề xuất BOM có nguồn; hỏi một câu gộp 'dùng mẫu tham chiếu để mô phỏng trước hay anh gửi tài liệu'; mặc định = mẫu tham chiếu (Z-01, Z-03)</t>
        </is>
      </c>
    </row>
    <row r="54" ht="23.25" customHeight="1" s="29">
      <c r="A54" s="40" t="inlineStr">
        <is>
          <t>UC-A01</t>
        </is>
      </c>
      <c r="B54" s="40" t="inlineStr">
        <is>
          <t>Tạo dự án mới</t>
        </is>
      </c>
      <c r="C54" s="40" t="inlineStr">
        <is>
          <t>A5</t>
        </is>
      </c>
      <c r="D54" s="40" t="inlineStr">
        <is>
          <t>Registry có mẫu tham chiếu đã kiểm định cho ý tưởng này</t>
        </is>
      </c>
      <c r="E54" s="40" t="inlineStr">
        <is>
          <t>Khởi tạo từ mẫu (hộ chiếu, skill, kịch bản mô phỏng, firmware mẫu); báo khác biệt nếu người nêu linh kiện khác</t>
        </is>
      </c>
    </row>
    <row r="55">
      <c r="A55" s="42" t="inlineStr">
        <is>
          <t>UC-I01</t>
        </is>
      </c>
      <c r="B55" s="42" t="inlineStr">
        <is>
          <t>Phân tích yêu cầu từ lệnh/tài liệu và sinh ReqSet</t>
        </is>
      </c>
      <c r="C55" s="42" t="inlineStr">
        <is>
          <t>A1</t>
        </is>
      </c>
      <c r="D55" s="42" t="inlineStr">
        <is>
          <t>Không có README/tài liệu</t>
        </is>
      </c>
      <c r="E55" s="42" t="inlineStr">
        <is>
          <t>Chỉ từ lệnh + mẫu tham chiếu K5′; ghi nguồn 'template'</t>
        </is>
      </c>
    </row>
    <row r="56">
      <c r="A56" s="43" t="inlineStr">
        <is>
          <t>UC-I01</t>
        </is>
      </c>
      <c r="B56" s="43" t="inlineStr">
        <is>
          <t>Phân tích yêu cầu từ lệnh/tài liệu và sinh ReqSet</t>
        </is>
      </c>
      <c r="C56" s="43" t="inlineStr">
        <is>
          <t>A2</t>
        </is>
      </c>
      <c r="D56" s="43" t="inlineStr">
        <is>
          <t>Yêu cầu không khả thi</t>
        </is>
      </c>
      <c r="E56" s="43" t="inlineStr">
        <is>
          <t>Đề xuất thay thế (chip khác trong registry hoặc giảm ngưỡng) — ASK</t>
        </is>
      </c>
    </row>
    <row r="57">
      <c r="A57" s="42" t="inlineStr">
        <is>
          <t>UC-I02</t>
        </is>
      </c>
      <c r="B57" s="42" t="inlineStr">
        <is>
          <t>Thiết kế kiến trúc firmware, HwMap, ngân sách, ADR</t>
        </is>
      </c>
      <c r="C57" s="42" t="inlineStr">
        <is>
          <t>A1</t>
        </is>
      </c>
      <c r="D57" s="42" t="inlineStr">
        <is>
          <t>Xung đột chân không tự giải</t>
        </is>
      </c>
      <c r="E57" s="42" t="inlineStr">
        <is>
          <t>board.propose_fix → ASK phương án chạm mã passing</t>
        </is>
      </c>
    </row>
    <row r="58">
      <c r="A58" s="43" t="inlineStr">
        <is>
          <t>UC-I02</t>
        </is>
      </c>
      <c r="B58" s="43" t="inlineStr">
        <is>
          <t>Thiết kế kiến trúc firmware, HwMap, ngân sách, ADR</t>
        </is>
      </c>
      <c r="C58" s="43" t="inlineStr">
        <is>
          <t>A2</t>
        </is>
      </c>
      <c r="D58" s="43" t="inlineStr">
        <is>
          <t>Không schedulable</t>
        </is>
      </c>
      <c r="E58" s="43" t="inlineStr">
        <is>
          <t>Đề xuất giảm tần số/tách task; ASK</t>
        </is>
      </c>
    </row>
    <row r="59">
      <c r="A59" s="42" t="inlineStr">
        <is>
          <t>UC-I03</t>
        </is>
      </c>
      <c r="B59" s="42" t="inlineStr">
        <is>
          <t>Vẽ lược đồ từ mô hình và đồng bộ với mã</t>
        </is>
      </c>
      <c r="C59" s="42" t="inlineStr">
        <is>
          <t>A1</t>
        </is>
      </c>
      <c r="D59" s="42" t="inlineStr">
        <is>
          <t>Thiếu renderer</t>
        </is>
      </c>
      <c r="E59" s="42" t="inlineStr">
        <is>
          <t>env.install từ danh sách tin cậy; GEditor render trực tiếp nếu có</t>
        </is>
      </c>
    </row>
    <row r="60">
      <c r="A60" s="43" t="inlineStr">
        <is>
          <t>UC-I03</t>
        </is>
      </c>
      <c r="B60" s="43" t="inlineStr">
        <is>
          <t>Vẽ lược đồ từ mô hình và đồng bộ với mã</t>
        </is>
      </c>
      <c r="C60" s="43" t="inlineStr">
        <is>
          <t>A2</t>
        </is>
      </c>
      <c r="D60" s="43" t="inlineStr">
        <is>
          <t>Ảnh sơ đồ vẽ tay</t>
        </is>
      </c>
      <c r="E60" s="43" t="inlineStr">
        <is>
          <t>diagram.from_image → mã; confidence thấp → chờ duyệt</t>
        </is>
      </c>
    </row>
    <row r="61">
      <c r="A61" s="42" t="inlineStr">
        <is>
          <t>UC-I04</t>
        </is>
      </c>
      <c r="B61" s="42" t="inlineStr">
        <is>
          <t>Sinh tài liệu chuẩn EAA/EIDE và kiểm style</t>
        </is>
      </c>
      <c r="C61" s="42" t="inlineStr">
        <is>
          <t>A1</t>
        </is>
      </c>
      <c r="D61" s="42" t="inlineStr">
        <is>
          <t>Thiếu tri thức cho một mục</t>
        </is>
      </c>
      <c r="E61" s="42" t="inlineStr">
        <is>
          <t>Mục ghi 'chưa xác định' + kg.request; không bịa</t>
        </is>
      </c>
    </row>
    <row r="62">
      <c r="A62" s="43" t="inlineStr">
        <is>
          <t>UC-I04</t>
        </is>
      </c>
      <c r="B62" s="43" t="inlineStr">
        <is>
          <t>Sinh tài liệu chuẩn EAA/EIDE và kiểm style</t>
        </is>
      </c>
      <c r="C62" s="43" t="inlineStr">
        <is>
          <t>A2</t>
        </is>
      </c>
      <c r="D62" s="43" t="inlineStr">
        <is>
          <t>Yêu cầu bản tiếng Anh</t>
        </is>
      </c>
      <c r="E62" s="43" t="inlineStr">
        <is>
          <t>doc.translate giữ số hình/bảng</t>
        </is>
      </c>
    </row>
    <row r="63">
      <c r="A63" s="42" t="inlineStr">
        <is>
          <t>UC-I05</t>
        </is>
      </c>
      <c r="B63" s="42" t="inlineStr">
        <is>
          <t>Đổi yêu cầu → tác động → cập nhật tài liệu/lược đồ</t>
        </is>
      </c>
      <c r="C63" s="42" t="inlineStr">
        <is>
          <t>A1</t>
        </is>
      </c>
      <c r="D63" s="42" t="inlineStr">
        <is>
          <t>Tác động ≥ 3 module</t>
        </is>
      </c>
      <c r="E63" s="42" t="inlineStr">
        <is>
          <t>ASK toàn bộ; đề xuất kế hoạch cập nhật</t>
        </is>
      </c>
    </row>
    <row r="64">
      <c r="A64" s="43" t="inlineStr">
        <is>
          <t>UC-J01</t>
        </is>
      </c>
      <c r="B64" s="43" t="inlineStr">
        <is>
          <t>Xem bản đồ tri thức, nguồn gốc, độ phủ, tác động</t>
        </is>
      </c>
      <c r="C64" s="43" t="inlineStr">
        <is>
          <t>A1</t>
        </is>
      </c>
      <c r="D64" s="43" t="inlineStr">
        <is>
          <t>KG &gt; 50.000 nút</t>
        </is>
      </c>
      <c r="E64" s="43" t="inlineStr">
        <is>
          <t>Gom cụm theo ngoại vi; lọc mặc định lân cận dự án</t>
        </is>
      </c>
    </row>
    <row r="65">
      <c r="A65" s="42" t="inlineStr">
        <is>
          <t>UC-J02</t>
        </is>
      </c>
      <c r="B65" s="42" t="inlineStr">
        <is>
          <t>Hỏi–đáp RAG có trích dẫn và trace</t>
        </is>
      </c>
      <c r="C65" s="42" t="inlineStr">
        <is>
          <t>A1</t>
        </is>
      </c>
      <c r="D65" s="42" t="inlineStr">
        <is>
          <t>Câu hỏi ngoài kho</t>
        </is>
      </c>
      <c r="E65" s="42" t="inlineStr">
        <is>
          <t>'Không tìm thấy trong tài liệu dự án' + đề xuất search.web/kg.request</t>
        </is>
      </c>
    </row>
    <row r="66">
      <c r="A66" s="43" t="inlineStr">
        <is>
          <t>UC-J02</t>
        </is>
      </c>
      <c r="B66" s="43" t="inlineStr">
        <is>
          <t>Hỏi–đáp RAG có trích dẫn và trace</t>
        </is>
      </c>
      <c r="C66" s="43" t="inlineStr">
        <is>
          <t>A2</t>
        </is>
      </c>
      <c r="D66" s="43" t="inlineStr">
        <is>
          <t>Nguồn mâu thuẫn</t>
        </is>
      </c>
      <c r="E66" s="43" t="inlineStr">
        <is>
          <t>rag_compare chỉ khác biệt; không tự chọn</t>
        </is>
      </c>
    </row>
    <row r="67">
      <c r="A67" s="42" t="inlineStr">
        <is>
          <t>UC-J03</t>
        </is>
      </c>
      <c r="B67" s="42" t="inlineStr">
        <is>
          <t>Dò board/probe/ID chip và tự cấu hình target</t>
        </is>
      </c>
      <c r="C67" s="42" t="inlineStr">
        <is>
          <t>A1</t>
        </is>
      </c>
      <c r="D67" s="42" t="inlineStr">
        <is>
          <t>ID không khớp hộ chiếu</t>
        </is>
      </c>
      <c r="E67" s="42" t="inlineStr">
        <is>
          <t>E4003; không nạp; đề xuất project.set_target đúng part hoặc kiểm board</t>
        </is>
      </c>
    </row>
    <row r="68">
      <c r="A68" s="43" t="inlineStr">
        <is>
          <t>UC-J03</t>
        </is>
      </c>
      <c r="B68" s="43" t="inlineStr">
        <is>
          <t>Dò board/probe/ID chip và tự cấu hình target</t>
        </is>
      </c>
      <c r="C68" s="43" t="inlineStr">
        <is>
          <t>A2</t>
        </is>
      </c>
      <c r="D68" s="43" t="inlineStr">
        <is>
          <t>Không có probe, chỉ serial</t>
        </is>
      </c>
      <c r="E68" s="43" t="inlineStr">
        <is>
          <t>Chế độ bootloader (DFU/arduino/esptool) nếu firmware hỗ trợ</t>
        </is>
      </c>
    </row>
    <row r="69">
      <c r="A69" s="42" t="inlineStr">
        <is>
          <t>UC-J03</t>
        </is>
      </c>
      <c r="B69" s="42" t="inlineStr">
        <is>
          <t>Dò board/probe/ID chip và tự cấu hình target</t>
        </is>
      </c>
      <c r="C69" s="42" t="inlineStr">
        <is>
          <t>A3</t>
        </is>
      </c>
      <c r="D69" s="42" t="inlineStr">
        <is>
          <t>VDD ngoài dải</t>
        </is>
      </c>
      <c r="E69" s="42" t="inlineStr">
        <is>
          <t>Chặn nạp; cảnh báo</t>
        </is>
      </c>
    </row>
    <row r="70">
      <c r="A70" s="43" t="inlineStr">
        <is>
          <t>UC-J04</t>
        </is>
      </c>
      <c r="B70" s="43" t="inlineStr">
        <is>
          <t>Dò tốc độ kết nối tối ưu</t>
        </is>
      </c>
      <c r="C70" s="43" t="inlineStr">
        <is>
          <t>A1</t>
        </is>
      </c>
      <c r="D70" s="43" t="inlineStr">
        <is>
          <t>Mọi nấc đều lỗi</t>
        </is>
      </c>
      <c r="E70" s="43" t="inlineStr">
        <is>
          <t>Giữ mặc định; cảnh báo dây/nguồn; đề xuất discover.clock_measure</t>
        </is>
      </c>
    </row>
    <row r="71">
      <c r="A71" s="42" t="inlineStr">
        <is>
          <t>UC-J05</t>
        </is>
      </c>
      <c r="B71" s="42" t="inlineStr">
        <is>
          <t>Nhận diện board từ ID + quét bus + ảnh</t>
        </is>
      </c>
      <c r="C71" s="42" t="inlineStr">
        <is>
          <t>A1</t>
        </is>
      </c>
      <c r="D71" s="42" t="inlineStr">
        <is>
          <t>Không ứng viên</t>
        </is>
      </c>
      <c r="E71" s="42" t="inlineStr">
        <is>
          <t>Tạo BoardPassport tạm từ chip + bus scan (bạc) và hỏi schematic</t>
        </is>
      </c>
    </row>
    <row r="72">
      <c r="A72" s="43" t="inlineStr">
        <is>
          <t>UC-K01</t>
        </is>
      </c>
      <c r="B72" s="43" t="inlineStr">
        <is>
          <t>Tác tử tự viết công cụ khi thiếu năng lực</t>
        </is>
      </c>
      <c r="C72" s="43" t="inlineStr">
        <is>
          <t>A1</t>
        </is>
      </c>
      <c r="D72" s="43" t="inlineStr">
        <is>
          <t>Hiệu ứng thực tế vượt khai báo</t>
        </is>
      </c>
      <c r="E72" s="43" t="inlineStr">
        <is>
          <t>TOOL-03 REJECT; tool.deprecate tạm; error_ledger; leo thang</t>
        </is>
      </c>
    </row>
    <row r="73">
      <c r="A73" s="42" t="inlineStr">
        <is>
          <t>UC-K01</t>
        </is>
      </c>
      <c r="B73" s="42" t="inlineStr">
        <is>
          <t>Tác tử tự viết công cụ khi thiếu năng lực</t>
        </is>
      </c>
      <c r="C73" s="42" t="inlineStr">
        <is>
          <t>A2</t>
        </is>
      </c>
      <c r="D73" s="42" t="inlineStr">
        <is>
          <t>Công cụ cần thư viện ngoài danh sách deps cho phép</t>
        </is>
      </c>
      <c r="E73" s="42" t="inlineStr">
        <is>
          <t>ASK cài (env.install) — gói lạ → người</t>
        </is>
      </c>
    </row>
    <row r="74">
      <c r="A74" s="43" t="inlineStr">
        <is>
          <t>UC-K01</t>
        </is>
      </c>
      <c r="B74" s="43" t="inlineStr">
        <is>
          <t>Tác tử tự viết công cụ khi thiếu năng lực</t>
        </is>
      </c>
      <c r="C74" s="43" t="inlineStr">
        <is>
          <t>A3</t>
        </is>
      </c>
      <c r="D74" s="43" t="inlineStr">
        <is>
          <t>Đã có năng lực khớp ≥ 0,8</t>
        </is>
      </c>
      <c r="E74" s="43" t="inlineStr">
        <is>
          <t>Không viết mới; dùng năng lực có sẵn và báo lý do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6.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8" min="1" max="1"/>
    <col width="70" customWidth="1" style="28" min="2" max="2"/>
    <col width="30" customWidth="1" style="28" min="3" max="3"/>
    <col width="22" customWidth="1" style="28" min="4" max="4"/>
    <col width="18" customWidth="1" style="28" min="5" max="5"/>
    <col width="44" customWidth="1" style="28" min="6" max="6"/>
  </cols>
  <sheetData>
    <row r="1" ht="30" customHeight="1" s="29">
      <c r="A1" s="41" t="inlineStr">
        <is>
          <t>Bước</t>
        </is>
      </c>
      <c r="B1" s="41" t="inlineStr">
        <is>
          <t>Việc xảy ra (kịch bản: board mới, zip hỗn hợp, thiếu thông tin, mô phỏng trước khi có board)</t>
        </is>
      </c>
      <c r="C1" s="41" t="inlineStr">
        <is>
          <t>Use case</t>
        </is>
      </c>
      <c r="D1" s="41" t="inlineStr">
        <is>
          <t>Ai</t>
        </is>
      </c>
      <c r="E1" s="41" t="inlineStr">
        <is>
          <t>Cổng người</t>
        </is>
      </c>
      <c r="F1" s="41" t="inlineStr">
        <is>
          <t>Kết quả / tri thức sinh ra</t>
        </is>
      </c>
    </row>
    <row r="2" ht="15" customHeight="1" s="29">
      <c r="A2" s="40" t="inlineStr">
        <is>
          <t>1</t>
        </is>
      </c>
      <c r="B2" s="40" t="inlineStr">
        <is>
          <t>Tạo dự án 'robot-ctrl', chưa biết chip</t>
        </is>
      </c>
      <c r="C2" s="40" t="inlineStr">
        <is>
          <t>UC-A01, UC-A02 (bỏ trống chip)</t>
        </is>
      </c>
      <c r="D2" s="40" t="inlineStr">
        <is>
          <t>Kỹ sư</t>
        </is>
      </c>
      <c r="E2" s="40" t="inlineStr">
        <is>
          <t>—</t>
        </is>
      </c>
      <c r="F2" s="40" t="inlineStr">
        <is>
          <t>.hkw/ tạo; trạng thái 'chưa biết chip'</t>
        </is>
      </c>
    </row>
    <row r="3" ht="23.25" customHeight="1" s="29">
      <c r="A3" s="40" t="inlineStr">
        <is>
          <t>2</t>
        </is>
      </c>
      <c r="B3" s="40" t="inlineStr">
        <is>
          <t>Kéo thả robot-kit.zip (schematic PDF + KiCad, ảnh board, datasheet BME280/MPU6050, README, vài tệp linh tinh)</t>
        </is>
      </c>
      <c r="C3" s="40" t="inlineStr">
        <is>
          <t>UC-B01</t>
        </is>
      </c>
      <c r="D3" s="40" t="inlineStr">
        <is>
          <t>Kỹ sư, Librarian</t>
        </is>
      </c>
      <c r="E3" s="40" t="inlineStr">
        <is>
          <t>—</t>
        </is>
      </c>
      <c r="F3" s="40" t="inlineStr">
        <is>
          <t>Bảng phân loại: 1 KiCad (vàng-cấu trúc), 2 PDF (bạc), 3 ảnh (bạc), 4 tệp bỏ qua</t>
        </is>
      </c>
    </row>
    <row r="4" ht="23.25" customHeight="1" s="29">
      <c r="A4" s="40" t="inlineStr">
        <is>
          <t>3</t>
        </is>
      </c>
      <c r="B4" s="40" t="inlineStr">
        <is>
          <t>Librarian suy ra MCU STM32F411CE và các linh kiện từ KiCad + PDF; người xác nhận</t>
        </is>
      </c>
      <c r="C4" s="40" t="inlineStr">
        <is>
          <t>UC-B02</t>
        </is>
      </c>
      <c r="D4" s="40" t="inlineStr">
        <is>
          <t>Librarian, Kỹ sư</t>
        </is>
      </c>
      <c r="E4" s="40" t="inlineStr">
        <is>
          <t>G-FACT</t>
        </is>
      </c>
      <c r="F4" s="40" t="inlineStr">
        <is>
          <t>Danh sách linh kiện đã xác nhận; yêu cầu hộ chiếu cho STM32F411, BME280, MPU6050, A4988</t>
        </is>
      </c>
    </row>
    <row r="5" ht="23.25" customHeight="1" s="29">
      <c r="A5" s="40" t="inlineStr">
        <is>
          <t>4</t>
        </is>
      </c>
      <c r="B5" s="40" t="inlineStr">
        <is>
          <t>Pull hộ chiếu lõi STM32F411 từ registry/seed (SVD chính hãng); ghim phiên bản</t>
        </is>
      </c>
      <c r="C5" s="40" t="inlineStr">
        <is>
          <t>UC-G03, UC-B03</t>
        </is>
      </c>
      <c r="D5" s="40" t="inlineStr">
        <is>
          <t>Knowledge Plane</t>
        </is>
      </c>
      <c r="E5" s="40" t="inlineStr">
        <is>
          <t>G-SRC (chọn phiên bản)</t>
        </is>
      </c>
      <c r="F5" s="40" t="inlineStr">
        <is>
          <t>13.439 fact vàng; pin st.stm32f411@1.1.0; ISA armv7e-m</t>
        </is>
      </c>
    </row>
    <row r="6" ht="15" customHeight="1" s="29">
      <c r="A6" s="40" t="inlineStr">
        <is>
          <t>5</t>
        </is>
      </c>
      <c r="B6" s="40" t="inlineStr">
        <is>
          <t>Dựng BoardPassport từ KiCad; phát hiện xung đột PB3</t>
        </is>
      </c>
      <c r="C6" s="40" t="inlineStr">
        <is>
          <t>UC-B06, UC-C01</t>
        </is>
      </c>
      <c r="D6" s="40" t="inlineStr">
        <is>
          <t>Cartographer, Kỹ sư</t>
        </is>
      </c>
      <c r="E6" s="40" t="inlineStr">
        <is>
          <t>G-FACT</t>
        </is>
      </c>
      <c r="F6" s="40" t="inlineStr">
        <is>
          <t>31 net; 1 xung đột được người chọn phương án</t>
        </is>
      </c>
    </row>
    <row r="7" ht="15" customHeight="1" s="29">
      <c r="A7" s="40" t="inlineStr">
        <is>
          <t>6</t>
        </is>
      </c>
      <c r="B7" s="40" t="inlineStr">
        <is>
          <t>Trích xuất 2 PDF cảm biến; duyệt theo nhóm với ảnh cắt</t>
        </is>
      </c>
      <c r="C7" s="40" t="inlineStr">
        <is>
          <t>UC-B04, UC-B10</t>
        </is>
      </c>
      <c r="D7" s="40" t="inlineStr">
        <is>
          <t>Librarian, Kỹ sư</t>
        </is>
      </c>
      <c r="E7" s="40" t="inlineStr">
        <is>
          <t>G-FACT</t>
        </is>
      </c>
      <c r="F7" s="40" t="inlineStr">
        <is>
          <t>58 fact bạc reviewed cho BME280; 44 cho MPU6050</t>
        </is>
      </c>
    </row>
    <row r="8" ht="23.25" customHeight="1" s="29">
      <c r="A8" s="40" t="inlineStr">
        <is>
          <t>7</t>
        </is>
      </c>
      <c r="B8" s="40" t="inlineStr">
        <is>
          <t>Thiếu: datasheet A4988 và công thức bù nhiệt tr.25 → yêu cầu; Librarian tìm registry → hãng → web; người chọn nguồn; tải; trích; duyệt</t>
        </is>
      </c>
      <c r="C8" s="40" t="inlineStr">
        <is>
          <t>UC-B07, UC-B08, UC-B09, UC-B04, UC-B10</t>
        </is>
      </c>
      <c r="D8" s="40" t="inlineStr">
        <is>
          <t>Librarian, Kỹ sư</t>
        </is>
      </c>
      <c r="E8" s="40" t="inlineStr">
        <is>
          <t>G-SRC, G-FACT</t>
        </is>
      </c>
      <c r="F8" s="40" t="inlineStr">
        <is>
          <t>Nguồn A4988 (Allegro) tầng bạc; 12 fact reviewed; yêu cầu đóng</t>
        </is>
      </c>
    </row>
    <row r="9" ht="15" customHeight="1" s="29">
      <c r="A9" s="40" t="inlineStr">
        <is>
          <t>8</t>
        </is>
      </c>
      <c r="B9" s="40" t="inlineStr">
        <is>
          <t>eide doctor: phát hiện thiếu Renode và probe-rs; người duyệt cài; khóa phiên bản</t>
        </is>
      </c>
      <c r="C9" s="40" t="inlineStr">
        <is>
          <t>UC-A03</t>
        </is>
      </c>
      <c r="D9" s="40" t="inlineStr">
        <is>
          <t>Kỹ sư, Tool Layer</t>
        </is>
      </c>
      <c r="E9" s="40" t="inlineStr">
        <is>
          <t>G-OPS</t>
        </is>
      </c>
      <c r="F9" s="40" t="inlineStr">
        <is>
          <t>tools.lock</t>
        </is>
      </c>
    </row>
    <row r="10" ht="23.25" customHeight="1" s="29">
      <c r="A10" s="40" t="inlineStr">
        <is>
          <t>9</t>
        </is>
      </c>
      <c r="B10" s="40" t="inlineStr">
        <is>
          <t>Cấu hình mô hình: coder gemini-flash, reviewer claude-sonnet; ngân sách 5 USD; chưa bật offline</t>
        </is>
      </c>
      <c r="C10" s="40" t="inlineStr">
        <is>
          <t>UC-A04</t>
        </is>
      </c>
      <c r="D10" s="40" t="inlineStr">
        <is>
          <t>Kỹ sư</t>
        </is>
      </c>
      <c r="E10" s="40" t="inlineStr">
        <is>
          <t>—</t>
        </is>
      </c>
      <c r="F10" s="40" t="inlineStr">
        <is>
          <t>models.yaml</t>
        </is>
      </c>
    </row>
    <row r="11" ht="23.25" customHeight="1" s="29">
      <c r="A11" s="40" t="inlineStr">
        <is>
          <t>10</t>
        </is>
      </c>
      <c r="B11" s="40" t="inlineStr">
        <is>
          <t>Tester dựng mô phỏng: .repl từ hộ chiếu, mock BME280/MPU6050/A4988, LED PB3, UART2 → console; firmware hello chạy</t>
        </is>
      </c>
      <c r="C11" s="40" t="inlineStr">
        <is>
          <t>UC-E01</t>
        </is>
      </c>
      <c r="D11" s="40" t="inlineStr">
        <is>
          <t>Tester, Kỹ sư</t>
        </is>
      </c>
      <c r="E11" s="40" t="inlineStr">
        <is>
          <t>G-FACT (tham số mock), G-OPS (cài)</t>
        </is>
      </c>
      <c r="F11" s="40" t="inlineStr">
        <is>
          <t>sim/ sẵn sàng; ToolReport sim đạt</t>
        </is>
      </c>
    </row>
    <row r="12" ht="15" customHeight="1" s="29">
      <c r="A12" s="40" t="inlineStr">
        <is>
          <t>11</t>
        </is>
      </c>
      <c r="B12" s="40" t="inlineStr">
        <is>
          <t>Mô hình plant robot 2 bánh với tham số người cung cấp</t>
        </is>
      </c>
      <c r="C12" s="40" t="inlineStr">
        <is>
          <t>UC-E02</t>
        </is>
      </c>
      <c r="D12" s="40" t="inlineStr">
        <is>
          <t>Tester, Kỹ sư</t>
        </is>
      </c>
      <c r="E12" s="40" t="inlineStr">
        <is>
          <t>G-FACT</t>
        </is>
      </c>
      <c r="F12" s="40" t="inlineStr">
        <is>
          <t>Mô hình đã kiểm bằng nghiệm giải tích</t>
        </is>
      </c>
    </row>
    <row r="13" ht="15" customHeight="1" s="29">
      <c r="A13" s="40" t="inlineStr">
        <is>
          <t>12</t>
        </is>
      </c>
      <c r="B13" s="40" t="inlineStr">
        <is>
          <t>Mô tả tính năng F-01…F-08; Planner lập kế hoạch có trích dẫn; duyệt G1</t>
        </is>
      </c>
      <c r="C13" s="40" t="inlineStr">
        <is>
          <t>UC-D01, UC-D02, UC-H02</t>
        </is>
      </c>
      <c r="D13" s="40" t="inlineStr">
        <is>
          <t>Kỹ sư, Planner</t>
        </is>
      </c>
      <c r="E13" s="40" t="inlineStr">
        <is>
          <t>G1</t>
        </is>
      </c>
      <c r="F13" s="40" t="inlineStr">
        <is>
          <t>FEATURES.json; kế hoạch</t>
        </is>
      </c>
    </row>
    <row r="14" ht="15" customHeight="1" s="29">
      <c r="A14" s="40" t="inlineStr">
        <is>
          <t>13</t>
        </is>
      </c>
      <c r="B14" s="40" t="inlineStr">
        <is>
          <t>Sinh mã từng Feature; constant-guard; 4 cổng; reviewer; duyệt G3</t>
        </is>
      </c>
      <c r="C14" s="40" t="inlineStr">
        <is>
          <t>UC-D03, UC-D04</t>
        </is>
      </c>
      <c r="D14" s="40" t="inlineStr">
        <is>
          <t>Coder, Reviewer, Kỹ sư</t>
        </is>
      </c>
      <c r="E14" s="40" t="inlineStr">
        <is>
          <t>G3</t>
        </is>
      </c>
      <c r="F14" s="40" t="inlineStr">
        <is>
          <t>Mã merge có fact id</t>
        </is>
      </c>
    </row>
    <row r="15" ht="15" customHeight="1" s="29">
      <c r="A15" s="40" t="inlineStr">
        <is>
          <t>14</t>
        </is>
      </c>
      <c r="B15" s="40" t="inlineStr">
        <is>
          <t>Chạy kịch bản SIL cho từng Feature; lệch → sửa</t>
        </is>
      </c>
      <c r="C15" s="40" t="inlineStr">
        <is>
          <t>UC-E03</t>
        </is>
      </c>
      <c r="D15" s="40" t="inlineStr">
        <is>
          <t>Tester</t>
        </is>
      </c>
      <c r="E15" s="40" t="inlineStr">
        <is>
          <t>—</t>
        </is>
      </c>
      <c r="F15" s="40" t="inlineStr">
        <is>
          <t>ToolReport sim; bằng chứng</t>
        </is>
      </c>
    </row>
    <row r="16" ht="23.25" customHeight="1" s="29">
      <c r="A16" s="40" t="inlineStr">
        <is>
          <t>15</t>
        </is>
      </c>
      <c r="B16" s="40" t="inlineStr">
        <is>
          <t>(Khi có board) kiểm định hộ chiếu, nạp, quan sát, G4; so sánh SIL/HIL</t>
        </is>
      </c>
      <c r="C16" s="40" t="inlineStr">
        <is>
          <t>UC-B12, UC-F01, UC-F02, UC-F03, UC-E04</t>
        </is>
      </c>
      <c r="D16" s="40" t="inlineStr">
        <is>
          <t>Kỹ sư, Tester</t>
        </is>
      </c>
      <c r="E16" s="40" t="inlineStr">
        <is>
          <t>G-OPS, G4, G-FACT</t>
        </is>
      </c>
      <c r="F16" s="40" t="inlineStr">
        <is>
          <t>Badge verified; Feature passing; cập nhật mô hình</t>
        </is>
      </c>
    </row>
    <row r="17" ht="23.25" customHeight="1" s="29">
      <c r="A17" s="40" t="inlineStr">
        <is>
          <t>16</t>
        </is>
      </c>
      <c r="B17" s="40" t="inlineStr">
        <is>
          <t>Lỗi NACK trong log 3 GB → hỏi tại dòng → probe → chứng cứ → sửa mạch/ràng buộc</t>
        </is>
      </c>
      <c r="C17" s="40" t="inlineStr">
        <is>
          <t>UC-F04, UC-F05, UC-F06, UC-D01</t>
        </is>
      </c>
      <c r="D17" s="40" t="inlineStr">
        <is>
          <t>Kỹ sư, Debugger</t>
        </is>
      </c>
      <c r="E17" s="40" t="inlineStr">
        <is>
          <t>G-OPS, G-FACT</t>
        </is>
      </c>
      <c r="F17" s="40" t="inlineStr">
        <is>
          <t>DebugSession; STEP mới</t>
        </is>
      </c>
    </row>
    <row r="18" ht="23.25" customHeight="1" s="29">
      <c r="A18" s="40" t="inlineStr">
        <is>
          <t>17</t>
        </is>
      </c>
      <c r="B18" s="40" t="inlineStr">
        <is>
          <t>Benchmark; đóng gói hộ chiếu BME280/A4988 + skill; phát hành nội bộ; xuất báo cáo và ma trận Người–AI</t>
        </is>
      </c>
      <c r="C18" s="40" t="inlineStr">
        <is>
          <t>UC-G01, UC-G02, UC-G04</t>
        </is>
      </c>
      <c r="D18" s="40" t="inlineStr">
        <is>
          <t>Pack owner, Kỹ sư</t>
        </is>
      </c>
      <c r="E18" s="40" t="inlineStr">
        <is>
          <t>G5</t>
        </is>
      </c>
      <c r="F18" s="40" t="inlineStr">
        <is>
          <t>Gói .hkp; báo cáo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7.xml><?xml version="1.0" encoding="utf-8"?>
<worksheet xmlns="http://schemas.openxmlformats.org/spreadsheetml/2006/main">
  <sheetPr filterMode="0">
    <outlinePr summaryBelow="1" summaryRight="1"/>
    <pageSetUpPr fitToPage="0"/>
  </sheetPr>
  <dimension ref="A1:I7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8" min="1" max="1"/>
    <col width="34" customWidth="1" style="28" min="2" max="2"/>
    <col width="22" customWidth="1" style="28" min="3" max="3"/>
    <col width="8" customWidth="1" style="28" min="4" max="4"/>
    <col width="7" customWidth="1" style="28" min="5" max="5"/>
    <col width="16" customWidth="1" style="28" min="6" max="6"/>
    <col width="24" customWidth="1" style="28" min="7" max="7"/>
    <col width="22" customWidth="1" style="28" min="8" max="9"/>
  </cols>
  <sheetData>
    <row r="1" ht="15" customHeight="1" s="29">
      <c r="A1" s="39" t="inlineStr">
        <is>
          <t>Mã UC</t>
        </is>
      </c>
      <c r="B1" s="39" t="inlineStr">
        <is>
          <t>Tên</t>
        </is>
      </c>
      <c r="C1" s="39" t="inlineStr">
        <is>
          <t>Nhóm</t>
        </is>
      </c>
      <c r="D1" s="39" t="inlineStr">
        <is>
          <t>Ưu tiên</t>
        </is>
      </c>
      <c r="E1" s="39" t="inlineStr">
        <is>
          <t>Mốc</t>
        </is>
      </c>
      <c r="F1" s="39" t="inlineStr">
        <is>
          <t>Cổng người</t>
        </is>
      </c>
      <c r="G1" s="39" t="inlineStr">
        <is>
          <t>FR</t>
        </is>
      </c>
      <c r="H1" s="39" t="inlineStr">
        <is>
          <t>UR</t>
        </is>
      </c>
      <c r="I1" s="39" t="inlineStr">
        <is>
          <t>Màn hình</t>
        </is>
      </c>
    </row>
    <row r="2" ht="15" customHeight="1" s="29">
      <c r="A2" s="40" t="inlineStr">
        <is>
          <t>UC-A01</t>
        </is>
      </c>
      <c r="B2" s="40" t="inlineStr">
        <is>
          <t>Tạo dự án mới</t>
        </is>
      </c>
      <c r="C2" s="40" t="inlineStr">
        <is>
          <t>A. Dự án &amp; môi trường</t>
        </is>
      </c>
      <c r="D2" s="40" t="inlineStr">
        <is>
          <t>M</t>
        </is>
      </c>
      <c r="E2" s="40" t="inlineStr">
        <is>
          <t>M0</t>
        </is>
      </c>
      <c r="F2" s="40" t="inlineStr">
        <is>
          <t>—</t>
        </is>
      </c>
      <c r="G2" s="40" t="inlineStr">
        <is>
          <t>FR-GOV-03, FR-PSP-03</t>
        </is>
      </c>
      <c r="H2" s="40" t="inlineStr">
        <is>
          <t>UR-QT-03, UR-QT-04</t>
        </is>
      </c>
      <c r="I2" s="40" t="inlineStr">
        <is>
          <t>Tổng quan</t>
        </is>
      </c>
    </row>
    <row r="3" ht="23.25" customHeight="1" s="29">
      <c r="A3" s="40" t="inlineStr">
        <is>
          <t>UC-A02</t>
        </is>
      </c>
      <c r="B3" s="40" t="inlineStr">
        <is>
          <t>Khai báo hoặc suy ra chip / ISA / board của dự án</t>
        </is>
      </c>
      <c r="C3" s="40" t="inlineStr">
        <is>
          <t>A. Dự án &amp; môi trường</t>
        </is>
      </c>
      <c r="D3" s="40" t="inlineStr">
        <is>
          <t>M</t>
        </is>
      </c>
      <c r="E3" s="40" t="inlineStr">
        <is>
          <t>M0</t>
        </is>
      </c>
      <c r="F3" s="40" t="inlineStr">
        <is>
          <t>G-FACT nếu suy ra từ tài liệu</t>
        </is>
      </c>
      <c r="G3" s="40" t="inlineStr">
        <is>
          <t>FR-PSP-01, FR-BRD-01</t>
        </is>
      </c>
      <c r="H3" s="40" t="inlineStr">
        <is>
          <t>UR-TT-02, UR-PK-03</t>
        </is>
      </c>
      <c r="I3" s="40" t="inlineStr">
        <is>
          <t>Tổng quan / Hộ chiếu chip</t>
        </is>
      </c>
    </row>
    <row r="4" ht="23.25" customHeight="1" s="29">
      <c r="A4" s="40" t="inlineStr">
        <is>
          <t>UC-A03</t>
        </is>
      </c>
      <c r="B4" s="40" t="inlineStr">
        <is>
          <t>Khám phá, cài đặt và khóa toolchain (eide doctor)</t>
        </is>
      </c>
      <c r="C4" s="40" t="inlineStr">
        <is>
          <t>A. Dự án &amp; môi trường</t>
        </is>
      </c>
      <c r="D4" s="40" t="inlineStr">
        <is>
          <t>M</t>
        </is>
      </c>
      <c r="E4" s="40" t="inlineStr">
        <is>
          <t>M1</t>
        </is>
      </c>
      <c r="F4" s="40" t="inlineStr">
        <is>
          <t>G-OPS cho mỗi lệnh cài</t>
        </is>
      </c>
      <c r="G4" s="40" t="inlineStr">
        <is>
          <t>FR-GOV-04</t>
        </is>
      </c>
      <c r="H4" s="40" t="inlineStr">
        <is>
          <t>UR-QT-05, UR-PK-05</t>
        </is>
      </c>
      <c r="I4" s="40" t="inlineStr">
        <is>
          <t>Môi trường &amp; báo cáo</t>
        </is>
      </c>
    </row>
    <row r="5" ht="23.25" customHeight="1" s="29">
      <c r="A5" s="40" t="inlineStr">
        <is>
          <t>UC-A04</t>
        </is>
      </c>
      <c r="B5" s="40" t="inlineStr">
        <is>
          <t>Cấu hình mô hình ngôn ngữ và chế độ cục bộ</t>
        </is>
      </c>
      <c r="C5" s="40" t="inlineStr">
        <is>
          <t>A. Dự án &amp; môi trường</t>
        </is>
      </c>
      <c r="D5" s="40" t="inlineStr">
        <is>
          <t>M</t>
        </is>
      </c>
      <c r="E5" s="40" t="inlineStr">
        <is>
          <t>M0</t>
        </is>
      </c>
      <c r="F5" s="40" t="inlineStr">
        <is>
          <t>—</t>
        </is>
      </c>
      <c r="G5" s="40" t="inlineStr">
        <is>
          <t>FR-LLM-02, FR-AGT-04, FR-LLM-04</t>
        </is>
      </c>
      <c r="H5" s="40" t="inlineStr">
        <is>
          <t>UR-MH-01, UR-MH-02, UR-MH-03</t>
        </is>
      </c>
      <c r="I5" s="40" t="inlineStr">
        <is>
          <t>Mô hình &amp; chi phí</t>
        </is>
      </c>
    </row>
    <row r="6" ht="15" customHeight="1" s="29">
      <c r="A6" s="40" t="inlineStr">
        <is>
          <t>UC-A05</t>
        </is>
      </c>
      <c r="B6" s="40" t="inlineStr">
        <is>
          <t>Nhập dự án mã nguồn có sẵn</t>
        </is>
      </c>
      <c r="C6" s="40" t="inlineStr">
        <is>
          <t>A. Dự án &amp; môi trường</t>
        </is>
      </c>
      <c r="D6" s="40" t="inlineStr">
        <is>
          <t>S</t>
        </is>
      </c>
      <c r="E6" s="40" t="inlineStr">
        <is>
          <t>M2</t>
        </is>
      </c>
      <c r="F6" s="40" t="inlineStr">
        <is>
          <t>—</t>
        </is>
      </c>
      <c r="G6" s="40" t="inlineStr">
        <is>
          <t>FR-PSP-05, FR-AGT-03</t>
        </is>
      </c>
      <c r="H6" s="40" t="inlineStr">
        <is>
          <t>UR-MA-04, UR-QT-04</t>
        </is>
      </c>
      <c r="I6" s="40" t="inlineStr">
        <is>
          <t>Mã nguồn</t>
        </is>
      </c>
    </row>
    <row r="7" ht="15" customHeight="1" s="29">
      <c r="A7" s="40" t="inlineStr">
        <is>
          <t>UC-A06</t>
        </is>
      </c>
      <c r="B7" s="40" t="inlineStr">
        <is>
          <t>Tiếp tục phiên làm việc</t>
        </is>
      </c>
      <c r="C7" s="40" t="inlineStr">
        <is>
          <t>A. Dự án &amp; môi trường</t>
        </is>
      </c>
      <c r="D7" s="40" t="inlineStr">
        <is>
          <t>M</t>
        </is>
      </c>
      <c r="E7" s="40" t="inlineStr">
        <is>
          <t>M2</t>
        </is>
      </c>
      <c r="F7" s="40" t="inlineStr">
        <is>
          <t>—</t>
        </is>
      </c>
      <c r="G7" s="40" t="inlineStr">
        <is>
          <t>FR-GOV-03, NFR-04</t>
        </is>
      </c>
      <c r="H7" s="40" t="inlineStr">
        <is>
          <t>UR-QT-03</t>
        </is>
      </c>
      <c r="I7" s="40" t="inlineStr">
        <is>
          <t>Tổng quan</t>
        </is>
      </c>
    </row>
    <row r="8" ht="57" customHeight="1" s="29">
      <c r="A8" s="40" t="inlineStr">
        <is>
          <t>UC-B01</t>
        </is>
      </c>
      <c r="B8" s="40" t="inlineStr">
        <is>
          <t>Nhập gói tài liệu hỗn hợp (zip có mạch, ảnh, PDF, tệp linh tinh)</t>
        </is>
      </c>
      <c r="C8" s="40" t="inlineStr">
        <is>
          <t>B. Nhận tri thức</t>
        </is>
      </c>
      <c r="D8" s="40" t="inlineStr">
        <is>
          <t>M</t>
        </is>
      </c>
      <c r="E8" s="40" t="inlineStr">
        <is>
          <t>M1</t>
        </is>
      </c>
      <c r="F8" s="40" t="inlineStr">
        <is>
          <t>G-SRC (ngầm định: tệp do người đưa vào = đã chọn nguồn); G-FACT cho tầng bạc</t>
        </is>
      </c>
      <c r="G8" s="40" t="inlineStr">
        <is>
          <t>FR-ACQ-01, FR-ACQ-05</t>
        </is>
      </c>
      <c r="H8" s="40" t="inlineStr">
        <is>
          <t>UR-TT-01</t>
        </is>
      </c>
      <c r="I8" s="40" t="inlineStr">
        <is>
          <t>Nhập tài liệu</t>
        </is>
      </c>
    </row>
    <row r="9" ht="23.25" customHeight="1" s="29">
      <c r="A9" s="40" t="inlineStr">
        <is>
          <t>UC-B02</t>
        </is>
      </c>
      <c r="B9" s="40" t="inlineStr">
        <is>
          <t>Suy ra chip / linh kiện từ tài liệu và ảnh</t>
        </is>
      </c>
      <c r="C9" s="40" t="inlineStr">
        <is>
          <t>B. Nhận tri thức</t>
        </is>
      </c>
      <c r="D9" s="40" t="inlineStr">
        <is>
          <t>M</t>
        </is>
      </c>
      <c r="E9" s="40" t="inlineStr">
        <is>
          <t>M1</t>
        </is>
      </c>
      <c r="F9" s="40" t="inlineStr">
        <is>
          <t>G-FACT</t>
        </is>
      </c>
      <c r="G9" s="40" t="inlineStr">
        <is>
          <t>FR-ACQ-04, FR-BRD-02</t>
        </is>
      </c>
      <c r="H9" s="40" t="inlineStr">
        <is>
          <t>UR-MC-02, UR-TT-02</t>
        </is>
      </c>
      <c r="I9" s="40" t="inlineStr">
        <is>
          <t>Nhập tài liệu / Hàng đợi xác nhận</t>
        </is>
      </c>
    </row>
    <row r="10" ht="34.5" customHeight="1" s="29">
      <c r="A10" s="40" t="inlineStr">
        <is>
          <t>UC-B03</t>
        </is>
      </c>
      <c r="B10" s="40" t="inlineStr">
        <is>
          <t>Nhập nguồn cấu trúc chính hãng (SVD / ATDF / EDC / header)</t>
        </is>
      </c>
      <c r="C10" s="40" t="inlineStr">
        <is>
          <t>B. Nhận tri thức</t>
        </is>
      </c>
      <c r="D10" s="40" t="inlineStr">
        <is>
          <t>M</t>
        </is>
      </c>
      <c r="E10" s="40" t="inlineStr">
        <is>
          <t>M0</t>
        </is>
      </c>
      <c r="F10" s="40" t="inlineStr">
        <is>
          <t>G-SRC (chọn phiên bản) khi có nhiều bản</t>
        </is>
      </c>
      <c r="G10" s="40" t="inlineStr">
        <is>
          <t>FR-ACQ-02, FR-PSP-01, FR-PSP-02</t>
        </is>
      </c>
      <c r="H10" s="40" t="inlineStr">
        <is>
          <t>UR-TT-02, UR-TT-03</t>
        </is>
      </c>
      <c r="I10" s="40" t="inlineStr">
        <is>
          <t>Hộ chiếu chip</t>
        </is>
      </c>
    </row>
    <row r="11" ht="23.25" customHeight="1" s="29">
      <c r="A11" s="40" t="inlineStr">
        <is>
          <t>UC-B04</t>
        </is>
      </c>
      <c r="B11" s="40" t="inlineStr">
        <is>
          <t>Trích xuất tri thức từ PDF (datasheet, reference manual, errata)</t>
        </is>
      </c>
      <c r="C11" s="40" t="inlineStr">
        <is>
          <t>B. Nhận tri thức</t>
        </is>
      </c>
      <c r="D11" s="40" t="inlineStr">
        <is>
          <t>M</t>
        </is>
      </c>
      <c r="E11" s="40" t="inlineStr">
        <is>
          <t>M1</t>
        </is>
      </c>
      <c r="F11" s="40" t="inlineStr">
        <is>
          <t>G-FACT (sau đó)</t>
        </is>
      </c>
      <c r="G11" s="40" t="inlineStr">
        <is>
          <t>FR-ACQ-03, FR-ACQ-07</t>
        </is>
      </c>
      <c r="H11" s="40" t="inlineStr">
        <is>
          <t>UR-TT-01, UR-TT-05</t>
        </is>
      </c>
      <c r="I11" s="40" t="inlineStr">
        <is>
          <t>Hàng đợi xác nhận</t>
        </is>
      </c>
    </row>
    <row r="12" ht="23.25" customHeight="1" s="29">
      <c r="A12" s="40" t="inlineStr">
        <is>
          <t>UC-B05</t>
        </is>
      </c>
      <c r="B12" s="40" t="inlineStr">
        <is>
          <t>Trích xuất từ ảnh (schematic chụp, ảnh board, ảnh màn hình đo)</t>
        </is>
      </c>
      <c r="C12" s="40" t="inlineStr">
        <is>
          <t>B. Nhận tri thức</t>
        </is>
      </c>
      <c r="D12" s="40" t="inlineStr">
        <is>
          <t>S</t>
        </is>
      </c>
      <c r="E12" s="40" t="inlineStr">
        <is>
          <t>M2</t>
        </is>
      </c>
      <c r="F12" s="40" t="inlineStr">
        <is>
          <t>G-FACT</t>
        </is>
      </c>
      <c r="G12" s="40" t="inlineStr">
        <is>
          <t>FR-ACQ-04, FR-BRD-02</t>
        </is>
      </c>
      <c r="H12" s="40" t="inlineStr">
        <is>
          <t>UR-MC-02</t>
        </is>
      </c>
      <c r="I12" s="40" t="inlineStr">
        <is>
          <t>Hàng đợi xác nhận</t>
        </is>
      </c>
    </row>
    <row r="13" ht="23.25" customHeight="1" s="29">
      <c r="A13" s="40" t="inlineStr">
        <is>
          <t>UC-B06</t>
        </is>
      </c>
      <c r="B13" s="40" t="inlineStr">
        <is>
          <t>Nhập schematic KiCad và dựng hộ chiếu mạch</t>
        </is>
      </c>
      <c r="C13" s="40" t="inlineStr">
        <is>
          <t>B. Nhận tri thức</t>
        </is>
      </c>
      <c r="D13" s="40" t="inlineStr">
        <is>
          <t>M</t>
        </is>
      </c>
      <c r="E13" s="40" t="inlineStr">
        <is>
          <t>M2</t>
        </is>
      </c>
      <c r="F13" s="40" t="inlineStr">
        <is>
          <t>G-FACT</t>
        </is>
      </c>
      <c r="G13" s="40" t="inlineStr">
        <is>
          <t>FR-BRD-01, FR-BRD-03, FR-BRD-04</t>
        </is>
      </c>
      <c r="H13" s="40" t="inlineStr">
        <is>
          <t>UR-MC-01, UR-MC-03, UR-MC-04</t>
        </is>
      </c>
      <c r="I13" s="40" t="inlineStr">
        <is>
          <t>Hộ chiếu mạch</t>
        </is>
      </c>
    </row>
    <row r="14" ht="23.25" customHeight="1" s="29">
      <c r="A14" s="40" t="inlineStr">
        <is>
          <t>UC-B07</t>
        </is>
      </c>
      <c r="B14" s="40" t="inlineStr">
        <is>
          <t>Phát hiện thiếu tri thức và tạo yêu cầu nhận tri thức</t>
        </is>
      </c>
      <c r="C14" s="40" t="inlineStr">
        <is>
          <t>B. Nhận tri thức</t>
        </is>
      </c>
      <c r="D14" s="40" t="inlineStr">
        <is>
          <t>M</t>
        </is>
      </c>
      <c r="E14" s="40" t="inlineStr">
        <is>
          <t>M1</t>
        </is>
      </c>
      <c r="F14" s="40" t="inlineStr">
        <is>
          <t>—</t>
        </is>
      </c>
      <c r="G14" s="40" t="inlineStr">
        <is>
          <t>FR-ACQ-05</t>
        </is>
      </c>
      <c r="H14" s="40" t="inlineStr">
        <is>
          <t>UR-TT-04, UR-TT-02</t>
        </is>
      </c>
      <c r="I14" s="40" t="inlineStr">
        <is>
          <t>Hàng đợi xác nhận / Trò chuyện</t>
        </is>
      </c>
    </row>
    <row r="15" ht="23.25" customHeight="1" s="29">
      <c r="A15" s="40" t="inlineStr">
        <is>
          <t>UC-B08</t>
        </is>
      </c>
      <c r="B15" s="40" t="inlineStr">
        <is>
          <t>Tìm nguồn tri thức (registry → kho hãng → docs MCP → web)</t>
        </is>
      </c>
      <c r="C15" s="40" t="inlineStr">
        <is>
          <t>B. Nhận tri thức</t>
        </is>
      </c>
      <c r="D15" s="40" t="inlineStr">
        <is>
          <t>M</t>
        </is>
      </c>
      <c r="E15" s="40" t="inlineStr">
        <is>
          <t>M1</t>
        </is>
      </c>
      <c r="F15" s="40" t="inlineStr">
        <is>
          <t>G-SRC (bước tiếp)</t>
        </is>
      </c>
      <c r="G15" s="40" t="inlineStr">
        <is>
          <t>FR-ACQ-06, FR-ACQ-09</t>
        </is>
      </c>
      <c r="H15" s="40" t="inlineStr">
        <is>
          <t>UR-TT-04</t>
        </is>
      </c>
      <c r="I15" s="40" t="inlineStr">
        <is>
          <t>Hàng đợi xác nhận</t>
        </is>
      </c>
    </row>
    <row r="16" ht="23.25" customHeight="1" s="29">
      <c r="A16" s="40" t="inlineStr">
        <is>
          <t>UC-B09</t>
        </is>
      </c>
      <c r="B16" s="40" t="inlineStr">
        <is>
          <t>Xác nhận nguồn (G-SRC): xem thông tin, chọn, tải</t>
        </is>
      </c>
      <c r="C16" s="40" t="inlineStr">
        <is>
          <t>B. Nhận tri thức</t>
        </is>
      </c>
      <c r="D16" s="40" t="inlineStr">
        <is>
          <t>M</t>
        </is>
      </c>
      <c r="E16" s="40" t="inlineStr">
        <is>
          <t>M1</t>
        </is>
      </c>
      <c r="F16" s="40" t="inlineStr">
        <is>
          <t>G-SRC</t>
        </is>
      </c>
      <c r="G16" s="40" t="inlineStr">
        <is>
          <t>FR-ACQ-05, FR-ACQ-06</t>
        </is>
      </c>
      <c r="H16" s="40" t="inlineStr">
        <is>
          <t>UR-TT-04</t>
        </is>
      </c>
      <c r="I16" s="40" t="inlineStr">
        <is>
          <t>Hàng đợi xác nhận</t>
        </is>
      </c>
    </row>
    <row r="17" ht="23.25" customHeight="1" s="29">
      <c r="A17" s="40" t="inlineStr">
        <is>
          <t>UC-B10</t>
        </is>
      </c>
      <c r="B17" s="40" t="inlineStr">
        <is>
          <t>Duyệt fact (G-FACT) theo nhóm với ảnh cắt</t>
        </is>
      </c>
      <c r="C17" s="40" t="inlineStr">
        <is>
          <t>B. Nhận tri thức</t>
        </is>
      </c>
      <c r="D17" s="40" t="inlineStr">
        <is>
          <t>M</t>
        </is>
      </c>
      <c r="E17" s="40" t="inlineStr">
        <is>
          <t>M1</t>
        </is>
      </c>
      <c r="F17" s="40" t="inlineStr">
        <is>
          <t>G-FACT</t>
        </is>
      </c>
      <c r="G17" s="40" t="inlineStr">
        <is>
          <t>FR-ACQ-08, FR-PSP-05</t>
        </is>
      </c>
      <c r="H17" s="40" t="inlineStr">
        <is>
          <t>UR-TT-05, UR-TT-06</t>
        </is>
      </c>
      <c r="I17" s="40" t="inlineStr">
        <is>
          <t>Hàng đợi xác nhận</t>
        </is>
      </c>
    </row>
    <row r="18" ht="23.25" customHeight="1" s="29">
      <c r="A18" s="40" t="inlineStr">
        <is>
          <t>UC-B11</t>
        </is>
      </c>
      <c r="B18" s="40" t="inlineStr">
        <is>
          <t>Giải quyết mâu thuẫn giữa các nguồn</t>
        </is>
      </c>
      <c r="C18" s="40" t="inlineStr">
        <is>
          <t>B. Nhận tri thức</t>
        </is>
      </c>
      <c r="D18" s="40" t="inlineStr">
        <is>
          <t>M</t>
        </is>
      </c>
      <c r="E18" s="40" t="inlineStr">
        <is>
          <t>M1</t>
        </is>
      </c>
      <c r="F18" s="40" t="inlineStr">
        <is>
          <t>G-FACT</t>
        </is>
      </c>
      <c r="G18" s="40" t="inlineStr">
        <is>
          <t>FR-ACQ-07</t>
        </is>
      </c>
      <c r="H18" s="40" t="inlineStr">
        <is>
          <t>UR-TT-03</t>
        </is>
      </c>
      <c r="I18" s="40" t="inlineStr">
        <is>
          <t>Hàng đợi xác nhận / Hộ chiếu chip</t>
        </is>
      </c>
    </row>
    <row r="19" ht="23.25" customHeight="1" s="29">
      <c r="A19" s="40" t="inlineStr">
        <is>
          <t>UC-B12</t>
        </is>
      </c>
      <c r="B19" s="40" t="inlineStr">
        <is>
          <t>Kiểm định hộ chiếu trên board thật</t>
        </is>
      </c>
      <c r="C19" s="40" t="inlineStr">
        <is>
          <t>B. Nhận tri thức</t>
        </is>
      </c>
      <c r="D19" s="40" t="inlineStr">
        <is>
          <t>M</t>
        </is>
      </c>
      <c r="E19" s="40" t="inlineStr">
        <is>
          <t>M1</t>
        </is>
      </c>
      <c r="F19" s="40" t="inlineStr">
        <is>
          <t>G-OPS (nạp)</t>
        </is>
      </c>
      <c r="G19" s="40" t="inlineStr">
        <is>
          <t>FR-BEN-02, FR-VER-02</t>
        </is>
      </c>
      <c r="H19" s="40" t="inlineStr">
        <is>
          <t>UR-TT-06</t>
        </is>
      </c>
      <c r="I19" s="40" t="inlineStr">
        <is>
          <t>Hộ chiếu chip / Gỡ lỗi probe</t>
        </is>
      </c>
    </row>
    <row r="20" ht="34.5" customHeight="1" s="29">
      <c r="A20" s="40" t="inlineStr">
        <is>
          <t>UC-B13</t>
        </is>
      </c>
      <c r="B20" s="40" t="inlineStr">
        <is>
          <t>Cập nhật phiên bản tri thức (SVD/datasheet mới) và phân tích ảnh hưởng</t>
        </is>
      </c>
      <c r="C20" s="40" t="inlineStr">
        <is>
          <t>B. Nhận tri thức</t>
        </is>
      </c>
      <c r="D20" s="40" t="inlineStr">
        <is>
          <t>M</t>
        </is>
      </c>
      <c r="E20" s="40" t="inlineStr">
        <is>
          <t>M2</t>
        </is>
      </c>
      <c r="F20" s="40" t="inlineStr">
        <is>
          <t>G1 (quyết định nâng)</t>
        </is>
      </c>
      <c r="G20" s="40" t="inlineStr">
        <is>
          <t>FR-PSP-02, FR-PSP-05</t>
        </is>
      </c>
      <c r="H20" s="40" t="inlineStr">
        <is>
          <t>UR-TT-08</t>
        </is>
      </c>
      <c r="I20" s="40" t="inlineStr">
        <is>
          <t>Hộ chiếu chip</t>
        </is>
      </c>
    </row>
    <row r="21" ht="23.25" customHeight="1" s="29">
      <c r="A21" s="40" t="inlineStr">
        <is>
          <t>UC-B14</t>
        </is>
      </c>
      <c r="B21" s="40" t="inlineStr">
        <is>
          <t>Hỏi đáp tra cứu hộ chiếu (ngôn ngữ tự nhiên có trích dẫn)</t>
        </is>
      </c>
      <c r="C21" s="40" t="inlineStr">
        <is>
          <t>B. Nhận tri thức</t>
        </is>
      </c>
      <c r="D21" s="40" t="inlineStr">
        <is>
          <t>M</t>
        </is>
      </c>
      <c r="E21" s="40" t="inlineStr">
        <is>
          <t>M0</t>
        </is>
      </c>
      <c r="F21" s="40" t="inlineStr">
        <is>
          <t>—</t>
        </is>
      </c>
      <c r="G21" s="40" t="inlineStr">
        <is>
          <t>FR-PSP-04, FR-PSP-06</t>
        </is>
      </c>
      <c r="H21" s="40" t="inlineStr">
        <is>
          <t>UR-TT-07</t>
        </is>
      </c>
      <c r="I21" s="40" t="inlineStr">
        <is>
          <t>Mọi màn hình (thanh tìm) / Trò chuyện</t>
        </is>
      </c>
    </row>
    <row r="22" ht="23.25" customHeight="1" s="29">
      <c r="A22" s="40" t="inlineStr">
        <is>
          <t>UC-C01</t>
        </is>
      </c>
      <c r="B22" s="40" t="inlineStr">
        <is>
          <t>Kiểm xung đột tài nguyên trước khi sinh mã</t>
        </is>
      </c>
      <c r="C22" s="40" t="inlineStr">
        <is>
          <t>C. Mạch &amp; tài nguyên</t>
        </is>
      </c>
      <c r="D22" s="40" t="inlineStr">
        <is>
          <t>M</t>
        </is>
      </c>
      <c r="E22" s="40" t="inlineStr">
        <is>
          <t>M2</t>
        </is>
      </c>
      <c r="F22" s="40" t="inlineStr">
        <is>
          <t>G1</t>
        </is>
      </c>
      <c r="G22" s="40" t="inlineStr">
        <is>
          <t>FR-BRD-03, FR-PSP-05</t>
        </is>
      </c>
      <c r="H22" s="40" t="inlineStr">
        <is>
          <t>UR-MC-03</t>
        </is>
      </c>
      <c r="I22" s="40" t="inlineStr">
        <is>
          <t>Hộ chiếu mạch / Kế hoạch</t>
        </is>
      </c>
    </row>
    <row r="23" ht="15" customHeight="1" s="29">
      <c r="A23" s="40" t="inlineStr">
        <is>
          <t>UC-D01</t>
        </is>
      </c>
      <c r="B23" s="40" t="inlineStr">
        <is>
          <t>Mô tả tính năng và tạo STEP</t>
        </is>
      </c>
      <c r="C23" s="40" t="inlineStr">
        <is>
          <t>D. Kế hoạch &amp; sinh mã</t>
        </is>
      </c>
      <c r="D23" s="40" t="inlineStr">
        <is>
          <t>M</t>
        </is>
      </c>
      <c r="E23" s="40" t="inlineStr">
        <is>
          <t>M2</t>
        </is>
      </c>
      <c r="F23" s="40" t="inlineStr">
        <is>
          <t>—</t>
        </is>
      </c>
      <c r="G23" s="40" t="inlineStr">
        <is>
          <t>FR-GOV-03</t>
        </is>
      </c>
      <c r="H23" s="40" t="inlineStr">
        <is>
          <t>UR-SM-05 (EAA-URD)</t>
        </is>
      </c>
      <c r="I23" s="40" t="inlineStr">
        <is>
          <t>Trò chuyện / Tổng quan</t>
        </is>
      </c>
    </row>
    <row r="24" ht="23.25" customHeight="1" s="29">
      <c r="A24" s="40" t="inlineStr">
        <is>
          <t>UC-D02</t>
        </is>
      </c>
      <c r="B24" s="40" t="inlineStr">
        <is>
          <t>Lập kế hoạch có trích dẫn và duyệt G1</t>
        </is>
      </c>
      <c r="C24" s="40" t="inlineStr">
        <is>
          <t>D. Kế hoạch &amp; sinh mã</t>
        </is>
      </c>
      <c r="D24" s="40" t="inlineStr">
        <is>
          <t>M</t>
        </is>
      </c>
      <c r="E24" s="40" t="inlineStr">
        <is>
          <t>M2</t>
        </is>
      </c>
      <c r="F24" s="40" t="inlineStr">
        <is>
          <t>G1</t>
        </is>
      </c>
      <c r="G24" s="40" t="inlineStr">
        <is>
          <t>FR-AGT-01, FR-AGT-02, FR-PSP-06</t>
        </is>
      </c>
      <c r="H24" s="40" t="inlineStr">
        <is>
          <t>UR-MA-03</t>
        </is>
      </c>
      <c r="I24" s="40" t="inlineStr">
        <is>
          <t>Kế hoạch &amp; mã</t>
        </is>
      </c>
    </row>
    <row r="25" ht="23.25" customHeight="1" s="29">
      <c r="A25" s="40" t="inlineStr">
        <is>
          <t>UC-D03</t>
        </is>
      </c>
      <c r="B25" s="40" t="inlineStr">
        <is>
          <t>Sinh mã với hằng số có nguồn (constant-guard)</t>
        </is>
      </c>
      <c r="C25" s="40" t="inlineStr">
        <is>
          <t>D. Kế hoạch &amp; sinh mã</t>
        </is>
      </c>
      <c r="D25" s="40" t="inlineStr">
        <is>
          <t>M</t>
        </is>
      </c>
      <c r="E25" s="40" t="inlineStr">
        <is>
          <t>M2</t>
        </is>
      </c>
      <c r="F25" s="40" t="inlineStr">
        <is>
          <t>—</t>
        </is>
      </c>
      <c r="G25" s="40" t="inlineStr">
        <is>
          <t>FR-AGT-03, FR-VER-01, FR-LLM-03</t>
        </is>
      </c>
      <c r="H25" s="40" t="inlineStr">
        <is>
          <t>UR-MA-02, UR-MA-04</t>
        </is>
      </c>
      <c r="I25" s="40" t="inlineStr">
        <is>
          <t>Mã nguồn</t>
        </is>
      </c>
    </row>
    <row r="26" ht="15" customHeight="1" s="29">
      <c r="A26" s="40" t="inlineStr">
        <is>
          <t>UC-D04</t>
        </is>
      </c>
      <c r="B26" s="40" t="inlineStr">
        <is>
          <t>Review khác hãng và duyệt merge (G3)</t>
        </is>
      </c>
      <c r="C26" s="40" t="inlineStr">
        <is>
          <t>D. Kế hoạch &amp; sinh mã</t>
        </is>
      </c>
      <c r="D26" s="40" t="inlineStr">
        <is>
          <t>M</t>
        </is>
      </c>
      <c r="E26" s="40" t="inlineStr">
        <is>
          <t>M2</t>
        </is>
      </c>
      <c r="F26" s="40" t="inlineStr">
        <is>
          <t>G3</t>
        </is>
      </c>
      <c r="G26" s="40" t="inlineStr">
        <is>
          <t>FR-AGT-06, FR-AGT-07</t>
        </is>
      </c>
      <c r="H26" s="40" t="inlineStr">
        <is>
          <t>UR-MA-03</t>
        </is>
      </c>
      <c r="I26" s="40" t="inlineStr">
        <is>
          <t>Kế hoạch &amp; mã</t>
        </is>
      </c>
    </row>
    <row r="27" ht="15" customHeight="1" s="29">
      <c r="A27" s="40" t="inlineStr">
        <is>
          <t>UC-D05</t>
        </is>
      </c>
      <c r="B27" s="40" t="inlineStr">
        <is>
          <t>Kỹ sư sửa mã tay và đối chiếu hộ chiếu</t>
        </is>
      </c>
      <c r="C27" s="40" t="inlineStr">
        <is>
          <t>D. Kế hoạch &amp; sinh mã</t>
        </is>
      </c>
      <c r="D27" s="40" t="inlineStr">
        <is>
          <t>S</t>
        </is>
      </c>
      <c r="E27" s="40" t="inlineStr">
        <is>
          <t>M3</t>
        </is>
      </c>
      <c r="F27" s="40" t="inlineStr">
        <is>
          <t>—</t>
        </is>
      </c>
      <c r="G27" s="40" t="inlineStr">
        <is>
          <t>FR-AGT-03, FR-UI-05</t>
        </is>
      </c>
      <c r="H27" s="40" t="inlineStr">
        <is>
          <t>UR-QS-04</t>
        </is>
      </c>
      <c r="I27" s="40" t="inlineStr">
        <is>
          <t>Mã nguồn</t>
        </is>
      </c>
    </row>
    <row r="28" ht="15" customHeight="1" s="29">
      <c r="A28" s="40" t="inlineStr">
        <is>
          <t>UC-D06</t>
        </is>
      </c>
      <c r="B28" s="40" t="inlineStr">
        <is>
          <t>Hoàn tác về phiên bản known-good</t>
        </is>
      </c>
      <c r="C28" s="40" t="inlineStr">
        <is>
          <t>D. Kế hoạch &amp; sinh mã</t>
        </is>
      </c>
      <c r="D28" s="40" t="inlineStr">
        <is>
          <t>M</t>
        </is>
      </c>
      <c r="E28" s="40" t="inlineStr">
        <is>
          <t>M2</t>
        </is>
      </c>
      <c r="F28" s="40" t="inlineStr">
        <is>
          <t>—</t>
        </is>
      </c>
      <c r="G28" s="40" t="inlineStr">
        <is>
          <t>FR-GOV-02</t>
        </is>
      </c>
      <c r="H28" s="40" t="inlineStr">
        <is>
          <t>UR-QT-02</t>
        </is>
      </c>
      <c r="I28" s="40" t="inlineStr">
        <is>
          <t>Tổng quan</t>
        </is>
      </c>
    </row>
    <row r="29" ht="45.75" customHeight="1" s="29">
      <c r="A29" s="40" t="inlineStr">
        <is>
          <t>UC-E01</t>
        </is>
      </c>
      <c r="B29" s="40" t="inlineStr">
        <is>
          <t>Tác tử dựng môi trường mô phỏng cho chip/mạch (SIL)</t>
        </is>
      </c>
      <c r="C29" s="40" t="inlineStr">
        <is>
          <t>E. Mô phỏng</t>
        </is>
      </c>
      <c r="D29" s="40" t="inlineStr">
        <is>
          <t>M</t>
        </is>
      </c>
      <c r="E29" s="40" t="inlineStr">
        <is>
          <t>M3</t>
        </is>
      </c>
      <c r="F29" s="40" t="inlineStr">
        <is>
          <t>G-FACT cho tham số mô hình suy ra; G-OPS cho cài Renode/QEMU</t>
        </is>
      </c>
      <c r="G29" s="40" t="inlineStr">
        <is>
          <t>FR-VER-04</t>
        </is>
      </c>
      <c r="H29" s="40" t="inlineStr">
        <is>
          <t>UR-XM-03</t>
        </is>
      </c>
      <c r="I29" s="40" t="inlineStr">
        <is>
          <t>Mô phỏng</t>
        </is>
      </c>
    </row>
    <row r="30" ht="23.25" customHeight="1" s="29">
      <c r="A30" s="40" t="inlineStr">
        <is>
          <t>UC-E02</t>
        </is>
      </c>
      <c r="B30" s="40" t="inlineStr">
        <is>
          <t>Mô hình hóa đối tượng điều khiển (plant) và cảm biến</t>
        </is>
      </c>
      <c r="C30" s="40" t="inlineStr">
        <is>
          <t>E. Mô phỏng</t>
        </is>
      </c>
      <c r="D30" s="40" t="inlineStr">
        <is>
          <t>S</t>
        </is>
      </c>
      <c r="E30" s="40" t="inlineStr">
        <is>
          <t>M3</t>
        </is>
      </c>
      <c r="F30" s="40" t="inlineStr">
        <is>
          <t>G-FACT (tham số vật lý)</t>
        </is>
      </c>
      <c r="G30" s="40" t="inlineStr">
        <is>
          <t>FR-VER-04</t>
        </is>
      </c>
      <c r="H30" s="40" t="inlineStr">
        <is>
          <t>UR-XM-03</t>
        </is>
      </c>
      <c r="I30" s="40" t="inlineStr">
        <is>
          <t>Mô phỏng</t>
        </is>
      </c>
    </row>
    <row r="31" ht="15" customHeight="1" s="29">
      <c r="A31" s="40" t="inlineStr">
        <is>
          <t>UC-E03</t>
        </is>
      </c>
      <c r="B31" s="40" t="inlineStr">
        <is>
          <t>Sinh và chạy kịch bản kiểm thử SIL</t>
        </is>
      </c>
      <c r="C31" s="40" t="inlineStr">
        <is>
          <t>E. Mô phỏng</t>
        </is>
      </c>
      <c r="D31" s="40" t="inlineStr">
        <is>
          <t>M</t>
        </is>
      </c>
      <c r="E31" s="40" t="inlineStr">
        <is>
          <t>M3</t>
        </is>
      </c>
      <c r="F31" s="40" t="inlineStr">
        <is>
          <t>—</t>
        </is>
      </c>
      <c r="G31" s="40" t="inlineStr">
        <is>
          <t>FR-VER-04, FR-VER-05</t>
        </is>
      </c>
      <c r="H31" s="40" t="inlineStr">
        <is>
          <t>UR-XM-03</t>
        </is>
      </c>
      <c r="I31" s="40" t="inlineStr">
        <is>
          <t>Mô phỏng</t>
        </is>
      </c>
    </row>
    <row r="32" ht="15" customHeight="1" s="29">
      <c r="A32" s="40" t="inlineStr">
        <is>
          <t>UC-E04</t>
        </is>
      </c>
      <c r="B32" s="40" t="inlineStr">
        <is>
          <t>So sánh SIL với HIL và cập nhật mô hình</t>
        </is>
      </c>
      <c r="C32" s="40" t="inlineStr">
        <is>
          <t>E. Mô phỏng</t>
        </is>
      </c>
      <c r="D32" s="40" t="inlineStr">
        <is>
          <t>S</t>
        </is>
      </c>
      <c r="E32" s="40" t="inlineStr">
        <is>
          <t>M4</t>
        </is>
      </c>
      <c r="F32" s="40" t="inlineStr">
        <is>
          <t>G-FACT</t>
        </is>
      </c>
      <c r="G32" s="40" t="inlineStr">
        <is>
          <t>FR-VER-04</t>
        </is>
      </c>
      <c r="H32" s="40" t="inlineStr">
        <is>
          <t>UR-XM-03</t>
        </is>
      </c>
      <c r="I32" s="40" t="inlineStr">
        <is>
          <t>Mô phỏng</t>
        </is>
      </c>
    </row>
    <row r="33" ht="23.25" customHeight="1" s="29">
      <c r="A33" s="40" t="inlineStr">
        <is>
          <t>UC-F01</t>
        </is>
      </c>
      <c r="B33" s="40" t="inlineStr">
        <is>
          <t>Cấp quyền thao tác nguy hiểm (G-OPS)</t>
        </is>
      </c>
      <c r="C33" s="40" t="inlineStr">
        <is>
          <t>F. Xác minh &amp; gỡ lỗi</t>
        </is>
      </c>
      <c r="D33" s="40" t="inlineStr">
        <is>
          <t>M</t>
        </is>
      </c>
      <c r="E33" s="40" t="inlineStr">
        <is>
          <t>M1</t>
        </is>
      </c>
      <c r="F33" s="40" t="inlineStr">
        <is>
          <t>G-OPS</t>
        </is>
      </c>
      <c r="G33" s="40" t="inlineStr">
        <is>
          <t>FR-GOV-01, FR-MCP-02</t>
        </is>
      </c>
      <c r="H33" s="40" t="inlineStr">
        <is>
          <t>UR-QT-01</t>
        </is>
      </c>
      <c r="I33" s="40" t="inlineStr">
        <is>
          <t>Hàng đợi / Chat / mọi màn hình</t>
        </is>
      </c>
    </row>
    <row r="34" ht="15" customHeight="1" s="29">
      <c r="A34" s="40" t="inlineStr">
        <is>
          <t>UC-F02</t>
        </is>
      </c>
      <c r="B34" s="40" t="inlineStr">
        <is>
          <t>Nạp firmware và xác minh</t>
        </is>
      </c>
      <c r="C34" s="40" t="inlineStr">
        <is>
          <t>F. Xác minh &amp; gỡ lỗi</t>
        </is>
      </c>
      <c r="D34" s="40" t="inlineStr">
        <is>
          <t>M</t>
        </is>
      </c>
      <c r="E34" s="40" t="inlineStr">
        <is>
          <t>M2</t>
        </is>
      </c>
      <c r="F34" s="40" t="inlineStr">
        <is>
          <t>G-OPS</t>
        </is>
      </c>
      <c r="G34" s="40" t="inlineStr">
        <is>
          <t>FR-VER-02</t>
        </is>
      </c>
      <c r="H34" s="40" t="inlineStr">
        <is>
          <t>UR-XM-02</t>
        </is>
      </c>
      <c r="I34" s="40" t="inlineStr">
        <is>
          <t>Log &amp; serial</t>
        </is>
      </c>
    </row>
    <row r="35" ht="23.25" customHeight="1" s="29">
      <c r="A35" s="40" t="inlineStr">
        <is>
          <t>UC-F03</t>
        </is>
      </c>
      <c r="B35" s="40" t="inlineStr">
        <is>
          <t>Quan sát serial, xác nhận vật lý (G4) và gắn bằng chứng</t>
        </is>
      </c>
      <c r="C35" s="40" t="inlineStr">
        <is>
          <t>F. Xác minh &amp; gỡ lỗi</t>
        </is>
      </c>
      <c r="D35" s="40" t="inlineStr">
        <is>
          <t>M</t>
        </is>
      </c>
      <c r="E35" s="40" t="inlineStr">
        <is>
          <t>M2</t>
        </is>
      </c>
      <c r="F35" s="40" t="inlineStr">
        <is>
          <t>G4</t>
        </is>
      </c>
      <c r="G35" s="40" t="inlineStr">
        <is>
          <t>FR-VER-03, FR-VER-05</t>
        </is>
      </c>
      <c r="H35" s="40" t="inlineStr">
        <is>
          <t>UR-XM-04</t>
        </is>
      </c>
      <c r="I35" s="40" t="inlineStr">
        <is>
          <t>Log &amp; serial</t>
        </is>
      </c>
    </row>
    <row r="36" ht="15" customHeight="1" s="29">
      <c r="A36" s="40" t="inlineStr">
        <is>
          <t>UC-F04</t>
        </is>
      </c>
      <c r="B36" s="40" t="inlineStr">
        <is>
          <t>Hỏi tác tử tại dòng log (log gigabyte)</t>
        </is>
      </c>
      <c r="C36" s="40" t="inlineStr">
        <is>
          <t>F. Xác minh &amp; gỡ lỗi</t>
        </is>
      </c>
      <c r="D36" s="40" t="inlineStr">
        <is>
          <t>M</t>
        </is>
      </c>
      <c r="E36" s="40" t="inlineStr">
        <is>
          <t>M3</t>
        </is>
      </c>
      <c r="F36" s="40" t="inlineStr">
        <is>
          <t>—</t>
        </is>
      </c>
      <c r="G36" s="40" t="inlineStr">
        <is>
          <t>FR-UI-03, FR-DBG-04</t>
        </is>
      </c>
      <c r="H36" s="40" t="inlineStr">
        <is>
          <t>UR-QS-02</t>
        </is>
      </c>
      <c r="I36" s="40" t="inlineStr">
        <is>
          <t>Log &amp; serial</t>
        </is>
      </c>
    </row>
    <row r="37" ht="23.25" customHeight="1" s="29">
      <c r="A37" s="40" t="inlineStr">
        <is>
          <t>UC-F05</t>
        </is>
      </c>
      <c r="B37" s="40" t="inlineStr">
        <is>
          <t>Gỡ lỗi mức probe và gói chứng cứ</t>
        </is>
      </c>
      <c r="C37" s="40" t="inlineStr">
        <is>
          <t>F. Xác minh &amp; gỡ lỗi</t>
        </is>
      </c>
      <c r="D37" s="40" t="inlineStr">
        <is>
          <t>M</t>
        </is>
      </c>
      <c r="E37" s="40" t="inlineStr">
        <is>
          <t>M3</t>
        </is>
      </c>
      <c r="F37" s="40" t="inlineStr">
        <is>
          <t>G-OPS (write/erase)</t>
        </is>
      </c>
      <c r="G37" s="40" t="inlineStr">
        <is>
          <t>FR-DBG-01, FR-DBG-02, FR-DBG-03</t>
        </is>
      </c>
      <c r="H37" s="40" t="inlineStr">
        <is>
          <t>UR-GL-01, UR-GL-02</t>
        </is>
      </c>
      <c r="I37" s="40" t="inlineStr">
        <is>
          <t>Gỡ lỗi probe</t>
        </is>
      </c>
    </row>
    <row r="38" ht="23.25" customHeight="1" s="29">
      <c r="A38" s="40" t="inlineStr">
        <is>
          <t>UC-F06</t>
        </is>
      </c>
      <c r="B38" s="40" t="inlineStr">
        <is>
          <t>Đo tín hiệu và năng lượng làm bằng chứng</t>
        </is>
      </c>
      <c r="C38" s="40" t="inlineStr">
        <is>
          <t>F. Xác minh &amp; gỡ lỗi</t>
        </is>
      </c>
      <c r="D38" s="40" t="inlineStr">
        <is>
          <t>S</t>
        </is>
      </c>
      <c r="E38" s="40" t="inlineStr">
        <is>
          <t>M5</t>
        </is>
      </c>
      <c r="F38" s="40" t="inlineStr">
        <is>
          <t>—</t>
        </is>
      </c>
      <c r="G38" s="40" t="inlineStr">
        <is>
          <t>FR-UI-07</t>
        </is>
      </c>
      <c r="H38" s="40" t="inlineStr">
        <is>
          <t>UR-QS-06</t>
        </is>
      </c>
      <c r="I38" s="40" t="inlineStr">
        <is>
          <t>Gỡ lỗi probe</t>
        </is>
      </c>
    </row>
    <row r="39" ht="15" customHeight="1" s="29">
      <c r="A39" s="40" t="inlineStr">
        <is>
          <t>UC-G01</t>
        </is>
      </c>
      <c r="B39" s="40" t="inlineStr">
        <is>
          <t>Chạy benchmark Pack/skill trên board</t>
        </is>
      </c>
      <c r="C39" s="40" t="inlineStr">
        <is>
          <t>G. Chia sẻ &amp; đánh giá</t>
        </is>
      </c>
      <c r="D39" s="40" t="inlineStr">
        <is>
          <t>M</t>
        </is>
      </c>
      <c r="E39" s="40" t="inlineStr">
        <is>
          <t>M2</t>
        </is>
      </c>
      <c r="F39" s="40" t="inlineStr">
        <is>
          <t>G-OPS</t>
        </is>
      </c>
      <c r="G39" s="40" t="inlineStr">
        <is>
          <t>FR-BEN-01, FR-BEN-03</t>
        </is>
      </c>
      <c r="H39" s="40" t="inlineStr">
        <is>
          <t>UR-HT-01</t>
        </is>
      </c>
      <c r="I39" s="40" t="inlineStr">
        <is>
          <t>Benchmark</t>
        </is>
      </c>
    </row>
    <row r="40" ht="23.25" customHeight="1" s="29">
      <c r="A40" s="40" t="inlineStr">
        <is>
          <t>UC-G02</t>
        </is>
      </c>
      <c r="B40" s="40" t="inlineStr">
        <is>
          <t>Đóng gói và phát hành hộ chiếu/skill (.hkp) — G5</t>
        </is>
      </c>
      <c r="C40" s="40" t="inlineStr">
        <is>
          <t>G. Chia sẻ &amp; đánh giá</t>
        </is>
      </c>
      <c r="D40" s="40" t="inlineStr">
        <is>
          <t>M</t>
        </is>
      </c>
      <c r="E40" s="40" t="inlineStr">
        <is>
          <t>M4</t>
        </is>
      </c>
      <c r="F40" s="40" t="inlineStr">
        <is>
          <t>G5</t>
        </is>
      </c>
      <c r="G40" s="40" t="inlineStr">
        <is>
          <t>FR-REG-01, FR-REG-02, FR-REG-03</t>
        </is>
      </c>
      <c r="H40" s="40" t="inlineStr">
        <is>
          <t>UR-RG-01</t>
        </is>
      </c>
      <c r="I40" s="40" t="inlineStr">
        <is>
          <t>Registry</t>
        </is>
      </c>
    </row>
    <row r="41" ht="15" customHeight="1" s="29">
      <c r="A41" s="40" t="inlineStr">
        <is>
          <t>UC-G03</t>
        </is>
      </c>
      <c r="B41" s="40" t="inlineStr">
        <is>
          <t>Pull gói từ registry vào dự án</t>
        </is>
      </c>
      <c r="C41" s="40" t="inlineStr">
        <is>
          <t>G. Chia sẻ &amp; đánh giá</t>
        </is>
      </c>
      <c r="D41" s="40" t="inlineStr">
        <is>
          <t>M</t>
        </is>
      </c>
      <c r="E41" s="40" t="inlineStr">
        <is>
          <t>M4</t>
        </is>
      </c>
      <c r="F41" s="40" t="inlineStr">
        <is>
          <t>G-SRC</t>
        </is>
      </c>
      <c r="G41" s="40" t="inlineStr">
        <is>
          <t>FR-REG-04</t>
        </is>
      </c>
      <c r="H41" s="40" t="inlineStr">
        <is>
          <t>UR-RG-02</t>
        </is>
      </c>
      <c r="I41" s="40" t="inlineStr">
        <is>
          <t>Registry</t>
        </is>
      </c>
    </row>
    <row r="42" ht="15" customHeight="1" s="29">
      <c r="A42" s="40" t="inlineStr">
        <is>
          <t>UC-G04</t>
        </is>
      </c>
      <c r="B42" s="40" t="inlineStr">
        <is>
          <t>Xuất báo cáo và ma trận Người–AI</t>
        </is>
      </c>
      <c r="C42" s="40" t="inlineStr">
        <is>
          <t>G. Chia sẻ &amp; đánh giá</t>
        </is>
      </c>
      <c r="D42" s="40" t="inlineStr">
        <is>
          <t>S</t>
        </is>
      </c>
      <c r="E42" s="40" t="inlineStr">
        <is>
          <t>M4</t>
        </is>
      </c>
      <c r="F42" s="40" t="inlineStr">
        <is>
          <t>G5</t>
        </is>
      </c>
      <c r="G42" s="40" t="inlineStr">
        <is>
          <t>FR-GOV-06</t>
        </is>
      </c>
      <c r="H42" s="40" t="inlineStr">
        <is>
          <t>UR-HT-03 (EAA)</t>
        </is>
      </c>
      <c r="I42" s="40" t="inlineStr">
        <is>
          <t>Môi trường &amp; báo cáo</t>
        </is>
      </c>
    </row>
    <row r="43" ht="15" customHeight="1" s="29">
      <c r="A43" s="40" t="inlineStr">
        <is>
          <t>UC-H01</t>
        </is>
      </c>
      <c r="B43" s="40" t="inlineStr">
        <is>
          <t>Ra lệnh / hỏi trong cửa sổ trò chuyện</t>
        </is>
      </c>
      <c r="C43" s="40" t="inlineStr">
        <is>
          <t>H. Tương tác tác tử</t>
        </is>
      </c>
      <c r="D43" s="40" t="inlineStr">
        <is>
          <t>M</t>
        </is>
      </c>
      <c r="E43" s="40" t="inlineStr">
        <is>
          <t>M2</t>
        </is>
      </c>
      <c r="F43" s="40" t="inlineStr">
        <is>
          <t>Theo hành động</t>
        </is>
      </c>
      <c r="G43" s="40" t="inlineStr">
        <is>
          <t>FR-AGT-01, FR-MCP-01</t>
        </is>
      </c>
      <c r="H43" s="40" t="inlineStr">
        <is>
          <t>UR-MA-01</t>
        </is>
      </c>
      <c r="I43" s="40" t="inlineStr">
        <is>
          <t>Trò chuyện</t>
        </is>
      </c>
    </row>
    <row r="44" ht="23.25" customHeight="1" s="29">
      <c r="A44" s="40" t="inlineStr">
        <is>
          <t>UC-H02</t>
        </is>
      </c>
      <c r="B44" s="40" t="inlineStr">
        <is>
          <t>Tác tử tự đánh giá đủ thông tin trước khi làm</t>
        </is>
      </c>
      <c r="C44" s="40" t="inlineStr">
        <is>
          <t>H. Tương tác tác tử</t>
        </is>
      </c>
      <c r="D44" s="40" t="inlineStr">
        <is>
          <t>M</t>
        </is>
      </c>
      <c r="E44" s="40" t="inlineStr">
        <is>
          <t>M2</t>
        </is>
      </c>
      <c r="F44" s="40" t="inlineStr">
        <is>
          <t>—</t>
        </is>
      </c>
      <c r="G44" s="40" t="inlineStr">
        <is>
          <t>FR-ACQ-05</t>
        </is>
      </c>
      <c r="H44" s="40" t="inlineStr">
        <is>
          <t>UR-TT-02 (KT-02 EAA)</t>
        </is>
      </c>
      <c r="I44" s="40" t="inlineStr">
        <is>
          <t>Trò chuyện</t>
        </is>
      </c>
    </row>
    <row r="45" ht="23.25" customHeight="1" s="29">
      <c r="A45" s="40" t="inlineStr">
        <is>
          <t>UC-H03</t>
        </is>
      </c>
      <c r="B45" s="40" t="inlineStr">
        <is>
          <t>Vượt ngân sách hoặc mô hình không khả dụng</t>
        </is>
      </c>
      <c r="C45" s="40" t="inlineStr">
        <is>
          <t>H. Tương tác tác tử</t>
        </is>
      </c>
      <c r="D45" s="40" t="inlineStr">
        <is>
          <t>M</t>
        </is>
      </c>
      <c r="E45" s="40" t="inlineStr">
        <is>
          <t>M0</t>
        </is>
      </c>
      <c r="F45" s="40" t="inlineStr">
        <is>
          <t>—</t>
        </is>
      </c>
      <c r="G45" s="40" t="inlineStr">
        <is>
          <t>FR-LLM-02, FR-LLM-04</t>
        </is>
      </c>
      <c r="H45" s="40" t="inlineStr">
        <is>
          <t>UR-MH-03</t>
        </is>
      </c>
      <c r="I45" s="40" t="inlineStr">
        <is>
          <t>Mô hình &amp; chi phí</t>
        </is>
      </c>
    </row>
    <row r="46" ht="15" customHeight="1" s="29">
      <c r="A46" s="40" t="inlineStr">
        <is>
          <t>UC-H04</t>
        </is>
      </c>
      <c r="B46" s="40" t="inlineStr">
        <is>
          <t>Tác tử từ chối hoặc trả lời 'không biết'</t>
        </is>
      </c>
      <c r="C46" s="40" t="inlineStr">
        <is>
          <t>H. Tương tác tác tử</t>
        </is>
      </c>
      <c r="D46" s="40" t="inlineStr">
        <is>
          <t>M</t>
        </is>
      </c>
      <c r="E46" s="40" t="inlineStr">
        <is>
          <t>M0</t>
        </is>
      </c>
      <c r="F46" s="40" t="inlineStr">
        <is>
          <t>—</t>
        </is>
      </c>
      <c r="G46" s="40" t="inlineStr">
        <is>
          <t>NFR-02</t>
        </is>
      </c>
      <c r="H46" s="40" t="inlineStr">
        <is>
          <t>UQ-01</t>
        </is>
      </c>
      <c r="I46" s="40" t="inlineStr">
        <is>
          <t>Trò chuyện</t>
        </is>
      </c>
    </row>
    <row r="49" ht="15" customHeight="1" s="29">
      <c r="A49" s="38" t="inlineStr">
        <is>
          <t>THỐNG KÊ (công thức)</t>
        </is>
      </c>
      <c r="B49" s="50" t="n"/>
      <c r="C49" s="50" t="n"/>
    </row>
    <row r="50" ht="15" customHeight="1" s="29">
      <c r="A50" s="50" t="inlineStr">
        <is>
          <t>Tổng số UC</t>
        </is>
      </c>
      <c r="B50" s="50">
        <f>COUNTA(A2:A46)</f>
        <v/>
      </c>
      <c r="C50" s="50" t="n"/>
    </row>
    <row r="51" ht="15" customHeight="1" s="29">
      <c r="A51" s="50" t="inlineStr">
        <is>
          <t>UC bắt buộc (M)</t>
        </is>
      </c>
      <c r="B51" s="50">
        <f>COUNTIF(D2:D46,"M")</f>
        <v/>
      </c>
      <c r="C51" s="50" t="n"/>
    </row>
    <row r="52" ht="15" customHeight="1" s="29">
      <c r="A52" s="50" t="inlineStr">
        <is>
          <t>UC nên có (S)</t>
        </is>
      </c>
      <c r="B52" s="50">
        <f>COUNTIF(D2:D46,"S")</f>
        <v/>
      </c>
      <c r="C52" s="50" t="n"/>
    </row>
    <row r="53" ht="15" customHeight="1" s="29">
      <c r="A53" s="50" t="inlineStr">
        <is>
          <t>UC có cổng người</t>
        </is>
      </c>
      <c r="B53" s="50">
        <f>COUNTIF(F2:F46,"&lt;&gt;—")</f>
        <v/>
      </c>
      <c r="C53" s="50" t="n"/>
    </row>
    <row r="54" ht="15" customHeight="1" s="29">
      <c r="A54" s="51" t="inlineStr">
        <is>
          <t>Theo nhóm →</t>
        </is>
      </c>
      <c r="B54" s="50" t="n"/>
      <c r="C54" s="50" t="n"/>
    </row>
    <row r="55" ht="15" customHeight="1" s="29">
      <c r="A55" s="50" t="inlineStr">
        <is>
          <t>A. Dự án &amp; môi trường</t>
        </is>
      </c>
      <c r="B55" s="50">
        <f>COUNTIF(C2:C46,"A. Dự án &amp; môi trường")</f>
        <v/>
      </c>
      <c r="C55" s="50" t="n"/>
    </row>
    <row r="56" ht="15" customHeight="1" s="29">
      <c r="A56" s="50" t="inlineStr">
        <is>
          <t>B. Nhận tri thức</t>
        </is>
      </c>
      <c r="B56" s="50">
        <f>COUNTIF(C2:C46,"B. Nhận tri thức")</f>
        <v/>
      </c>
      <c r="C56" s="50" t="n"/>
    </row>
    <row r="57" ht="15" customHeight="1" s="29">
      <c r="A57" s="50" t="inlineStr">
        <is>
          <t>C. Mạch &amp; tài nguyên</t>
        </is>
      </c>
      <c r="B57" s="50">
        <f>COUNTIF(C2:C46,"C. Mạch &amp; tài nguyên")</f>
        <v/>
      </c>
      <c r="C57" s="50" t="n"/>
    </row>
    <row r="58" ht="15" customHeight="1" s="29">
      <c r="A58" s="50" t="inlineStr">
        <is>
          <t>D. Kế hoạch &amp; sinh mã</t>
        </is>
      </c>
      <c r="B58" s="50">
        <f>COUNTIF(C2:C46,"D. Kế hoạch &amp; sinh mã")</f>
        <v/>
      </c>
      <c r="C58" s="50" t="n"/>
    </row>
    <row r="59" ht="15" customHeight="1" s="29">
      <c r="A59" s="50" t="inlineStr">
        <is>
          <t>E. Mô phỏng</t>
        </is>
      </c>
      <c r="B59" s="50">
        <f>COUNTIF(C2:C46,"E. Mô phỏng")</f>
        <v/>
      </c>
      <c r="C59" s="50" t="n"/>
    </row>
    <row r="60" ht="15" customHeight="1" s="29">
      <c r="A60" s="50" t="inlineStr">
        <is>
          <t>F. Xác minh &amp; gỡ lỗi</t>
        </is>
      </c>
      <c r="B60" s="50">
        <f>COUNTIF(C2:C46,"F. Xác minh &amp; gỡ lỗi")</f>
        <v/>
      </c>
      <c r="C60" s="50" t="n"/>
    </row>
    <row r="61" ht="15" customHeight="1" s="29">
      <c r="A61" s="50" t="inlineStr">
        <is>
          <t>G. Chia sẻ &amp; đánh giá</t>
        </is>
      </c>
      <c r="B61" s="50">
        <f>COUNTIF(C2:C46,"G. Chia sẻ &amp; đánh giá")</f>
        <v/>
      </c>
      <c r="C61" s="50" t="n"/>
    </row>
    <row r="62" ht="15" customHeight="1" s="29">
      <c r="A62" s="50" t="inlineStr">
        <is>
          <t>H. Tương tác tác tử</t>
        </is>
      </c>
      <c r="B62" s="50">
        <f>COUNTIF(C2:C46,"H. Tương tác tác tử")</f>
        <v/>
      </c>
      <c r="C62" s="50" t="n"/>
    </row>
    <row r="63" ht="15" customHeight="1" s="29">
      <c r="A63" s="50" t="n"/>
      <c r="B63" s="50" t="n"/>
      <c r="C63" s="50" t="n"/>
    </row>
    <row r="64" ht="15" customHeight="1" s="29">
      <c r="A64" s="51" t="inlineStr">
        <is>
          <t>Theo mốc →</t>
        </is>
      </c>
      <c r="B64" s="51" t="inlineStr">
        <is>
          <t>Số UC</t>
        </is>
      </c>
      <c r="C64" s="51" t="inlineStr">
        <is>
          <t>Số bước luồng chính</t>
        </is>
      </c>
    </row>
    <row r="65" ht="15" customHeight="1" s="29">
      <c r="A65" s="50" t="inlineStr">
        <is>
          <t>M0</t>
        </is>
      </c>
      <c r="B65" s="50">
        <f>COUNTIF(E2:E46,"M0")</f>
        <v/>
      </c>
      <c r="C65" s="50">
        <f>SUMIF('2. Danh mục UC'!M:M,"M0",'2. Danh mục UC'!Q:Q)</f>
        <v/>
      </c>
    </row>
    <row r="66" ht="15" customHeight="1" s="29">
      <c r="A66" s="50" t="inlineStr">
        <is>
          <t>M1</t>
        </is>
      </c>
      <c r="B66" s="50">
        <f>COUNTIF(E2:E46,"M1")</f>
        <v/>
      </c>
      <c r="C66" s="50">
        <f>SUMIF('2. Danh mục UC'!M:M,"M1",'2. Danh mục UC'!Q:Q)</f>
        <v/>
      </c>
    </row>
    <row r="67" ht="15" customHeight="1" s="29">
      <c r="A67" s="50" t="inlineStr">
        <is>
          <t>M2</t>
        </is>
      </c>
      <c r="B67" s="50">
        <f>COUNTIF(E2:E46,"M2")</f>
        <v/>
      </c>
      <c r="C67" s="50">
        <f>SUMIF('2. Danh mục UC'!M:M,"M2",'2. Danh mục UC'!Q:Q)</f>
        <v/>
      </c>
    </row>
    <row r="68" ht="15" customHeight="1" s="29">
      <c r="A68" s="50" t="inlineStr">
        <is>
          <t>M3</t>
        </is>
      </c>
      <c r="B68" s="50">
        <f>COUNTIF(E2:E46,"M3")</f>
        <v/>
      </c>
      <c r="C68" s="50">
        <f>SUMIF('2. Danh mục UC'!M:M,"M3",'2. Danh mục UC'!Q:Q)</f>
        <v/>
      </c>
    </row>
    <row r="69" ht="15" customHeight="1" s="29">
      <c r="A69" s="50" t="inlineStr">
        <is>
          <t>M4</t>
        </is>
      </c>
      <c r="B69" s="50">
        <f>COUNTIF(E2:E46,"M4")</f>
        <v/>
      </c>
      <c r="C69" s="50">
        <f>SUMIF('2. Danh mục UC'!M:M,"M4",'2. Danh mục UC'!Q:Q)</f>
        <v/>
      </c>
    </row>
    <row r="70" ht="15" customHeight="1" s="29">
      <c r="A70" s="50" t="inlineStr">
        <is>
          <t>M5</t>
        </is>
      </c>
      <c r="B70" s="50">
        <f>COUNTIF(E2:E46,"M5")</f>
        <v/>
      </c>
      <c r="C70" s="50">
        <f>SUMIF('2. Danh mục UC'!M:M,"M5",'2. Danh mục UC'!Q:Q)</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69"/>
  <sheetViews>
    <sheetView showFormulas="0" showGridLines="1" showRowColHeaders="1" showZeros="1" rightToLeft="0" tabSelected="0" showOutlineSymbols="1" defaultGridColor="1"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8" min="1" max="1"/>
    <col width="52" customWidth="1" style="28" min="2" max="2"/>
    <col width="7" customWidth="1" style="28" min="3" max="3"/>
    <col width="42" customWidth="1" style="28" min="4" max="4"/>
    <col width="44" customWidth="1" style="28" min="5" max="5"/>
    <col width="18" customWidth="1" style="28" min="6" max="6"/>
    <col width="22" customWidth="1" style="28" min="7" max="7"/>
  </cols>
  <sheetData>
    <row r="1" ht="15" customHeight="1" s="29">
      <c r="A1" s="38" t="inlineStr">
        <is>
          <t>BA MỨC TỰ CHỦ (rút gọn từ bảng 4 nhóm ở Bước 3) — cộng với 'Lệnh': thao tác duy nhất của kỹ sư là ra lệnh bằng ngôn ngữ tự nhiên</t>
        </is>
      </c>
    </row>
    <row r="2" ht="15" customHeight="1" s="29">
      <c r="A2" s="39" t="inlineStr">
        <is>
          <t>Mức</t>
        </is>
      </c>
      <c r="B2" s="39" t="inlineStr">
        <is>
          <t>Tên</t>
        </is>
      </c>
      <c r="C2" s="39" t="inlineStr">
        <is>
          <t>Đặc điểm để nhận biết</t>
        </is>
      </c>
      <c r="D2" s="39" t="inlineStr">
        <is>
          <t>Cách giao</t>
        </is>
      </c>
    </row>
    <row r="3" ht="157.5" customHeight="1" s="29">
      <c r="A3" s="52" t="inlineStr">
        <is>
          <t>T1</t>
        </is>
      </c>
      <c r="B3" s="40" t="inlineStr">
        <is>
          <t>AI làm trọn</t>
        </is>
      </c>
      <c r="C3" s="40" t="inlineStr">
        <is>
          <t>Lặp lại nhiều, quy tắc rõ, kết quả kiểm được bằng máy, sai sót nhỏ và hoàn tác được</t>
        </is>
      </c>
      <c r="D3" s="40" t="inlineStr">
        <is>
          <t>Giao AI; người xem báo cáo định kỳ và có nút hoàn tác. Tương đương APPROVE tự động trong EIDE-APD-08.</t>
        </is>
      </c>
    </row>
    <row r="4" ht="236.25" customHeight="1" s="29">
      <c r="A4" s="53" t="inlineStr">
        <is>
          <t>T2</t>
        </is>
      </c>
      <c r="B4" s="40" t="inlineStr">
        <is>
          <t>AI làm — người duyệt</t>
        </is>
      </c>
      <c r="C4" s="40" t="inlineStr">
        <is>
          <t>AI làm được toàn bộ nhưng kết quả ràng buộc trách nhiệm, tiền bạc, hoặc cần chuyên môn người để chọn giữa các phương án</t>
        </is>
      </c>
      <c r="D4" s="40" t="inlineStr">
        <is>
          <t>AI làm/chuẩn bị đủ, người có thẩm quyền ký duyệt hoặc chọn phương án trước khi có hiệu lực. Tương đương ASK.</t>
        </is>
      </c>
    </row>
    <row r="5" ht="213.75" customHeight="1" s="29">
      <c r="A5" s="54" t="inlineStr">
        <is>
          <t>T3</t>
        </is>
      </c>
      <c r="B5" s="40" t="inlineStr">
        <is>
          <t>Người làm</t>
        </is>
      </c>
      <c r="C5" s="40" t="inlineStr">
        <is>
          <t>Rủi ro vật lý, không hoàn tác, quyết định chiến lược, quan hệ, pháp lý; hoặc cần tay/mắt người trên phần cứng</t>
        </is>
      </c>
      <c r="D5" s="40" t="inlineStr">
        <is>
          <t>Người làm; AI chỉ cung cấp thông tin đầu vào, checklist, kịch bản.</t>
        </is>
      </c>
    </row>
    <row r="6" ht="168.75" customHeight="1" s="29">
      <c r="A6" s="55" t="inlineStr">
        <is>
          <t>Lệnh</t>
        </is>
      </c>
      <c r="B6" s="40" t="inlineStr">
        <is>
          <t>Kỹ sư ra lệnh</t>
        </is>
      </c>
      <c r="C6" s="40" t="inlineStr">
        <is>
          <t>Điểm khởi đầu của mọi việc: một câu bằng ngôn ngữ tự nhiên, có thể bao trùm nhiều UC</t>
        </is>
      </c>
      <c r="D6" s="40" t="inlineStr">
        <is>
          <t>Không phải thao tác thủ công; tác tử suy ra tham số và chạy chuỗi UC theo chính sách A3</t>
        </is>
      </c>
    </row>
    <row r="8" ht="15" customHeight="1" s="29">
      <c r="A8" s="38" t="inlineStr">
        <is>
          <t>PHÂN LOẠI CÔNG VIỆC CỦA EIDE</t>
        </is>
      </c>
    </row>
    <row r="9" ht="23.25" customHeight="1" s="29">
      <c r="A9" s="41" t="inlineStr">
        <is>
          <t>Quy trình</t>
        </is>
      </c>
      <c r="B9" s="41" t="inlineStr">
        <is>
          <t>Công việc</t>
        </is>
      </c>
      <c r="C9" s="41" t="inlineStr">
        <is>
          <t>Mức</t>
        </is>
      </c>
      <c r="D9" s="41" t="inlineStr">
        <is>
          <t>Đặc điểm nhận biết (lý do xếp mức)</t>
        </is>
      </c>
      <c r="E9" s="41" t="inlineStr">
        <is>
          <t>Cách giao trong EIDE</t>
        </is>
      </c>
      <c r="F9" s="41" t="inlineStr">
        <is>
          <t>UC liên quan</t>
        </is>
      </c>
      <c r="G9" s="41" t="inlineStr">
        <is>
          <t>Cổng cũ (APD thay bằng chính sách)</t>
        </is>
      </c>
    </row>
    <row r="10" ht="23.25" customHeight="1" s="29">
      <c r="A10" s="40" t="inlineStr">
        <is>
          <t>P0 Dự án &amp; môi trường</t>
        </is>
      </c>
      <c r="B10" s="40" t="inlineStr">
        <is>
          <t>Tạo dự án, tệp tiến độ, cấu hình mặc định — theo một câu lệnh của kỹ sư</t>
        </is>
      </c>
      <c r="C10" s="46" t="inlineStr">
        <is>
          <t>T1</t>
        </is>
      </c>
      <c r="D10" s="40" t="inlineStr">
        <is>
          <t>Quy tắc rõ, hoàn tác được; tham số suy ra từ câu lệnh</t>
        </is>
      </c>
      <c r="E10" s="40" t="inlineStr">
        <is>
          <t>Kỹ sư ra lệnh; tác tử suy ra tên/mô tả/chip/đường dẫn và làm hết</t>
        </is>
      </c>
      <c r="F10" s="40" t="inlineStr">
        <is>
          <t>UC-A01, UC-H01</t>
        </is>
      </c>
      <c r="G10" s="40" t="inlineStr">
        <is>
          <t>—</t>
        </is>
      </c>
    </row>
    <row r="11" ht="23.25" customHeight="1" s="29">
      <c r="A11" s="40" t="inlineStr">
        <is>
          <t>P0 Dự án &amp; môi trường</t>
        </is>
      </c>
      <c r="B11" s="40" t="inlineStr">
        <is>
          <t>Suy ra chip/ISA/board từ tài liệu</t>
        </is>
      </c>
      <c r="C11" s="46" t="inlineStr">
        <is>
          <t>T1</t>
        </is>
      </c>
      <c r="D11" s="40" t="inlineStr">
        <is>
          <t>Kiểm được bằng đối chiếu 2 nguồn (SVD + KiCad + PDF)</t>
        </is>
      </c>
      <c r="E11" s="40" t="inlineStr">
        <is>
          <t>Tự xác nhận khi ≥ 2 nguồn khớp; báo cáo</t>
        </is>
      </c>
      <c r="F11" s="40" t="inlineStr">
        <is>
          <t>UC-A02, UC-B02</t>
        </is>
      </c>
      <c r="G11" s="40" t="inlineStr">
        <is>
          <t>G-FACT</t>
        </is>
      </c>
    </row>
    <row r="12" ht="15" customHeight="1" s="29">
      <c r="A12" s="40" t="inlineStr">
        <is>
          <t>P0 Dự án &amp; môi trường</t>
        </is>
      </c>
      <c r="B12" s="40" t="inlineStr">
        <is>
          <t>Chọn chip chính khi tài liệu nêu nhiều chip</t>
        </is>
      </c>
      <c r="C12" s="47" t="inlineStr">
        <is>
          <t>T2</t>
        </is>
      </c>
      <c r="D12" s="40" t="inlineStr">
        <is>
          <t>Cần chuyên môn người</t>
        </is>
      </c>
      <c r="E12" s="40" t="inlineStr">
        <is>
          <t>AI đề xuất kèm lý do; người chọn</t>
        </is>
      </c>
      <c r="F12" s="40" t="inlineStr">
        <is>
          <t>UC-A02</t>
        </is>
      </c>
      <c r="G12" s="40" t="inlineStr">
        <is>
          <t>G-FACT</t>
        </is>
      </c>
    </row>
    <row r="13" ht="15" customHeight="1" s="29">
      <c r="A13" s="40" t="inlineStr">
        <is>
          <t>P0 Dự án &amp; môi trường</t>
        </is>
      </c>
      <c r="B13" s="40" t="inlineStr">
        <is>
          <t>Kiểm và cài toolchain mở (gcc, probe-rs, Renode, kicad-cli)</t>
        </is>
      </c>
      <c r="C13" s="46" t="inlineStr">
        <is>
          <t>T1</t>
        </is>
      </c>
      <c r="D13" s="40" t="inlineStr">
        <is>
          <t>Danh sách gói tin cậy, hoàn tác được</t>
        </is>
      </c>
      <c r="E13" s="40" t="inlineStr">
        <is>
          <t>Tự cài từ danh sách trắng; khóa phiên bản; báo cáo</t>
        </is>
      </c>
      <c r="F13" s="40" t="inlineStr">
        <is>
          <t>UC-A03</t>
        </is>
      </c>
      <c r="G13" s="40" t="inlineStr">
        <is>
          <t>G-OPS</t>
        </is>
      </c>
    </row>
    <row r="14" ht="15" customHeight="1" s="29">
      <c r="A14" s="40" t="inlineStr">
        <is>
          <t>P0 Dự án &amp; môi trường</t>
        </is>
      </c>
      <c r="B14" s="40" t="inlineStr">
        <is>
          <t>Cài toolchain đóng/có license (XC8, IAR, Keil)</t>
        </is>
      </c>
      <c r="C14" s="48" t="inlineStr">
        <is>
          <t>T3</t>
        </is>
      </c>
      <c r="D14" s="40" t="inlineStr">
        <is>
          <t>Ràng buộc license, tài khoản hãng</t>
        </is>
      </c>
      <c r="E14" s="40" t="inlineStr">
        <is>
          <t>AI hướng dẫn từng bước; người tải và cài</t>
        </is>
      </c>
      <c r="F14" s="40" t="inlineStr">
        <is>
          <t>UC-A03</t>
        </is>
      </c>
      <c r="G14" s="40" t="inlineStr">
        <is>
          <t>G-OPS</t>
        </is>
      </c>
    </row>
    <row r="15" ht="23.25" customHeight="1" s="29">
      <c r="A15" s="40" t="inlineStr">
        <is>
          <t>P0 Dự án &amp; môi trường</t>
        </is>
      </c>
      <c r="B15" s="40" t="inlineStr">
        <is>
          <t>Cấu hình mô hình và ngân sách mặc định</t>
        </is>
      </c>
      <c r="C15" s="46" t="inlineStr">
        <is>
          <t>T1</t>
        </is>
      </c>
      <c r="D15" s="40" t="inlineStr">
        <is>
          <t>Mặc định an toàn (5 USD/ngày); đổi bằng một câu lệnh</t>
        </is>
      </c>
      <c r="E15" s="40" t="inlineStr">
        <is>
          <t>Tự áp; người chỉ nói khi muốn khác</t>
        </is>
      </c>
      <c r="F15" s="40" t="inlineStr">
        <is>
          <t>UC-A04</t>
        </is>
      </c>
      <c r="G15" s="40" t="inlineStr">
        <is>
          <t>—</t>
        </is>
      </c>
    </row>
    <row r="16" ht="15" customHeight="1" s="29">
      <c r="A16" s="40" t="inlineStr">
        <is>
          <t>P0 Dự án &amp; môi trường</t>
        </is>
      </c>
      <c r="B16" s="40" t="inlineStr">
        <is>
          <t>Tăng ngân sách vượt mặc định</t>
        </is>
      </c>
      <c r="C16" s="47" t="inlineStr">
        <is>
          <t>T2</t>
        </is>
      </c>
      <c r="D16" s="40" t="inlineStr">
        <is>
          <t>Ràng buộc tiền bạc</t>
        </is>
      </c>
      <c r="E16" s="40" t="inlineStr">
        <is>
          <t>AI hỏi khi sắp hết; người quyết</t>
        </is>
      </c>
      <c r="F16" s="40" t="inlineStr">
        <is>
          <t>UC-H03</t>
        </is>
      </c>
      <c r="G16" s="40" t="inlineStr">
        <is>
          <t>—</t>
        </is>
      </c>
    </row>
    <row r="17" ht="15" customHeight="1" s="29">
      <c r="A17" s="40" t="inlineStr">
        <is>
          <t>P0 Dự án &amp; môi trường</t>
        </is>
      </c>
      <c r="B17" s="40" t="inlineStr">
        <is>
          <t>Khảo sát repo có sẵn, sinh CONVENTIONS.md</t>
        </is>
      </c>
      <c r="C17" s="46" t="inlineStr">
        <is>
          <t>T1</t>
        </is>
      </c>
      <c r="D17" s="40" t="inlineStr">
        <is>
          <t>Quy tắc rõ, không phá hoại</t>
        </is>
      </c>
      <c r="E17" s="40" t="inlineStr">
        <is>
          <t>Tự làm; người xem</t>
        </is>
      </c>
      <c r="F17" s="40" t="inlineStr">
        <is>
          <t>UC-A05</t>
        </is>
      </c>
      <c r="G17" s="40" t="inlineStr">
        <is>
          <t>—</t>
        </is>
      </c>
    </row>
    <row r="18" ht="15" customHeight="1" s="29">
      <c r="A18" s="40" t="inlineStr">
        <is>
          <t>P0 Dự án &amp; môi trường</t>
        </is>
      </c>
      <c r="B18" s="40" t="inlineStr">
        <is>
          <t>Tiếp tục phiên, chạy build known-good</t>
        </is>
      </c>
      <c r="C18" s="46" t="inlineStr">
        <is>
          <t>T1</t>
        </is>
      </c>
      <c r="D18" s="40" t="inlineStr">
        <is>
          <t>Lặp lại</t>
        </is>
      </c>
      <c r="E18" s="40" t="inlineStr">
        <is>
          <t>Tự động khi mở dự án</t>
        </is>
      </c>
      <c r="F18" s="40" t="inlineStr">
        <is>
          <t>UC-A06</t>
        </is>
      </c>
      <c r="G18" s="40" t="inlineStr">
        <is>
          <t>—</t>
        </is>
      </c>
    </row>
    <row r="19" ht="15" customHeight="1" s="29">
      <c r="A19" s="40" t="inlineStr">
        <is>
          <t>P1 Nhận tri thức</t>
        </is>
      </c>
      <c r="B19" s="40" t="inlineStr">
        <is>
          <t>Mở nén, phân loại tệp theo nội dung, tính hash</t>
        </is>
      </c>
      <c r="C19" s="46" t="inlineStr">
        <is>
          <t>T1</t>
        </is>
      </c>
      <c r="D19" s="40" t="inlineStr">
        <is>
          <t>Quy tắc rõ, sandbox</t>
        </is>
      </c>
      <c r="E19" s="40" t="inlineStr">
        <is>
          <t>Tự động</t>
        </is>
      </c>
      <c r="F19" s="40" t="inlineStr">
        <is>
          <t>UC-B01</t>
        </is>
      </c>
      <c r="G19" s="40" t="inlineStr">
        <is>
          <t>—</t>
        </is>
      </c>
    </row>
    <row r="20" ht="15" customHeight="1" s="29">
      <c r="A20" s="40" t="inlineStr">
        <is>
          <t>P1 Nhận tri thức</t>
        </is>
      </c>
      <c r="B20" s="40" t="inlineStr">
        <is>
          <t>Nhập SVD/ATDF/EDC/header chính hãng</t>
        </is>
      </c>
      <c r="C20" s="46" t="inlineStr">
        <is>
          <t>T1</t>
        </is>
      </c>
      <c r="D20" s="40" t="inlineStr">
        <is>
          <t>Parser xác định, tầng vàng</t>
        </is>
      </c>
      <c r="E20" s="40" t="inlineStr">
        <is>
          <t>Tự động; báo số fact</t>
        </is>
      </c>
      <c r="F20" s="40" t="inlineStr">
        <is>
          <t>UC-B03</t>
        </is>
      </c>
      <c r="G20" s="40" t="inlineStr">
        <is>
          <t>—</t>
        </is>
      </c>
    </row>
    <row r="21" ht="15" customHeight="1" s="29">
      <c r="A21" s="40" t="inlineStr">
        <is>
          <t>P1 Nhận tri thức</t>
        </is>
      </c>
      <c r="B21" s="40" t="inlineStr">
        <is>
          <t>Trích xuất PDF chính hãng thành fact</t>
        </is>
      </c>
      <c r="C21" s="46" t="inlineStr">
        <is>
          <t>T1</t>
        </is>
      </c>
      <c r="D21" s="40" t="inlineStr">
        <is>
          <t>Kiểm được: kiểu/dải hợp lý, đối chiếu nguồn 2</t>
        </is>
      </c>
      <c r="E21" s="40" t="inlineStr">
        <is>
          <t>Tự động; fact confidence ≥ 0,85 tự duyệt</t>
        </is>
      </c>
      <c r="F21" s="40" t="inlineStr">
        <is>
          <t>UC-B04</t>
        </is>
      </c>
      <c r="G21" s="40" t="inlineStr">
        <is>
          <t>G-FACT</t>
        </is>
      </c>
    </row>
    <row r="22" ht="23.25" customHeight="1" s="29">
      <c r="A22" s="40" t="inlineStr">
        <is>
          <t>P1 Nhận tri thức</t>
        </is>
      </c>
      <c r="B22" s="40" t="inlineStr">
        <is>
          <t>Duyệt fact tin cậy thấp, fact từ ảnh/OCR, fact điện &amp; timing an toàn</t>
        </is>
      </c>
      <c r="C22" s="47" t="inlineStr">
        <is>
          <t>T2</t>
        </is>
      </c>
      <c r="D22" s="40" t="inlineStr">
        <is>
          <t>Sai sót có thể hỏng board / sai điện áp</t>
        </is>
      </c>
      <c r="E22" s="40" t="inlineStr">
        <is>
          <t>AI trình nhóm + ảnh cắt; người duyệt theo nhóm</t>
        </is>
      </c>
      <c r="F22" s="40" t="inlineStr">
        <is>
          <t>UC-B10</t>
        </is>
      </c>
      <c r="G22" s="40" t="inlineStr">
        <is>
          <t>G-FACT</t>
        </is>
      </c>
    </row>
    <row r="23" ht="15" customHeight="1" s="29">
      <c r="A23" s="40" t="inlineStr">
        <is>
          <t>P1 Nhận tri thức</t>
        </is>
      </c>
      <c r="B23" s="40" t="inlineStr">
        <is>
          <t>Giải quyết mâu thuẫn giữa nguồn</t>
        </is>
      </c>
      <c r="C23" s="47" t="inlineStr">
        <is>
          <t>T2</t>
        </is>
      </c>
      <c r="D23" s="40" t="inlineStr">
        <is>
          <t>Cần chuyên môn (phiên bản, biến thể chip)</t>
        </is>
      </c>
      <c r="E23" s="40" t="inlineStr">
        <is>
          <t>AI phân tích nguyên nhân và đề xuất; người chọn</t>
        </is>
      </c>
      <c r="F23" s="40" t="inlineStr">
        <is>
          <t>UC-B11</t>
        </is>
      </c>
      <c r="G23" s="40" t="inlineStr">
        <is>
          <t>G-FACT</t>
        </is>
      </c>
    </row>
    <row r="24" ht="15" customHeight="1" s="29">
      <c r="A24" s="40" t="inlineStr">
        <is>
          <t>P1 Nhận tri thức</t>
        </is>
      </c>
      <c r="B24" s="40" t="inlineStr">
        <is>
          <t>Phát hiện thiếu tri thức, tạo yêu cầu</t>
        </is>
      </c>
      <c r="C24" s="46" t="inlineStr">
        <is>
          <t>T1</t>
        </is>
      </c>
      <c r="D24" s="40" t="inlineStr">
        <is>
          <t>Quy tắc rõ</t>
        </is>
      </c>
      <c r="E24" s="40" t="inlineStr">
        <is>
          <t>Tự động</t>
        </is>
      </c>
      <c r="F24" s="40" t="inlineStr">
        <is>
          <t>UC-B07, UC-H02</t>
        </is>
      </c>
      <c r="G24" s="40" t="inlineStr">
        <is>
          <t>—</t>
        </is>
      </c>
    </row>
    <row r="25" ht="15" customHeight="1" s="29">
      <c r="A25" s="40" t="inlineStr">
        <is>
          <t>P1 Nhận tri thức</t>
        </is>
      </c>
      <c r="B25" s="40" t="inlineStr">
        <is>
          <t>Tìm nguồn trên registry / kho hãng / docs MCP</t>
        </is>
      </c>
      <c r="C25" s="46" t="inlineStr">
        <is>
          <t>T1</t>
        </is>
      </c>
      <c r="D25" s="40" t="inlineStr">
        <is>
          <t>Nguồn tin cậy, không tải trước</t>
        </is>
      </c>
      <c r="E25" s="40" t="inlineStr">
        <is>
          <t>Tự động; xếp hạng</t>
        </is>
      </c>
      <c r="F25" s="40" t="inlineStr">
        <is>
          <t>UC-B08</t>
        </is>
      </c>
      <c r="G25" s="40" t="inlineStr">
        <is>
          <t>—</t>
        </is>
      </c>
    </row>
    <row r="26" ht="23.25" customHeight="1" s="29">
      <c r="A26" s="40" t="inlineStr">
        <is>
          <t>P1 Nhận tri thức</t>
        </is>
      </c>
      <c r="B26" s="40" t="inlineStr">
        <is>
          <t>Tải nguồn từ tên miền hãng trong danh sách tin cậy, hash/license rõ</t>
        </is>
      </c>
      <c r="C26" s="46" t="inlineStr">
        <is>
          <t>T1</t>
        </is>
      </c>
      <c r="D26" s="40" t="inlineStr">
        <is>
          <t>Hoàn tác được (xóa cache), rủi ro thấp</t>
        </is>
      </c>
      <c r="E26" s="40" t="inlineStr">
        <is>
          <t>Tự tải và tóm tắt; báo cáo</t>
        </is>
      </c>
      <c r="F26" s="40" t="inlineStr">
        <is>
          <t>UC-B09</t>
        </is>
      </c>
      <c r="G26" s="40" t="inlineStr">
        <is>
          <t>G-SRC</t>
        </is>
      </c>
    </row>
    <row r="27" ht="23.25" customHeight="1" s="29">
      <c r="A27" s="40" t="inlineStr">
        <is>
          <t>P1 Nhận tri thức</t>
        </is>
      </c>
      <c r="B27" s="40" t="inlineStr">
        <is>
          <t>Chọn nguồn web ngoài danh sách tin cậy, license không rõ, tệp lớn</t>
        </is>
      </c>
      <c r="C27" s="47" t="inlineStr">
        <is>
          <t>T2</t>
        </is>
      </c>
      <c r="D27" s="40" t="inlineStr">
        <is>
          <t>Ràng buộc pháp lý (license), rủi ro tài liệu sai</t>
        </is>
      </c>
      <c r="E27" s="40" t="inlineStr">
        <is>
          <t>AI trình ứng viên có lý do; người chọn</t>
        </is>
      </c>
      <c r="F27" s="40" t="inlineStr">
        <is>
          <t>UC-B09</t>
        </is>
      </c>
      <c r="G27" s="40" t="inlineStr">
        <is>
          <t>G-SRC</t>
        </is>
      </c>
    </row>
    <row r="28" ht="15" customHeight="1" s="29">
      <c r="A28" s="40" t="inlineStr">
        <is>
          <t>P1 Nhận tri thức</t>
        </is>
      </c>
      <c r="B28" s="40" t="inlineStr">
        <is>
          <t>Nhập KiCad, dựng BoardPassport</t>
        </is>
      </c>
      <c r="C28" s="46" t="inlineStr">
        <is>
          <t>T1</t>
        </is>
      </c>
      <c r="D28" s="40" t="inlineStr">
        <is>
          <t>Cấu trúc, kiểm được</t>
        </is>
      </c>
      <c r="E28" s="40" t="inlineStr">
        <is>
          <t>Tự động; báo cáo net/xung đột</t>
        </is>
      </c>
      <c r="F28" s="40" t="inlineStr">
        <is>
          <t>UC-B06</t>
        </is>
      </c>
      <c r="G28" s="40" t="inlineStr">
        <is>
          <t>G-FACT</t>
        </is>
      </c>
    </row>
    <row r="29" ht="15" customHeight="1" s="29">
      <c r="A29" s="40" t="inlineStr">
        <is>
          <t>P1 Nhận tri thức</t>
        </is>
      </c>
      <c r="B29" s="40" t="inlineStr">
        <is>
          <t>Đọc ảnh schematic/board thành đề xuất net</t>
        </is>
      </c>
      <c r="C29" s="47" t="inlineStr">
        <is>
          <t>T2</t>
        </is>
      </c>
      <c r="D29" s="40" t="inlineStr">
        <is>
          <t>Tin cậy thấp bẩm sinh</t>
        </is>
      </c>
      <c r="E29" s="40" t="inlineStr">
        <is>
          <t>AI đề xuất kèm ảnh cắt; người xác nhận</t>
        </is>
      </c>
      <c r="F29" s="40" t="inlineStr">
        <is>
          <t>UC-B05</t>
        </is>
      </c>
      <c r="G29" s="40" t="inlineStr">
        <is>
          <t>G-FACT</t>
        </is>
      </c>
    </row>
    <row r="30" ht="15" customHeight="1" s="29">
      <c r="A30" s="40" t="inlineStr">
        <is>
          <t>P1 Nhận tri thức</t>
        </is>
      </c>
      <c r="B30" s="40" t="inlineStr">
        <is>
          <t>Kiểm định hộ chiếu trên board lab (đọc ID, GPIO, UART)</t>
        </is>
      </c>
      <c r="C30" s="46" t="inlineStr">
        <is>
          <t>T1</t>
        </is>
      </c>
      <c r="D30" s="40" t="inlineStr">
        <is>
          <t>Board lab, hoàn tác bằng nạp lại</t>
        </is>
      </c>
      <c r="E30" s="40" t="inlineStr">
        <is>
          <t>Tự nạp và so; gắn huy hiệu</t>
        </is>
      </c>
      <c r="F30" s="40" t="inlineStr">
        <is>
          <t>UC-B12</t>
        </is>
      </c>
      <c r="G30" s="40" t="inlineStr">
        <is>
          <t>G-OPS</t>
        </is>
      </c>
    </row>
    <row r="31" ht="15" customHeight="1" s="29">
      <c r="A31" s="40" t="inlineStr">
        <is>
          <t>P1 Nhận tri thức</t>
        </is>
      </c>
      <c r="B31" s="40" t="inlineStr">
        <is>
          <t>Nâng phiên bản tri thức (SVD mới) và ghim</t>
        </is>
      </c>
      <c r="C31" s="47" t="inlineStr">
        <is>
          <t>T2</t>
        </is>
      </c>
      <c r="D31" s="40" t="inlineStr">
        <is>
          <t>Ảnh hưởng mã đã passing</t>
        </is>
      </c>
      <c r="E31" s="40" t="inlineStr">
        <is>
          <t>AI báo diff + impact; người quyết định nâng</t>
        </is>
      </c>
      <c r="F31" s="40" t="inlineStr">
        <is>
          <t>UC-B13</t>
        </is>
      </c>
      <c r="G31" s="40" t="inlineStr">
        <is>
          <t>G1</t>
        </is>
      </c>
    </row>
    <row r="32" ht="15" customHeight="1" s="29">
      <c r="A32" s="40" t="inlineStr">
        <is>
          <t>P1 Nhận tri thức</t>
        </is>
      </c>
      <c r="B32" s="40" t="inlineStr">
        <is>
          <t>Trả lời tra cứu có trích dẫn</t>
        </is>
      </c>
      <c r="C32" s="46" t="inlineStr">
        <is>
          <t>T1</t>
        </is>
      </c>
      <c r="D32" s="40" t="inlineStr">
        <is>
          <t>Đọc</t>
        </is>
      </c>
      <c r="E32" s="40" t="inlineStr">
        <is>
          <t>Tự động</t>
        </is>
      </c>
      <c r="F32" s="40" t="inlineStr">
        <is>
          <t>UC-B14</t>
        </is>
      </c>
      <c r="G32" s="40" t="inlineStr">
        <is>
          <t>—</t>
        </is>
      </c>
    </row>
    <row r="33" ht="23.25" customHeight="1" s="29">
      <c r="A33" s="40" t="inlineStr">
        <is>
          <t>P2 Lập kế hoạch</t>
        </is>
      </c>
      <c r="B33" s="40" t="inlineStr">
        <is>
          <t>Chuẩn hóa yêu cầu thành Feature/STEP; hỏi lại ≤ 3 câu khi mơ hồ</t>
        </is>
      </c>
      <c r="C33" s="46" t="inlineStr">
        <is>
          <t>T1</t>
        </is>
      </c>
      <c r="D33" s="40" t="inlineStr">
        <is>
          <t>Quy tắc rõ</t>
        </is>
      </c>
      <c r="E33" s="40" t="inlineStr">
        <is>
          <t>Tự động</t>
        </is>
      </c>
      <c r="F33" s="40" t="inlineStr">
        <is>
          <t>UC-D01</t>
        </is>
      </c>
      <c r="G33" s="40" t="inlineStr">
        <is>
          <t>—</t>
        </is>
      </c>
    </row>
    <row r="34" ht="15" customHeight="1" s="29">
      <c r="A34" s="40" t="inlineStr">
        <is>
          <t>P2 Lập kế hoạch</t>
        </is>
      </c>
      <c r="B34" s="40" t="inlineStr">
        <is>
          <t>Kế hoạch không dùng tài nguyên mới, có trích dẫn đủ</t>
        </is>
      </c>
      <c r="C34" s="46" t="inlineStr">
        <is>
          <t>T1</t>
        </is>
      </c>
      <c r="D34" s="40" t="inlineStr">
        <is>
          <t>Kiểm được bằng validator + kg.conflicts</t>
        </is>
      </c>
      <c r="E34" s="40" t="inlineStr">
        <is>
          <t>Tự duyệt; báo cáo</t>
        </is>
      </c>
      <c r="F34" s="40" t="inlineStr">
        <is>
          <t>UC-D02</t>
        </is>
      </c>
      <c r="G34" s="40" t="inlineStr">
        <is>
          <t>G1</t>
        </is>
      </c>
    </row>
    <row r="35" ht="23.25" customHeight="1" s="29">
      <c r="A35" s="40" t="inlineStr">
        <is>
          <t>P2 Lập kế hoạch</t>
        </is>
      </c>
      <c r="B35" s="40" t="inlineStr">
        <is>
          <t>Kế hoạch đổi kiến trúc (RTOS, clock, ISR, DMA) hoặc dùng tài nguyên mới</t>
        </is>
      </c>
      <c r="C35" s="47" t="inlineStr">
        <is>
          <t>T2</t>
        </is>
      </c>
      <c r="D35" s="40" t="inlineStr">
        <is>
          <t>Cần chuyên môn, ảnh hưởng rộng</t>
        </is>
      </c>
      <c r="E35" s="40" t="inlineStr">
        <is>
          <t>AI trình phương án; người chọn</t>
        </is>
      </c>
      <c r="F35" s="40" t="inlineStr">
        <is>
          <t>UC-D02, UC-C01</t>
        </is>
      </c>
      <c r="G35" s="40" t="inlineStr">
        <is>
          <t>G1</t>
        </is>
      </c>
    </row>
    <row r="36" ht="15" customHeight="1" s="29">
      <c r="A36" s="40" t="inlineStr">
        <is>
          <t>P2 Lập kế hoạch</t>
        </is>
      </c>
      <c r="B36" s="40" t="inlineStr">
        <is>
          <t>Quyết định phương án xung đột chân khi chạm mã đã passing</t>
        </is>
      </c>
      <c r="C36" s="47" t="inlineStr">
        <is>
          <t>T2</t>
        </is>
      </c>
      <c r="D36" s="40" t="inlineStr">
        <is>
          <t>Ảnh hưởng phần cứng/mã</t>
        </is>
      </c>
      <c r="E36" s="40" t="inlineStr">
        <is>
          <t>AI đề xuất 2–3 phương án; người chọn</t>
        </is>
      </c>
      <c r="F36" s="40" t="inlineStr">
        <is>
          <t>UC-C01</t>
        </is>
      </c>
      <c r="G36" s="40" t="inlineStr">
        <is>
          <t>G1</t>
        </is>
      </c>
    </row>
    <row r="37" ht="15" customHeight="1" s="29">
      <c r="A37" s="40" t="inlineStr">
        <is>
          <t>P3 Sinh mã</t>
        </is>
      </c>
      <c r="B37" s="40" t="inlineStr">
        <is>
          <t>Sinh mã với hkw:fact, 4 cổng công cụ, tự sửa ≤ 3 vòng</t>
        </is>
      </c>
      <c r="C37" s="46" t="inlineStr">
        <is>
          <t>T1</t>
        </is>
      </c>
      <c r="D37" s="40" t="inlineStr">
        <is>
          <t>Kiểm được bằng máy</t>
        </is>
      </c>
      <c r="E37" s="40" t="inlineStr">
        <is>
          <t>Tự động</t>
        </is>
      </c>
      <c r="F37" s="40" t="inlineStr">
        <is>
          <t>UC-D03</t>
        </is>
      </c>
      <c r="G37" s="40" t="inlineStr">
        <is>
          <t>—</t>
        </is>
      </c>
    </row>
    <row r="38" ht="15" customHeight="1" s="29">
      <c r="A38" s="40" t="inlineStr">
        <is>
          <t>P3 Sinh mã</t>
        </is>
      </c>
      <c r="B38" s="40" t="inlineStr">
        <is>
          <t>Review khác hãng</t>
        </is>
      </c>
      <c r="C38" s="46" t="inlineStr">
        <is>
          <t>T1</t>
        </is>
      </c>
      <c r="D38" s="40" t="inlineStr">
        <is>
          <t>Kiểm được</t>
        </is>
      </c>
      <c r="E38" s="40" t="inlineStr">
        <is>
          <t>Tự động</t>
        </is>
      </c>
      <c r="F38" s="40" t="inlineStr">
        <is>
          <t>UC-D04</t>
        </is>
      </c>
      <c r="G38" s="40" t="inlineStr">
        <is>
          <t>—</t>
        </is>
      </c>
    </row>
    <row r="39" ht="23.25" customHeight="1" s="29">
      <c r="A39" s="40" t="inlineStr">
        <is>
          <t>P3 Sinh mã</t>
        </is>
      </c>
      <c r="B39" s="40" t="inlineStr">
        <is>
          <t>Merge diff trong phạm vi Feature, reviewer PASS, không chạm ISR/linker/startup</t>
        </is>
      </c>
      <c r="C39" s="46" t="inlineStr">
        <is>
          <t>T1</t>
        </is>
      </c>
      <c r="D39" s="40" t="inlineStr">
        <is>
          <t>Hoàn tác được (git revert, known-good)</t>
        </is>
      </c>
      <c r="E39" s="40" t="inlineStr">
        <is>
          <t>Tự merge vào auto/; báo cáo; cửa sổ hoàn tác</t>
        </is>
      </c>
      <c r="F39" s="40" t="inlineStr">
        <is>
          <t>UC-D04</t>
        </is>
      </c>
      <c r="G39" s="40" t="inlineStr">
        <is>
          <t>G3</t>
        </is>
      </c>
    </row>
    <row r="40" ht="23.25" customHeight="1" s="29">
      <c r="A40" s="40" t="inlineStr">
        <is>
          <t>P3 Sinh mã</t>
        </is>
      </c>
      <c r="B40" s="40" t="inlineStr">
        <is>
          <t>Merge diff chạm ISR/linker/startup, tăng kích thước &gt; 5 điểm, reviewer có blocker</t>
        </is>
      </c>
      <c r="C40" s="47" t="inlineStr">
        <is>
          <t>T2</t>
        </is>
      </c>
      <c r="D40" s="40" t="inlineStr">
        <is>
          <t>Rủi ro cao, cần chuyên môn</t>
        </is>
      </c>
      <c r="E40" s="40" t="inlineStr">
        <is>
          <t>AI trình diff + bằng chứng; người duyệt</t>
        </is>
      </c>
      <c r="F40" s="40" t="inlineStr">
        <is>
          <t>UC-D04</t>
        </is>
      </c>
      <c r="G40" s="40" t="inlineStr">
        <is>
          <t>G3</t>
        </is>
      </c>
    </row>
    <row r="41" ht="15" customHeight="1" s="29">
      <c r="A41" s="40" t="inlineStr">
        <is>
          <t>P3 Sinh mã</t>
        </is>
      </c>
      <c r="B41" s="40" t="inlineStr">
        <is>
          <t>Bổ sung hkw:fact cho mã cũ do người viết</t>
        </is>
      </c>
      <c r="C41" s="46" t="inlineStr">
        <is>
          <t>T1</t>
        </is>
      </c>
      <c r="D41" s="40" t="inlineStr">
        <is>
          <t>Gợi ý, không phá</t>
        </is>
      </c>
      <c r="E41" s="40" t="inlineStr">
        <is>
          <t>AI gợi ý một cú bấm; người chấp nhận hàng loạt</t>
        </is>
      </c>
      <c r="F41" s="40" t="inlineStr">
        <is>
          <t>UC-D05</t>
        </is>
      </c>
      <c r="G41" s="40" t="inlineStr">
        <is>
          <t>—</t>
        </is>
      </c>
    </row>
    <row r="42" ht="15" customHeight="1" s="29">
      <c r="A42" s="40" t="inlineStr">
        <is>
          <t>P3 Sinh mã</t>
        </is>
      </c>
      <c r="B42" s="40" t="inlineStr">
        <is>
          <t>Hoàn tác về known-good</t>
        </is>
      </c>
      <c r="C42" s="46" t="inlineStr">
        <is>
          <t>T1</t>
        </is>
      </c>
      <c r="D42" s="40" t="inlineStr">
        <is>
          <t>Hoàn tác</t>
        </is>
      </c>
      <c r="E42" s="40" t="inlineStr">
        <is>
          <t>Tự động khi thất bại liên tiếp; báo cáo</t>
        </is>
      </c>
      <c r="F42" s="40" t="inlineStr">
        <is>
          <t>UC-D06</t>
        </is>
      </c>
      <c r="G42" s="40" t="inlineStr">
        <is>
          <t>—</t>
        </is>
      </c>
    </row>
    <row r="43" ht="23.25" customHeight="1" s="29">
      <c r="A43" s="40" t="inlineStr">
        <is>
          <t>P4 Mô phỏng</t>
        </is>
      </c>
      <c r="B43" s="40" t="inlineStr">
        <is>
          <t>Dựng nền tảng mô phỏng (.repl) và mock ngoại vi chuẩn từ hộ chiếu</t>
        </is>
      </c>
      <c r="C43" s="46" t="inlineStr">
        <is>
          <t>T1</t>
        </is>
      </c>
      <c r="D43" s="40" t="inlineStr">
        <is>
          <t>Từ fact vàng, kiểm bằng firmware hello</t>
        </is>
      </c>
      <c r="E43" s="40" t="inlineStr">
        <is>
          <t>Tự động</t>
        </is>
      </c>
      <c r="F43" s="40" t="inlineStr">
        <is>
          <t>UC-E01</t>
        </is>
      </c>
      <c r="G43" s="40" t="inlineStr">
        <is>
          <t>—</t>
        </is>
      </c>
    </row>
    <row r="44" ht="23.25" customHeight="1" s="29">
      <c r="A44" s="40" t="inlineStr">
        <is>
          <t>P4 Mô phỏng</t>
        </is>
      </c>
      <c r="B44" s="40" t="inlineStr">
        <is>
          <t>Tham số mock ngoại vi ngoài &amp; mô hình plant (khối lượng, ma sát)</t>
        </is>
      </c>
      <c r="C44" s="47" t="inlineStr">
        <is>
          <t>T2</t>
        </is>
      </c>
      <c r="D44" s="40" t="inlineStr">
        <is>
          <t>Cần số liệu người có</t>
        </is>
      </c>
      <c r="E44" s="40" t="inlineStr">
        <is>
          <t>AI đề xuất + nguồn; người cung cấp/duyệt</t>
        </is>
      </c>
      <c r="F44" s="40" t="inlineStr">
        <is>
          <t>UC-E01, UC-E02</t>
        </is>
      </c>
      <c r="G44" s="40" t="inlineStr">
        <is>
          <t>G-FACT</t>
        </is>
      </c>
    </row>
    <row r="45" ht="15" customHeight="1" s="29">
      <c r="A45" s="40" t="inlineStr">
        <is>
          <t>P4 Mô phỏng</t>
        </is>
      </c>
      <c r="B45" s="40" t="inlineStr">
        <is>
          <t>Sinh và chạy kịch bản SIL; so sánh với kỳ vọng</t>
        </is>
      </c>
      <c r="C45" s="46" t="inlineStr">
        <is>
          <t>T1</t>
        </is>
      </c>
      <c r="D45" s="40" t="inlineStr">
        <is>
          <t>Kiểm được</t>
        </is>
      </c>
      <c r="E45" s="40" t="inlineStr">
        <is>
          <t>Tự động</t>
        </is>
      </c>
      <c r="F45" s="40" t="inlineStr">
        <is>
          <t>UC-E03</t>
        </is>
      </c>
      <c r="G45" s="40" t="inlineStr">
        <is>
          <t>—</t>
        </is>
      </c>
    </row>
    <row r="46" ht="15" customHeight="1" s="29">
      <c r="A46" s="40" t="inlineStr">
        <is>
          <t>P4 Mô phỏng</t>
        </is>
      </c>
      <c r="B46" s="40" t="inlineStr">
        <is>
          <t>Cập nhật mô hình từ chênh lệch SIL/HIL</t>
        </is>
      </c>
      <c r="C46" s="47" t="inlineStr">
        <is>
          <t>T2</t>
        </is>
      </c>
      <c r="D46" s="40" t="inlineStr">
        <is>
          <t>Ảnh hưởng mọi kết quả sau</t>
        </is>
      </c>
      <c r="E46" s="40" t="inlineStr">
        <is>
          <t>AI đề xuất tham số mới; người duyệt</t>
        </is>
      </c>
      <c r="F46" s="40" t="inlineStr">
        <is>
          <t>UC-E04</t>
        </is>
      </c>
      <c r="G46" s="40" t="inlineStr">
        <is>
          <t>G-FACT</t>
        </is>
      </c>
    </row>
    <row r="47" ht="15" customHeight="1" s="29">
      <c r="A47" s="40" t="inlineStr">
        <is>
          <t>P4 Xác minh</t>
        </is>
      </c>
      <c r="B47" s="40" t="inlineStr">
        <is>
          <t>Nạp firmware đã qua G3 lên board lab; serial expect; probe đọc</t>
        </is>
      </c>
      <c r="C47" s="46" t="inlineStr">
        <is>
          <t>T1</t>
        </is>
      </c>
      <c r="D47" s="40" t="inlineStr">
        <is>
          <t>Board lab, hoàn tác được</t>
        </is>
      </c>
      <c r="E47" s="40" t="inlineStr">
        <is>
          <t>Tự động trong hạn mức nạp/giờ</t>
        </is>
      </c>
      <c r="F47" s="40" t="inlineStr">
        <is>
          <t>UC-F01, UC-F02</t>
        </is>
      </c>
      <c r="G47" s="40" t="inlineStr">
        <is>
          <t>G-OPS</t>
        </is>
      </c>
    </row>
    <row r="48" ht="23.25" customHeight="1" s="29">
      <c r="A48" s="40" t="inlineStr">
        <is>
          <t>P4 Xác minh</t>
        </is>
      </c>
      <c r="B48" s="40" t="inlineStr">
        <is>
          <t>Xác nhận vật lý khi có cảm biến máy (serial, probe, logic analyzer, camera LED)</t>
        </is>
      </c>
      <c r="C48" s="46" t="inlineStr">
        <is>
          <t>T1</t>
        </is>
      </c>
      <c r="D48" s="40" t="inlineStr">
        <is>
          <t>Kiểm được bằng máy</t>
        </is>
      </c>
      <c r="E48" s="40" t="inlineStr">
        <is>
          <t>Tự động; badge 'auto-verified'</t>
        </is>
      </c>
      <c r="F48" s="40" t="inlineStr">
        <is>
          <t>UC-F03</t>
        </is>
      </c>
      <c r="G48" s="40" t="inlineStr">
        <is>
          <t>G4</t>
        </is>
      </c>
    </row>
    <row r="49" ht="23.25" customHeight="1" s="29">
      <c r="A49" s="40" t="inlineStr">
        <is>
          <t>P4 Xác minh</t>
        </is>
      </c>
      <c r="B49" s="40" t="inlineStr">
        <is>
          <t>Xác nhận vật lý cần tay/mắt người (nghiêng board, nghe, sờ nhiệt)</t>
        </is>
      </c>
      <c r="C49" s="48" t="inlineStr">
        <is>
          <t>T3</t>
        </is>
      </c>
      <c r="D49" s="40" t="inlineStr">
        <is>
          <t>Cần người trên phần cứng</t>
        </is>
      </c>
      <c r="E49" s="40" t="inlineStr">
        <is>
          <t>AI đưa checklist quan sát; người xác nhận</t>
        </is>
      </c>
      <c r="F49" s="40" t="inlineStr">
        <is>
          <t>UC-F03</t>
        </is>
      </c>
      <c r="G49" s="40" t="inlineStr">
        <is>
          <t>G4</t>
        </is>
      </c>
    </row>
    <row r="50" ht="23.25" customHeight="1" s="29">
      <c r="A50" s="40" t="inlineStr">
        <is>
          <t>P4 Xác minh</t>
        </is>
      </c>
      <c r="B50" s="40" t="inlineStr">
        <is>
          <t>Nạp lên board có cơ cấu chấp hành (động cơ, nguồn công suất)</t>
        </is>
      </c>
      <c r="C50" s="47" t="inlineStr">
        <is>
          <t>T2</t>
        </is>
      </c>
      <c r="D50" s="40" t="inlineStr">
        <is>
          <t>Rủi ro vật lý</t>
        </is>
      </c>
      <c r="E50" s="40" t="inlineStr">
        <is>
          <t>AI chuẩn bị firmware + kịch bản an toàn; người cấp quyền từng lần</t>
        </is>
      </c>
      <c r="F50" s="40" t="inlineStr">
        <is>
          <t>UC-F01</t>
        </is>
      </c>
      <c r="G50" s="40" t="inlineStr">
        <is>
          <t>G-OPS</t>
        </is>
      </c>
    </row>
    <row r="51" ht="23.25" customHeight="1" s="29">
      <c r="A51" s="40" t="inlineStr">
        <is>
          <t>P4 Xác minh</t>
        </is>
      </c>
      <c r="B51" s="40" t="inlineStr">
        <is>
          <t>Xóa flash toàn bộ, ghi fuse/option byte, khóa đọc</t>
        </is>
      </c>
      <c r="C51" s="48" t="inlineStr">
        <is>
          <t>T3</t>
        </is>
      </c>
      <c r="D51" s="40" t="inlineStr">
        <is>
          <t>Không hoàn tác</t>
        </is>
      </c>
      <c r="E51" s="40" t="inlineStr">
        <is>
          <t>AI nêu lệnh và hậu quả; người thực hiện hoặc ký từng lần</t>
        </is>
      </c>
      <c r="F51" s="40" t="inlineStr">
        <is>
          <t>UC-F01</t>
        </is>
      </c>
      <c r="G51" s="40" t="inlineStr">
        <is>
          <t>G-OPS</t>
        </is>
      </c>
    </row>
    <row r="52" ht="15" customHeight="1" s="29">
      <c r="A52" s="40" t="inlineStr">
        <is>
          <t>P5 Gỡ lỗi</t>
        </is>
      </c>
      <c r="B52" s="40" t="inlineStr">
        <is>
          <t>Thống kê log, giả thuyết, thí nghiệm phân biệt trên board lab</t>
        </is>
      </c>
      <c r="C52" s="46" t="inlineStr">
        <is>
          <t>T1</t>
        </is>
      </c>
      <c r="D52" s="40" t="inlineStr">
        <is>
          <t>Đọc + board lab</t>
        </is>
      </c>
      <c r="E52" s="40" t="inlineStr">
        <is>
          <t>Tự động; báo cáo Diagnosis</t>
        </is>
      </c>
      <c r="F52" s="40" t="inlineStr">
        <is>
          <t>UC-F04, UC-F05</t>
        </is>
      </c>
      <c r="G52" s="40" t="inlineStr">
        <is>
          <t>G-OPS</t>
        </is>
      </c>
    </row>
    <row r="53" ht="15" customHeight="1" s="29">
      <c r="A53" s="40" t="inlineStr">
        <is>
          <t>P5 Gỡ lỗi</t>
        </is>
      </c>
      <c r="B53" s="40" t="inlineStr">
        <is>
          <t>Đo tín hiệu/năng lượng bằng thiết bị đã nối</t>
        </is>
      </c>
      <c r="C53" s="46" t="inlineStr">
        <is>
          <t>T1</t>
        </is>
      </c>
      <c r="D53" s="40" t="inlineStr">
        <is>
          <t>Đọc</t>
        </is>
      </c>
      <c r="E53" s="40" t="inlineStr">
        <is>
          <t>Tự động</t>
        </is>
      </c>
      <c r="F53" s="40" t="inlineStr">
        <is>
          <t>UC-F06</t>
        </is>
      </c>
      <c r="G53" s="40" t="inlineStr">
        <is>
          <t>—</t>
        </is>
      </c>
    </row>
    <row r="54" ht="15" customHeight="1" s="29">
      <c r="A54" s="40" t="inlineStr">
        <is>
          <t>P5 Gỡ lỗi</t>
        </is>
      </c>
      <c r="B54" s="40" t="inlineStr">
        <is>
          <t>Sửa ràng buộc phần mềm (giảm tốc độ bus, timeout)</t>
        </is>
      </c>
      <c r="C54" s="46" t="inlineStr">
        <is>
          <t>T1</t>
        </is>
      </c>
      <c r="D54" s="40" t="inlineStr">
        <is>
          <t>Hoàn tác được</t>
        </is>
      </c>
      <c r="E54" s="40" t="inlineStr">
        <is>
          <t>Tự áp dụng ở A3; báo cáo</t>
        </is>
      </c>
      <c r="F54" s="40" t="inlineStr">
        <is>
          <t>UC-F05, UC-D01</t>
        </is>
      </c>
      <c r="G54" s="40" t="inlineStr">
        <is>
          <t>—</t>
        </is>
      </c>
    </row>
    <row r="55" ht="15" customHeight="1" s="29">
      <c r="A55" s="40" t="inlineStr">
        <is>
          <t>P5 Gỡ lỗi</t>
        </is>
      </c>
      <c r="B55" s="40" t="inlineStr">
        <is>
          <t>Sửa phần cứng (đổi điện trở, cắt mạch, hàn)</t>
        </is>
      </c>
      <c r="C55" s="48" t="inlineStr">
        <is>
          <t>T3</t>
        </is>
      </c>
      <c r="D55" s="40" t="inlineStr">
        <is>
          <t>Tay người, không hoàn tác</t>
        </is>
      </c>
      <c r="E55" s="40" t="inlineStr">
        <is>
          <t>AI nêu chẩn đoán, giá trị đề xuất; người làm</t>
        </is>
      </c>
      <c r="F55" s="40" t="inlineStr">
        <is>
          <t>UC-F05</t>
        </is>
      </c>
      <c r="G55" s="40" t="inlineStr">
        <is>
          <t>—</t>
        </is>
      </c>
    </row>
    <row r="56" ht="15" customHeight="1" s="29">
      <c r="A56" s="40" t="inlineStr">
        <is>
          <t>P5 Gỡ lỗi</t>
        </is>
      </c>
      <c r="B56" s="40" t="inlineStr">
        <is>
          <t>Nối/đổi probe, cắm cáp, cấp nguồn</t>
        </is>
      </c>
      <c r="C56" s="48" t="inlineStr">
        <is>
          <t>T3</t>
        </is>
      </c>
      <c r="D56" s="40" t="inlineStr">
        <is>
          <t>Tay người</t>
        </is>
      </c>
      <c r="E56" s="40" t="inlineStr">
        <is>
          <t>AI hướng dẫn; người làm</t>
        </is>
      </c>
      <c r="F56" s="40" t="inlineStr">
        <is>
          <t>UC-F05</t>
        </is>
      </c>
      <c r="G56" s="40" t="inlineStr">
        <is>
          <t>—</t>
        </is>
      </c>
    </row>
    <row r="57" ht="15" customHeight="1" s="29">
      <c r="A57" s="40" t="inlineStr">
        <is>
          <t>P6 Chia sẻ</t>
        </is>
      </c>
      <c r="B57" s="40" t="inlineStr">
        <is>
          <t>Chạy benchmark, gắn huy hiệu, sửa skill từ ca lỗi (đề xuất)</t>
        </is>
      </c>
      <c r="C57" s="46" t="inlineStr">
        <is>
          <t>T1</t>
        </is>
      </c>
      <c r="D57" s="40" t="inlineStr">
        <is>
          <t>Kiểm được</t>
        </is>
      </c>
      <c r="E57" s="40" t="inlineStr">
        <is>
          <t>Tự động; đề xuất sửa skill chờ Pack owner</t>
        </is>
      </c>
      <c r="F57" s="40" t="inlineStr">
        <is>
          <t>UC-G01</t>
        </is>
      </c>
      <c r="G57" s="40" t="inlineStr">
        <is>
          <t>—</t>
        </is>
      </c>
    </row>
    <row r="58" ht="15" customHeight="1" s="29">
      <c r="A58" s="40" t="inlineStr">
        <is>
          <t>P6 Chia sẻ</t>
        </is>
      </c>
      <c r="B58" s="40" t="inlineStr">
        <is>
          <t>Đóng gói và phát hành registry nội bộ (lớp/tổ chức)</t>
        </is>
      </c>
      <c r="C58" s="46" t="inlineStr">
        <is>
          <t>T1</t>
        </is>
      </c>
      <c r="D58" s="40" t="inlineStr">
        <is>
          <t>Hoàn tác được (rút gói)</t>
        </is>
      </c>
      <c r="E58" s="40" t="inlineStr">
        <is>
          <t>Tự động khi đủ huy hiệu và license rõ</t>
        </is>
      </c>
      <c r="F58" s="40" t="inlineStr">
        <is>
          <t>UC-G02</t>
        </is>
      </c>
      <c r="G58" s="40" t="inlineStr">
        <is>
          <t>G5</t>
        </is>
      </c>
    </row>
    <row r="59" ht="15" customHeight="1" s="29">
      <c r="A59" s="40" t="inlineStr">
        <is>
          <t>P6 Chia sẻ</t>
        </is>
      </c>
      <c r="B59" s="40" t="inlineStr">
        <is>
          <t>Phát hành công khai; gói chứa dữ liệu mạch/dự án</t>
        </is>
      </c>
      <c r="C59" s="47" t="inlineStr">
        <is>
          <t>T2</t>
        </is>
      </c>
      <c r="D59" s="40" t="inlineStr">
        <is>
          <t>Pháp lý (license, IP)</t>
        </is>
      </c>
      <c r="E59" s="40" t="inlineStr">
        <is>
          <t>AI chuẩn bị; người ký</t>
        </is>
      </c>
      <c r="F59" s="40" t="inlineStr">
        <is>
          <t>UC-G02</t>
        </is>
      </c>
      <c r="G59" s="40" t="inlineStr">
        <is>
          <t>G5</t>
        </is>
      </c>
    </row>
    <row r="60" ht="15" customHeight="1" s="29">
      <c r="A60" s="40" t="inlineStr">
        <is>
          <t>P6 Chia sẻ</t>
        </is>
      </c>
      <c r="B60" s="40" t="inlineStr">
        <is>
          <t>Xuất báo cáo, ma trận Người–AI</t>
        </is>
      </c>
      <c r="C60" s="46" t="inlineStr">
        <is>
          <t>T1</t>
        </is>
      </c>
      <c r="D60" s="40" t="inlineStr">
        <is>
          <t>Từ nhật ký</t>
        </is>
      </c>
      <c r="E60" s="40" t="inlineStr">
        <is>
          <t>Tự động</t>
        </is>
      </c>
      <c r="F60" s="40" t="inlineStr">
        <is>
          <t>UC-G04</t>
        </is>
      </c>
      <c r="G60" s="40" t="inlineStr">
        <is>
          <t>G5</t>
        </is>
      </c>
    </row>
    <row r="61" ht="15" customHeight="1" s="29">
      <c r="A61" s="40" t="inlineStr">
        <is>
          <t>P6 Chia sẻ</t>
        </is>
      </c>
      <c r="B61" s="40" t="inlineStr">
        <is>
          <t>Nộp báo cáo, bảo vệ, trao đổi với giảng viên/khách hàng</t>
        </is>
      </c>
      <c r="C61" s="48" t="inlineStr">
        <is>
          <t>T3</t>
        </is>
      </c>
      <c r="D61" s="40" t="inlineStr">
        <is>
          <t>Quan hệ, trách nhiệm</t>
        </is>
      </c>
      <c r="E61" s="40" t="inlineStr">
        <is>
          <t>AI cung cấp số liệu; người làm</t>
        </is>
      </c>
      <c r="F61" s="40" t="inlineStr">
        <is>
          <t>UC-G04</t>
        </is>
      </c>
      <c r="G61" s="40" t="inlineStr">
        <is>
          <t>—</t>
        </is>
      </c>
    </row>
    <row r="62" ht="23.25" customHeight="1" s="29">
      <c r="A62" s="40" t="inlineStr">
        <is>
          <t>Quản trị</t>
        </is>
      </c>
      <c r="B62" s="40" t="inlineStr">
        <is>
          <t>Đổi ngưỡng tự phê duyệt, mức tự chủ, danh sách trắng board/gói</t>
        </is>
      </c>
      <c r="C62" s="47" t="inlineStr">
        <is>
          <t>T2</t>
        </is>
      </c>
      <c r="D62" s="40" t="inlineStr">
        <is>
          <t>Chính sách không tự nới lỏng</t>
        </is>
      </c>
      <c r="E62" s="40" t="inlineStr">
        <is>
          <t>AI đề xuất từ lịch sử; người ký</t>
        </is>
      </c>
      <c r="F62" s="40" t="inlineStr">
        <is>
          <t>APD §6</t>
        </is>
      </c>
      <c r="G62" s="40" t="inlineStr">
        <is>
          <t>—</t>
        </is>
      </c>
    </row>
    <row r="63" ht="15" customHeight="1" s="29">
      <c r="A63" s="40" t="inlineStr">
        <is>
          <t>Quản trị</t>
        </is>
      </c>
      <c r="B63" s="40" t="inlineStr">
        <is>
          <t>Dừng khẩn / hạ mức tự chủ</t>
        </is>
      </c>
      <c r="C63" s="48" t="inlineStr">
        <is>
          <t>T3</t>
        </is>
      </c>
      <c r="D63" s="40" t="inlineStr">
        <is>
          <t>Quyết định của người</t>
        </is>
      </c>
      <c r="E63" s="40" t="inlineStr">
        <is>
          <t>Lệnh 'dừng' ở bất kỳ đâu</t>
        </is>
      </c>
      <c r="F63" s="40" t="inlineStr">
        <is>
          <t>APD §5</t>
        </is>
      </c>
      <c r="G63" s="40" t="inlineStr">
        <is>
          <t>—</t>
        </is>
      </c>
    </row>
    <row r="65" ht="15" customHeight="1" s="29">
      <c r="A65" s="38" t="inlineStr">
        <is>
          <t>THỐNG KÊ</t>
        </is>
      </c>
    </row>
    <row r="66" ht="15" customHeight="1" s="29">
      <c r="A66" s="56" t="inlineStr">
        <is>
          <t>AI làm trọn</t>
        </is>
      </c>
      <c r="B66" s="50">
        <f>COUNTIF(C10:C63,"T1")</f>
        <v/>
      </c>
      <c r="C66" s="57">
        <f>B66/COUNTA(C10:C63)</f>
        <v/>
      </c>
    </row>
    <row r="67" ht="15" customHeight="1" s="29">
      <c r="A67" s="58" t="inlineStr">
        <is>
          <t>AI làm — người duyệt</t>
        </is>
      </c>
      <c r="B67" s="50">
        <f>COUNTIF(C10:C63,"T2")</f>
        <v/>
      </c>
      <c r="C67" s="57">
        <f>B67/COUNTA(C10:C63)</f>
        <v/>
      </c>
    </row>
    <row r="68" ht="15" customHeight="1" s="29">
      <c r="A68" s="59" t="inlineStr">
        <is>
          <t>Người làm</t>
        </is>
      </c>
      <c r="B68" s="50">
        <f>COUNTIF(C10:C63,"T3")</f>
        <v/>
      </c>
      <c r="C68" s="57">
        <f>B68/COUNTA(C10:C63)</f>
        <v/>
      </c>
    </row>
    <row r="69" ht="15" customHeight="1" s="29">
      <c r="A69" s="51" t="inlineStr">
        <is>
          <t>Tổng công việc</t>
        </is>
      </c>
      <c r="B69" s="50">
        <f>COUNTA(C10:C63)</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9.xml><?xml version="1.0" encoding="utf-8"?>
<worksheet xmlns="http://schemas.openxmlformats.org/spreadsheetml/2006/main">
  <sheetPr filterMode="0">
    <outlinePr summaryBelow="1" summaryRight="1"/>
    <pageSetUpPr fitToPage="0"/>
  </sheetPr>
  <dimension ref="A1:G4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8" min="1" max="1"/>
    <col width="32" customWidth="1" style="28" min="2" max="2"/>
    <col width="34" customWidth="1" style="28" min="3" max="3"/>
    <col width="28" customWidth="1" style="28" min="4" max="4"/>
    <col width="44" customWidth="1" style="28" min="5" max="5"/>
    <col width="20" customWidth="1" style="28" min="6" max="6"/>
    <col width="12" customWidth="1" style="28" min="7" max="7"/>
  </cols>
  <sheetData>
    <row r="1" ht="15" customHeight="1" s="29">
      <c r="A1" s="38" t="inlineStr">
        <is>
          <t>MỖI USE CASE = MỘT NĂNG LỰC (capability) MÀ TÁC TỬ GỌI ĐƯỢC — người dùng chỉ ra lệnh bằng ngôn ngữ tự nhiên; màn hình UI là nơi xem kết quả</t>
        </is>
      </c>
    </row>
    <row r="2" ht="34.5" customHeight="1" s="29">
      <c r="A2" s="41" t="inlineStr">
        <is>
          <t>Mã UC</t>
        </is>
      </c>
      <c r="B2" s="41" t="inlineStr">
        <is>
          <t>Năng lực (tên gọi trong Engine / MCP)</t>
        </is>
      </c>
      <c r="C2" s="41" t="inlineStr">
        <is>
          <t>Tham số vào</t>
        </is>
      </c>
      <c r="D2" s="41" t="inlineStr">
        <is>
          <t>Kết quả ra</t>
        </is>
      </c>
      <c r="E2" s="41" t="inlineStr">
        <is>
          <t>Ví dụ câu lệnh kích hoạt (hoặc tự gọi)</t>
        </is>
      </c>
      <c r="F2" s="41" t="inlineStr">
        <is>
          <t>Màn hình xem kết quả</t>
        </is>
      </c>
      <c r="G2" s="41" t="inlineStr">
        <is>
          <t>Mức tự chủ (sheet 7)</t>
        </is>
      </c>
    </row>
    <row r="3" ht="23.25" customHeight="1" s="29">
      <c r="A3" s="40" t="inlineStr">
        <is>
          <t>UC-A01</t>
        </is>
      </c>
      <c r="B3" s="40" t="inlineStr">
        <is>
          <t>project.create</t>
        </is>
      </c>
      <c r="C3" s="40" t="inlineStr">
        <is>
          <t>name?, description?, docs_path?, chip?, autonomy=A3</t>
        </is>
      </c>
      <c r="D3" s="40" t="inlineStr">
        <is>
          <t>project_id, .hkw/</t>
        </is>
      </c>
      <c r="E3" s="40" t="inlineStr">
        <is>
          <t>"Tạo dự án robot cân bằng từ ~/robot-kit"</t>
        </is>
      </c>
      <c r="F3" s="40" t="inlineStr">
        <is>
          <t>Tổng quan</t>
        </is>
      </c>
      <c r="G3" s="40" t="inlineStr">
        <is>
          <t>T1</t>
        </is>
      </c>
    </row>
    <row r="4" ht="23.25" customHeight="1" s="29">
      <c r="A4" s="40" t="inlineStr">
        <is>
          <t>UC-A02</t>
        </is>
      </c>
      <c r="B4" s="40" t="inlineStr">
        <is>
          <t>project.set_target</t>
        </is>
      </c>
      <c r="C4" s="40" t="inlineStr">
        <is>
          <t>chip?|inferred, isa?, board?</t>
        </is>
      </c>
      <c r="D4" s="40" t="inlineStr">
        <is>
          <t>pins, isa profile</t>
        </is>
      </c>
      <c r="E4" s="40" t="inlineStr">
        <is>
          <t>"Board này dùng STM32F411, chip cảm biến BME280"</t>
        </is>
      </c>
      <c r="F4" s="40" t="inlineStr">
        <is>
          <t>Hộ chiếu chip</t>
        </is>
      </c>
      <c r="G4" s="40" t="inlineStr">
        <is>
          <t>T2</t>
        </is>
      </c>
    </row>
    <row r="5" ht="15" customHeight="1" s="29">
      <c r="A5" s="40" t="inlineStr">
        <is>
          <t>UC-A03</t>
        </is>
      </c>
      <c r="B5" s="40" t="inlineStr">
        <is>
          <t>env.doctor</t>
        </is>
      </c>
      <c r="C5" s="40" t="inlineStr">
        <is>
          <t>install=true, lock=true</t>
        </is>
      </c>
      <c r="D5" s="40" t="inlineStr">
        <is>
          <t>EnvReport, tools.lock</t>
        </is>
      </c>
      <c r="E5" s="40" t="inlineStr">
        <is>
          <t>"Chuẩn bị môi trường biên dịch và mô phỏng"</t>
        </is>
      </c>
      <c r="F5" s="40" t="inlineStr">
        <is>
          <t>Môi trường &amp; báo cáo</t>
        </is>
      </c>
      <c r="G5" s="40" t="inlineStr">
        <is>
          <t>T3</t>
        </is>
      </c>
    </row>
    <row r="6" ht="15" customHeight="1" s="29">
      <c r="A6" s="40" t="inlineStr">
        <is>
          <t>UC-A04</t>
        </is>
      </c>
      <c r="B6" s="40" t="inlineStr">
        <is>
          <t>models.configure</t>
        </is>
      </c>
      <c r="C6" s="40" t="inlineStr">
        <is>
          <t>roles?, budget_usd?, offline?</t>
        </is>
      </c>
      <c r="D6" s="40" t="inlineStr">
        <is>
          <t>models.yaml</t>
        </is>
      </c>
      <c r="E6" s="40" t="inlineStr">
        <is>
          <t>"Dùng Gemini cho coder, ngân sách 3 USD/ngày"</t>
        </is>
      </c>
      <c r="F6" s="40" t="inlineStr">
        <is>
          <t>Mô hình &amp; chi phí</t>
        </is>
      </c>
      <c r="G6" s="40" t="inlineStr">
        <is>
          <t>T1</t>
        </is>
      </c>
    </row>
    <row r="7" ht="15" customHeight="1" s="29">
      <c r="A7" s="40" t="inlineStr">
        <is>
          <t>UC-A05</t>
        </is>
      </c>
      <c r="B7" s="40" t="inlineStr">
        <is>
          <t>repo.survey</t>
        </is>
      </c>
      <c r="C7" s="40" t="inlineStr">
        <is>
          <t>path</t>
        </is>
      </c>
      <c r="D7" s="40" t="inlineStr">
        <is>
          <t>CONVENTIONS.md, code_units</t>
        </is>
      </c>
      <c r="E7" s="40" t="inlineStr">
        <is>
          <t>"Đây là repo cũ, hãy hiểu nó trước"</t>
        </is>
      </c>
      <c r="F7" s="40" t="inlineStr">
        <is>
          <t>Mã nguồn</t>
        </is>
      </c>
      <c r="G7" s="40" t="inlineStr">
        <is>
          <t>T1</t>
        </is>
      </c>
    </row>
    <row r="8" ht="15" customHeight="1" s="29">
      <c r="A8" s="40" t="inlineStr">
        <is>
          <t>UC-A06</t>
        </is>
      </c>
      <c r="B8" s="40" t="inlineStr">
        <is>
          <t>session.resume</t>
        </is>
      </c>
      <c r="C8" s="40" t="inlineStr">
        <is>
          <t>—</t>
        </is>
      </c>
      <c r="D8" s="40" t="inlineStr">
        <is>
          <t>summary, next_action</t>
        </is>
      </c>
      <c r="E8" s="40" t="inlineStr">
        <is>
          <t>(tự động khi mở) / "Hôm qua dừng ở đâu?"</t>
        </is>
      </c>
      <c r="F8" s="40" t="inlineStr">
        <is>
          <t>Tổng quan</t>
        </is>
      </c>
      <c r="G8" s="40" t="inlineStr">
        <is>
          <t>T1</t>
        </is>
      </c>
    </row>
    <row r="9" ht="15" customHeight="1" s="29">
      <c r="A9" s="40" t="inlineStr">
        <is>
          <t>UC-B01</t>
        </is>
      </c>
      <c r="B9" s="40" t="inlineStr">
        <is>
          <t>knowledge.ingest</t>
        </is>
      </c>
      <c r="C9" s="40" t="inlineStr">
        <is>
          <t>path|zip, tier_policy</t>
        </is>
      </c>
      <c r="D9" s="40" t="inlineStr">
        <is>
          <t>classification, requests[]</t>
        </is>
      </c>
      <c r="E9" s="40" t="inlineStr">
        <is>
          <t>"Nạp bộ tài liệu này"</t>
        </is>
      </c>
      <c r="F9" s="40" t="inlineStr">
        <is>
          <t>Nhập tài liệu</t>
        </is>
      </c>
      <c r="G9" s="40" t="inlineStr">
        <is>
          <t>T1</t>
        </is>
      </c>
    </row>
    <row r="10" ht="15" customHeight="1" s="29">
      <c r="A10" s="40" t="inlineStr">
        <is>
          <t>UC-B02</t>
        </is>
      </c>
      <c r="B10" s="40" t="inlineStr">
        <is>
          <t>knowledge.identify_parts</t>
        </is>
      </c>
      <c r="C10" s="40" t="inlineStr">
        <is>
          <t>sources[]</t>
        </is>
      </c>
      <c r="D10" s="40" t="inlineStr">
        <is>
          <t>parts[] {mpn, role, confidence}</t>
        </is>
      </c>
      <c r="E10" s="40" t="inlineStr">
        <is>
          <t>(tự gọi sau ingest)</t>
        </is>
      </c>
      <c r="F10" s="40" t="inlineStr">
        <is>
          <t>Nhập tài liệu</t>
        </is>
      </c>
      <c r="G10" s="40" t="inlineStr">
        <is>
          <t>T1</t>
        </is>
      </c>
    </row>
    <row r="11" ht="15" customHeight="1" s="29">
      <c r="A11" s="40" t="inlineStr">
        <is>
          <t>UC-B03</t>
        </is>
      </c>
      <c r="B11" s="40" t="inlineStr">
        <is>
          <t>passport.import_structured</t>
        </is>
      </c>
      <c r="C11" s="40" t="inlineStr">
        <is>
          <t>file (svd|atdf|edc|header)</t>
        </is>
      </c>
      <c r="D11" s="40" t="inlineStr">
        <is>
          <t>passport_id, facts</t>
        </is>
      </c>
      <c r="E11" s="40" t="inlineStr">
        <is>
          <t>(tự gọi)</t>
        </is>
      </c>
      <c r="F11" s="40" t="inlineStr">
        <is>
          <t>Hộ chiếu chip</t>
        </is>
      </c>
      <c r="G11" s="40" t="inlineStr">
        <is>
          <t>T1</t>
        </is>
      </c>
    </row>
    <row r="12" ht="15" customHeight="1" s="29">
      <c r="A12" s="40" t="inlineStr">
        <is>
          <t>UC-B04</t>
        </is>
      </c>
      <c r="B12" s="40" t="inlineStr">
        <is>
          <t>knowledge.extract_pdf</t>
        </is>
      </c>
      <c r="C12" s="40" t="inlineStr">
        <is>
          <t>source_id, sections?</t>
        </is>
      </c>
      <c r="D12" s="40" t="inlineStr">
        <is>
          <t>facts[] normalized</t>
        </is>
      </c>
      <c r="E12" s="40" t="inlineStr">
        <is>
          <t>(tự gọi) / "Đọc datasheet BME280"</t>
        </is>
      </c>
      <c r="F12" s="40" t="inlineStr">
        <is>
          <t>Hàng đợi xác nhận</t>
        </is>
      </c>
      <c r="G12" s="40" t="inlineStr">
        <is>
          <t>T1</t>
        </is>
      </c>
    </row>
    <row r="13" ht="15" customHeight="1" s="29">
      <c r="A13" s="40" t="inlineStr">
        <is>
          <t>UC-B05</t>
        </is>
      </c>
      <c r="B13" s="40" t="inlineStr">
        <is>
          <t>knowledge.extract_image</t>
        </is>
      </c>
      <c r="C13" s="40" t="inlineStr">
        <is>
          <t>image, schema</t>
        </is>
      </c>
      <c r="D13" s="40" t="inlineStr">
        <is>
          <t>proposals[]</t>
        </is>
      </c>
      <c r="E13" s="40" t="inlineStr">
        <is>
          <t>"Đọc ảnh schematic này"</t>
        </is>
      </c>
      <c r="F13" s="40" t="inlineStr">
        <is>
          <t>Hàng đợi xác nhận</t>
        </is>
      </c>
      <c r="G13" s="40" t="inlineStr">
        <is>
          <t>T2</t>
        </is>
      </c>
    </row>
    <row r="14" ht="15" customHeight="1" s="29">
      <c r="A14" s="40" t="inlineStr">
        <is>
          <t>UC-B06</t>
        </is>
      </c>
      <c r="B14" s="40" t="inlineStr">
        <is>
          <t>board.import_kicad</t>
        </is>
      </c>
      <c r="C14" s="40" t="inlineStr">
        <is>
          <t>file.kicad_sch</t>
        </is>
      </c>
      <c r="D14" s="40" t="inlineStr">
        <is>
          <t>BoardPassport, conflicts[]</t>
        </is>
      </c>
      <c r="E14" s="40" t="inlineStr">
        <is>
          <t>"Nhập sơ đồ mạch KiCad"</t>
        </is>
      </c>
      <c r="F14" s="40" t="inlineStr">
        <is>
          <t>Hộ chiếu mạch</t>
        </is>
      </c>
      <c r="G14" s="40" t="inlineStr">
        <is>
          <t>T1</t>
        </is>
      </c>
    </row>
    <row r="15" ht="15" customHeight="1" s="29">
      <c r="A15" s="40" t="inlineStr">
        <is>
          <t>UC-B07</t>
        </is>
      </c>
      <c r="B15" s="40" t="inlineStr">
        <is>
          <t>knowledge.request</t>
        </is>
      </c>
      <c r="C15" s="40" t="inlineStr">
        <is>
          <t>need, part?, peripheral?</t>
        </is>
      </c>
      <c r="D15" s="40" t="inlineStr">
        <is>
          <t>request_id</t>
        </is>
      </c>
      <c r="E15" s="40" t="inlineStr">
        <is>
          <t>(tự gọi) / "Thiếu gì thì tự tìm"</t>
        </is>
      </c>
      <c r="F15" s="40" t="inlineStr">
        <is>
          <t>Hàng đợi xác nhận</t>
        </is>
      </c>
      <c r="G15" s="40" t="inlineStr">
        <is>
          <t>T1</t>
        </is>
      </c>
    </row>
    <row r="16" ht="23.25" customHeight="1" s="29">
      <c r="A16" s="40" t="inlineStr">
        <is>
          <t>UC-B08</t>
        </is>
      </c>
      <c r="B16" s="40" t="inlineStr">
        <is>
          <t>knowledge.find_sources</t>
        </is>
      </c>
      <c r="C16" s="40" t="inlineStr">
        <is>
          <t>request_id, scope=[registry,vendor,mcp,web]</t>
        </is>
      </c>
      <c r="D16" s="40" t="inlineStr">
        <is>
          <t>candidates[]</t>
        </is>
      </c>
      <c r="E16" s="40" t="inlineStr">
        <is>
          <t>(tự gọi)</t>
        </is>
      </c>
      <c r="F16" s="40" t="inlineStr">
        <is>
          <t>Hàng đợi xác nhận</t>
        </is>
      </c>
      <c r="G16" s="40" t="inlineStr">
        <is>
          <t>T1</t>
        </is>
      </c>
    </row>
    <row r="17" ht="15" customHeight="1" s="29">
      <c r="A17" s="40" t="inlineStr">
        <is>
          <t>UC-B09</t>
        </is>
      </c>
      <c r="B17" s="40" t="inlineStr">
        <is>
          <t>knowledge.confirm_source</t>
        </is>
      </c>
      <c r="C17" s="40" t="inlineStr">
        <is>
          <t>request_id, candidate_ids[] | policy</t>
        </is>
      </c>
      <c r="D17" s="40" t="inlineStr">
        <is>
          <t>sources[] downloaded</t>
        </is>
      </c>
      <c r="E17" s="40" t="inlineStr">
        <is>
          <t>(tự theo chính sách) / "Lấy bản của Allegro"</t>
        </is>
      </c>
      <c r="F17" s="40" t="inlineStr">
        <is>
          <t>Hàng đợi xác nhận</t>
        </is>
      </c>
      <c r="G17" s="40" t="inlineStr">
        <is>
          <t>T2</t>
        </is>
      </c>
    </row>
    <row r="18" ht="15" customHeight="1" s="29">
      <c r="A18" s="40" t="inlineStr">
        <is>
          <t>UC-B10</t>
        </is>
      </c>
      <c r="B18" s="40" t="inlineStr">
        <is>
          <t>knowledge.review_facts</t>
        </is>
      </c>
      <c r="C18" s="40" t="inlineStr">
        <is>
          <t>request_id, group, decision | policy</t>
        </is>
      </c>
      <c r="D18" s="40" t="inlineStr">
        <is>
          <t>facts reviewed</t>
        </is>
      </c>
      <c r="E18" s="40" t="inlineStr">
        <is>
          <t>(tự theo chính sách) / "Duyệt hết nhóm thanh ghi"</t>
        </is>
      </c>
      <c r="F18" s="40" t="inlineStr">
        <is>
          <t>Hàng đợi xác nhận</t>
        </is>
      </c>
      <c r="G18" s="40" t="inlineStr">
        <is>
          <t>T2</t>
        </is>
      </c>
    </row>
    <row r="19" ht="15" customHeight="1" s="29">
      <c r="A19" s="40" t="inlineStr">
        <is>
          <t>UC-B11</t>
        </is>
      </c>
      <c r="B19" s="40" t="inlineStr">
        <is>
          <t>knowledge.resolve_conflict</t>
        </is>
      </c>
      <c r="C19" s="40" t="inlineStr">
        <is>
          <t>conflict_id, choice</t>
        </is>
      </c>
      <c r="D19" s="40" t="inlineStr">
        <is>
          <t>fact hiện hành</t>
        </is>
      </c>
      <c r="E19" s="40" t="inlineStr">
        <is>
          <t>"Chọn giá trị theo SVD chính hãng"</t>
        </is>
      </c>
      <c r="F19" s="40" t="inlineStr">
        <is>
          <t>Hàng đợi xác nhận</t>
        </is>
      </c>
      <c r="G19" s="40" t="inlineStr">
        <is>
          <t>T2</t>
        </is>
      </c>
    </row>
    <row r="20" ht="15" customHeight="1" s="29">
      <c r="A20" s="40" t="inlineStr">
        <is>
          <t>UC-B12</t>
        </is>
      </c>
      <c r="B20" s="40" t="inlineStr">
        <is>
          <t>passport.verify_on_board</t>
        </is>
      </c>
      <c r="C20" s="40" t="inlineStr">
        <is>
          <t>passport_id, target</t>
        </is>
      </c>
      <c r="D20" s="40" t="inlineStr">
        <is>
          <t>badge, evidence</t>
        </is>
      </c>
      <c r="E20" s="40" t="inlineStr">
        <is>
          <t>"Kiểm tra hộ chiếu trên board"</t>
        </is>
      </c>
      <c r="F20" s="40" t="inlineStr">
        <is>
          <t>Hộ chiếu chip</t>
        </is>
      </c>
      <c r="G20" s="40" t="inlineStr">
        <is>
          <t>T1</t>
        </is>
      </c>
    </row>
    <row r="21" ht="15" customHeight="1" s="29">
      <c r="A21" s="40" t="inlineStr">
        <is>
          <t>UC-B13</t>
        </is>
      </c>
      <c r="B21" s="40" t="inlineStr">
        <is>
          <t>passport.upgrade</t>
        </is>
      </c>
      <c r="C21" s="40" t="inlineStr">
        <is>
          <t>passport_id, new_version</t>
        </is>
      </c>
      <c r="D21" s="40" t="inlineStr">
        <is>
          <t>diff, impact</t>
        </is>
      </c>
      <c r="E21" s="40" t="inlineStr">
        <is>
          <t>"Có SVD mới không? Nâng nếu an toàn"</t>
        </is>
      </c>
      <c r="F21" s="40" t="inlineStr">
        <is>
          <t>Hộ chiếu chip</t>
        </is>
      </c>
      <c r="G21" s="40" t="inlineStr">
        <is>
          <t>T2</t>
        </is>
      </c>
    </row>
    <row r="22" ht="15" customHeight="1" s="29">
      <c r="A22" s="40" t="inlineStr">
        <is>
          <t>UC-B14</t>
        </is>
      </c>
      <c r="B22" s="40" t="inlineStr">
        <is>
          <t>passport.query</t>
        </is>
      </c>
      <c r="C22" s="40" t="inlineStr">
        <is>
          <t>question | (part, periph, reg, field)</t>
        </is>
      </c>
      <c r="D22" s="40" t="inlineStr">
        <is>
          <t>facts + citations</t>
        </is>
      </c>
      <c r="E22" s="40" t="inlineStr">
        <is>
          <t>"Thanh ghi tốc độ I2C1 là gì?"</t>
        </is>
      </c>
      <c r="F22" s="40" t="inlineStr">
        <is>
          <t>Mọi màn hình</t>
        </is>
      </c>
      <c r="G22" s="40" t="inlineStr">
        <is>
          <t>T1</t>
        </is>
      </c>
    </row>
    <row r="23" ht="15" customHeight="1" s="29">
      <c r="A23" s="40" t="inlineStr">
        <is>
          <t>UC-C01</t>
        </is>
      </c>
      <c r="B23" s="40" t="inlineStr">
        <is>
          <t>board.check_conflicts</t>
        </is>
      </c>
      <c r="C23" s="40" t="inlineStr">
        <is>
          <t>plan?</t>
        </is>
      </c>
      <c r="D23" s="40" t="inlineStr">
        <is>
          <t>conflicts[], options[]</t>
        </is>
      </c>
      <c r="E23" s="40" t="inlineStr">
        <is>
          <t>(tự gọi trước kế hoạch)</t>
        </is>
      </c>
      <c r="F23" s="40" t="inlineStr">
        <is>
          <t>Hộ chiếu mạch</t>
        </is>
      </c>
      <c r="G23" s="40" t="inlineStr">
        <is>
          <t>T2</t>
        </is>
      </c>
    </row>
    <row r="24" ht="15" customHeight="1" s="29">
      <c r="A24" s="40" t="inlineStr">
        <is>
          <t>UC-D01</t>
        </is>
      </c>
      <c r="B24" s="40" t="inlineStr">
        <is>
          <t>feature.define</t>
        </is>
      </c>
      <c r="C24" s="40" t="inlineStr">
        <is>
          <t>text</t>
        </is>
      </c>
      <c r="D24" s="40" t="inlineStr">
        <is>
          <t>Feature, STEP.md</t>
        </is>
      </c>
      <c r="E24" s="40" t="inlineStr">
        <is>
          <t>"Viết firmware đọc BME280 phát UART2"</t>
        </is>
      </c>
      <c r="F24" s="40" t="inlineStr">
        <is>
          <t>Trò chuyện</t>
        </is>
      </c>
      <c r="G24" s="40" t="inlineStr">
        <is>
          <t>T1</t>
        </is>
      </c>
    </row>
    <row r="25" ht="15" customHeight="1" s="29">
      <c r="A25" s="40" t="inlineStr">
        <is>
          <t>UC-D02</t>
        </is>
      </c>
      <c r="B25" s="40" t="inlineStr">
        <is>
          <t>plan.create</t>
        </is>
      </c>
      <c r="C25" s="40" t="inlineStr">
        <is>
          <t>feature_id</t>
        </is>
      </c>
      <c r="D25" s="40" t="inlineStr">
        <is>
          <t>Plan{steps, citations, missing}</t>
        </is>
      </c>
      <c r="E25" s="40" t="inlineStr">
        <is>
          <t>(tự gọi)</t>
        </is>
      </c>
      <c r="F25" s="40" t="inlineStr">
        <is>
          <t>Kế hoạch &amp; mã</t>
        </is>
      </c>
      <c r="G25" s="40" t="inlineStr">
        <is>
          <t>T2</t>
        </is>
      </c>
    </row>
    <row r="26" ht="15" customHeight="1" s="29">
      <c r="A26" s="40" t="inlineStr">
        <is>
          <t>UC-D03</t>
        </is>
      </c>
      <c r="B26" s="40" t="inlineStr">
        <is>
          <t>code.generate</t>
        </is>
      </c>
      <c r="C26" s="40" t="inlineStr">
        <is>
          <t>step_id</t>
        </is>
      </c>
      <c r="D26" s="40" t="inlineStr">
        <is>
          <t>CodePatch + ToolReport×4</t>
        </is>
      </c>
      <c r="E26" s="40" t="inlineStr">
        <is>
          <t>(tự gọi)</t>
        </is>
      </c>
      <c r="F26" s="40" t="inlineStr">
        <is>
          <t>Mã nguồn</t>
        </is>
      </c>
      <c r="G26" s="40" t="inlineStr">
        <is>
          <t>T1</t>
        </is>
      </c>
    </row>
    <row r="27" ht="15" customHeight="1" s="29">
      <c r="A27" s="40" t="inlineStr">
        <is>
          <t>UC-D04</t>
        </is>
      </c>
      <c r="B27" s="40" t="inlineStr">
        <is>
          <t>code.review_merge</t>
        </is>
      </c>
      <c r="C27" s="40" t="inlineStr">
        <is>
          <t>patch_id | policy</t>
        </is>
      </c>
      <c r="D27" s="40" t="inlineStr">
        <is>
          <t>merge result</t>
        </is>
      </c>
      <c r="E27" s="40" t="inlineStr">
        <is>
          <t>(tự theo chính sách) / "Merge đi"</t>
        </is>
      </c>
      <c r="F27" s="40" t="inlineStr">
        <is>
          <t>Kế hoạch &amp; mã</t>
        </is>
      </c>
      <c r="G27" s="40" t="inlineStr">
        <is>
          <t>T2</t>
        </is>
      </c>
    </row>
    <row r="28" ht="15" customHeight="1" s="29">
      <c r="A28" s="40" t="inlineStr">
        <is>
          <t>UC-D05</t>
        </is>
      </c>
      <c r="B28" s="40" t="inlineStr">
        <is>
          <t>code.annotate</t>
        </is>
      </c>
      <c r="C28" s="40" t="inlineStr">
        <is>
          <t>file</t>
        </is>
      </c>
      <c r="D28" s="40" t="inlineStr">
        <is>
          <t>suggestions[]</t>
        </is>
      </c>
      <c r="E28" s="40" t="inlineStr">
        <is>
          <t>"Gắn nguồn cho hằng số trong tệp này"</t>
        </is>
      </c>
      <c r="F28" s="40" t="inlineStr">
        <is>
          <t>Mã nguồn</t>
        </is>
      </c>
      <c r="G28" s="40" t="inlineStr">
        <is>
          <t>T1</t>
        </is>
      </c>
    </row>
    <row r="29" ht="15" customHeight="1" s="29">
      <c r="A29" s="40" t="inlineStr">
        <is>
          <t>UC-D06</t>
        </is>
      </c>
      <c r="B29" s="40" t="inlineStr">
        <is>
          <t>project.rollback</t>
        </is>
      </c>
      <c r="C29" s="40" t="inlineStr">
        <is>
          <t>tag?</t>
        </is>
      </c>
      <c r="D29" s="40" t="inlineStr">
        <is>
          <t>state</t>
        </is>
      </c>
      <c r="E29" s="40" t="inlineStr">
        <is>
          <t>"Quay về bản chạy được hôm qua"</t>
        </is>
      </c>
      <c r="F29" s="40" t="inlineStr">
        <is>
          <t>Tổng quan</t>
        </is>
      </c>
      <c r="G29" s="40" t="inlineStr">
        <is>
          <t>T1</t>
        </is>
      </c>
    </row>
    <row r="30" ht="15" customHeight="1" s="29">
      <c r="A30" s="40" t="inlineStr">
        <is>
          <t>UC-E01</t>
        </is>
      </c>
      <c r="B30" s="40" t="inlineStr">
        <is>
          <t>sim.build_platform</t>
        </is>
      </c>
      <c r="C30" s="40" t="inlineStr">
        <is>
          <t>passport_id, board_id</t>
        </is>
      </c>
      <c r="D30" s="40" t="inlineStr">
        <is>
          <t>sim/ (.repl, mocks), ToolReport</t>
        </is>
      </c>
      <c r="E30" s="40" t="inlineStr">
        <is>
          <t>"Dựng mô phỏng cho board này"</t>
        </is>
      </c>
      <c r="F30" s="40" t="inlineStr">
        <is>
          <t>Mô phỏng</t>
        </is>
      </c>
      <c r="G30" s="40" t="inlineStr">
        <is>
          <t>T2</t>
        </is>
      </c>
    </row>
    <row r="31" ht="15" customHeight="1" s="29">
      <c r="A31" s="40" t="inlineStr">
        <is>
          <t>UC-E02</t>
        </is>
      </c>
      <c r="B31" s="40" t="inlineStr">
        <is>
          <t>sim.model_plant</t>
        </is>
      </c>
      <c r="C31" s="40" t="inlineStr">
        <is>
          <t>params (từ người/nguồn)</t>
        </is>
      </c>
      <c r="D31" s="40" t="inlineStr">
        <is>
          <t>model</t>
        </is>
      </c>
      <c r="E31" s="40" t="inlineStr">
        <is>
          <t>"Mô hình robot: khối lượng 0,8 kg, bánh 65 mm"</t>
        </is>
      </c>
      <c r="F31" s="40" t="inlineStr">
        <is>
          <t>Mô phỏng</t>
        </is>
      </c>
      <c r="G31" s="40" t="inlineStr">
        <is>
          <t>T2</t>
        </is>
      </c>
    </row>
    <row r="32" ht="15" customHeight="1" s="29">
      <c r="A32" s="40" t="inlineStr">
        <is>
          <t>UC-E03</t>
        </is>
      </c>
      <c r="B32" s="40" t="inlineStr">
        <is>
          <t>sim.run</t>
        </is>
      </c>
      <c r="C32" s="40" t="inlineStr">
        <is>
          <t>feature_id | scenario</t>
        </is>
      </c>
      <c r="D32" s="40" t="inlineStr">
        <is>
          <t>ToolReport(sim), evidence</t>
        </is>
      </c>
      <c r="E32" s="40" t="inlineStr">
        <is>
          <t>"Chạy mô phỏng F-06"</t>
        </is>
      </c>
      <c r="F32" s="40" t="inlineStr">
        <is>
          <t>Mô phỏng</t>
        </is>
      </c>
      <c r="G32" s="40" t="inlineStr">
        <is>
          <t>T1</t>
        </is>
      </c>
    </row>
    <row r="33" ht="15" customHeight="1" s="29">
      <c r="A33" s="40" t="inlineStr">
        <is>
          <t>UC-E04</t>
        </is>
      </c>
      <c r="B33" s="40" t="inlineStr">
        <is>
          <t>sim.compare_hil</t>
        </is>
      </c>
      <c r="C33" s="40" t="inlineStr">
        <is>
          <t>scenario</t>
        </is>
      </c>
      <c r="D33" s="40" t="inlineStr">
        <is>
          <t>diff table, proposals</t>
        </is>
      </c>
      <c r="E33" s="40" t="inlineStr">
        <is>
          <t>"So mô phỏng với board thật"</t>
        </is>
      </c>
      <c r="F33" s="40" t="inlineStr">
        <is>
          <t>Mô phỏng</t>
        </is>
      </c>
      <c r="G33" s="40" t="inlineStr">
        <is>
          <t>T2</t>
        </is>
      </c>
    </row>
    <row r="34" ht="15" customHeight="1" s="29">
      <c r="A34" s="40" t="inlineStr">
        <is>
          <t>UC-F01</t>
        </is>
      </c>
      <c r="B34" s="40" t="inlineStr">
        <is>
          <t>ops.permit</t>
        </is>
      </c>
      <c r="C34" s="40" t="inlineStr">
        <is>
          <t>op, target, scope | policy</t>
        </is>
      </c>
      <c r="D34" s="40" t="inlineStr">
        <is>
          <t>permission</t>
        </is>
      </c>
      <c r="E34" s="40" t="inlineStr">
        <is>
          <t>(tự theo chính sách) / "Cho phép nạp phiên này"</t>
        </is>
      </c>
      <c r="F34" s="40" t="inlineStr">
        <is>
          <t>Hàng đợi / Chat</t>
        </is>
      </c>
      <c r="G34" s="40" t="inlineStr">
        <is>
          <t>T3</t>
        </is>
      </c>
    </row>
    <row r="35" ht="15" customHeight="1" s="29">
      <c r="A35" s="40" t="inlineStr">
        <is>
          <t>UC-F02</t>
        </is>
      </c>
      <c r="B35" s="40" t="inlineStr">
        <is>
          <t>target.flash</t>
        </is>
      </c>
      <c r="C35" s="40" t="inlineStr">
        <is>
          <t>artifact, target</t>
        </is>
      </c>
      <c r="D35" s="40" t="inlineStr">
        <is>
          <t>ToolReport</t>
        </is>
      </c>
      <c r="E35" s="40" t="inlineStr">
        <is>
          <t>"Nạp lên board"</t>
        </is>
      </c>
      <c r="F35" s="40" t="inlineStr">
        <is>
          <t>Log &amp; serial</t>
        </is>
      </c>
      <c r="G35" s="40" t="inlineStr">
        <is>
          <t>T1</t>
        </is>
      </c>
    </row>
    <row r="36" ht="15" customHeight="1" s="29">
      <c r="A36" s="40" t="inlineStr">
        <is>
          <t>UC-F03</t>
        </is>
      </c>
      <c r="B36" s="40" t="inlineStr">
        <is>
          <t>target.observe</t>
        </is>
      </c>
      <c r="C36" s="40" t="inlineStr">
        <is>
          <t>expect[], sensors</t>
        </is>
      </c>
      <c r="D36" s="40" t="inlineStr">
        <is>
          <t>evidence, feature status</t>
        </is>
      </c>
      <c r="E36" s="40" t="inlineStr">
        <is>
          <t>"Kiểm tra board có chạy đúng không"</t>
        </is>
      </c>
      <c r="F36" s="40" t="inlineStr">
        <is>
          <t>Log &amp; serial</t>
        </is>
      </c>
      <c r="G36" s="40" t="inlineStr">
        <is>
          <t>T3</t>
        </is>
      </c>
    </row>
    <row r="37" ht="15" customHeight="1" s="29">
      <c r="A37" s="40" t="inlineStr">
        <is>
          <t>UC-F04</t>
        </is>
      </c>
      <c r="B37" s="40" t="inlineStr">
        <is>
          <t>debug.ask_at</t>
        </is>
      </c>
      <c r="C37" s="40" t="inlineStr">
        <is>
          <t>log, range, question</t>
        </is>
      </c>
      <c r="D37" s="40" t="inlineStr">
        <is>
          <t>Diagnosis</t>
        </is>
      </c>
      <c r="E37" s="40" t="inlineStr">
        <is>
          <t>"Vì sao ở đây bị NACK?"</t>
        </is>
      </c>
      <c r="F37" s="40" t="inlineStr">
        <is>
          <t>Log &amp; serial</t>
        </is>
      </c>
      <c r="G37" s="40" t="inlineStr">
        <is>
          <t>T1</t>
        </is>
      </c>
    </row>
    <row r="38" ht="15" customHeight="1" s="29">
      <c r="A38" s="40" t="inlineStr">
        <is>
          <t>UC-F05</t>
        </is>
      </c>
      <c r="B38" s="40" t="inlineStr">
        <is>
          <t>debug.probe</t>
        </is>
      </c>
      <c r="C38" s="40" t="inlineStr">
        <is>
          <t>experiment</t>
        </is>
      </c>
      <c r="D38" s="40" t="inlineStr">
        <is>
          <t>EvidencePack</t>
        </is>
      </c>
      <c r="E38" s="40" t="inlineStr">
        <is>
          <t>"Đọc thanh ghi SR1 ngay khi lỗi"</t>
        </is>
      </c>
      <c r="F38" s="40" t="inlineStr">
        <is>
          <t>Gỡ lỗi probe</t>
        </is>
      </c>
      <c r="G38" s="40" t="inlineStr">
        <is>
          <t>T3</t>
        </is>
      </c>
    </row>
    <row r="39" ht="15" customHeight="1" s="29">
      <c r="A39" s="40" t="inlineStr">
        <is>
          <t>UC-F06</t>
        </is>
      </c>
      <c r="B39" s="40" t="inlineStr">
        <is>
          <t>measure.capture</t>
        </is>
      </c>
      <c r="C39" s="40" t="inlineStr">
        <is>
          <t>channels|power, duration</t>
        </is>
      </c>
      <c r="D39" s="40" t="inlineStr">
        <is>
          <t>Measurement</t>
        </is>
      </c>
      <c r="E39" s="40" t="inlineStr">
        <is>
          <t>"Bắt sóng I2C khi lỗi"</t>
        </is>
      </c>
      <c r="F39" s="40" t="inlineStr">
        <is>
          <t>Gỡ lỗi probe</t>
        </is>
      </c>
      <c r="G39" s="40" t="inlineStr">
        <is>
          <t>T1</t>
        </is>
      </c>
    </row>
    <row r="40" ht="15" customHeight="1" s="29">
      <c r="A40" s="40" t="inlineStr">
        <is>
          <t>UC-G01</t>
        </is>
      </c>
      <c r="B40" s="40" t="inlineStr">
        <is>
          <t>bench.run</t>
        </is>
      </c>
      <c r="C40" s="40" t="inlineStr">
        <is>
          <t>isa|pack, models[]</t>
        </is>
      </c>
      <c r="D40" s="40" t="inlineStr">
        <is>
          <t>report, badges</t>
        </is>
      </c>
      <c r="E40" s="40" t="inlineStr">
        <is>
          <t>"Chạy benchmark skill Cortex-M"</t>
        </is>
      </c>
      <c r="F40" s="40" t="inlineStr">
        <is>
          <t>Benchmark</t>
        </is>
      </c>
      <c r="G40" s="40" t="inlineStr">
        <is>
          <t>T1</t>
        </is>
      </c>
    </row>
    <row r="41" ht="15" customHeight="1" s="29">
      <c r="A41" s="40" t="inlineStr">
        <is>
          <t>UC-G02</t>
        </is>
      </c>
      <c r="B41" s="40" t="inlineStr">
        <is>
          <t>registry.publish</t>
        </is>
      </c>
      <c r="C41" s="40" t="inlineStr">
        <is>
          <t>passport_id|skill, scope</t>
        </is>
      </c>
      <c r="D41" s="40" t="inlineStr">
        <is>
          <t>package</t>
        </is>
      </c>
      <c r="E41" s="40" t="inlineStr">
        <is>
          <t>"Đóng gói BME280 lên registry lớp"</t>
        </is>
      </c>
      <c r="F41" s="40" t="inlineStr">
        <is>
          <t>Registry</t>
        </is>
      </c>
      <c r="G41" s="40" t="inlineStr">
        <is>
          <t>T2</t>
        </is>
      </c>
    </row>
    <row r="42" ht="15" customHeight="1" s="29">
      <c r="A42" s="40" t="inlineStr">
        <is>
          <t>UC-G03</t>
        </is>
      </c>
      <c r="B42" s="40" t="inlineStr">
        <is>
          <t>registry.pull</t>
        </is>
      </c>
      <c r="C42" s="40" t="inlineStr">
        <is>
          <t>id@version</t>
        </is>
      </c>
      <c r="D42" s="40" t="inlineStr">
        <is>
          <t>passport</t>
        </is>
      </c>
      <c r="E42" s="40" t="inlineStr">
        <is>
          <t>"Lấy hộ chiếu nRF52840"</t>
        </is>
      </c>
      <c r="F42" s="40" t="inlineStr">
        <is>
          <t>Registry</t>
        </is>
      </c>
      <c r="G42" s="40" t="inlineStr">
        <is>
          <t>T1</t>
        </is>
      </c>
    </row>
    <row r="43" ht="15" customHeight="1" s="29">
      <c r="A43" s="40" t="inlineStr">
        <is>
          <t>UC-G04</t>
        </is>
      </c>
      <c r="B43" s="40" t="inlineStr">
        <is>
          <t>report.export</t>
        </is>
      </c>
      <c r="C43" s="40" t="inlineStr">
        <is>
          <t>type, scope</t>
        </is>
      </c>
      <c r="D43" s="40" t="inlineStr">
        <is>
          <t>files</t>
        </is>
      </c>
      <c r="E43" s="40" t="inlineStr">
        <is>
          <t>"Xuất báo cáo tuần và ma trận Người–AI"</t>
        </is>
      </c>
      <c r="F43" s="40" t="inlineStr">
        <is>
          <t>Môi trường &amp; báo cáo</t>
        </is>
      </c>
      <c r="G43" s="40" t="inlineStr">
        <is>
          <t>T3</t>
        </is>
      </c>
    </row>
    <row r="44" ht="15" customHeight="1" s="29">
      <c r="A44" s="40" t="inlineStr">
        <is>
          <t>UC-H01</t>
        </is>
      </c>
      <c r="B44" s="40" t="inlineStr">
        <is>
          <t>chat.command</t>
        </is>
      </c>
      <c r="C44" s="40" t="inlineStr">
        <is>
          <t>text</t>
        </is>
      </c>
      <c r="D44" s="40" t="inlineStr">
        <is>
          <t>plan of capabilities</t>
        </is>
      </c>
      <c r="E44" s="40" t="inlineStr">
        <is>
          <t>(mọi câu lệnh)</t>
        </is>
      </c>
      <c r="F44" s="40" t="inlineStr">
        <is>
          <t>Trò chuyện</t>
        </is>
      </c>
      <c r="G44" s="40" t="inlineStr">
        <is>
          <t>T1</t>
        </is>
      </c>
    </row>
    <row r="45" ht="15" customHeight="1" s="29">
      <c r="A45" s="40" t="inlineStr">
        <is>
          <t>UC-H02</t>
        </is>
      </c>
      <c r="B45" s="40" t="inlineStr">
        <is>
          <t>agent.check_sufficiency</t>
        </is>
      </c>
      <c r="C45" s="40" t="inlineStr">
        <is>
          <t>task</t>
        </is>
      </c>
      <c r="D45" s="40" t="inlineStr">
        <is>
          <t>missing[]</t>
        </is>
      </c>
      <c r="E45" s="40" t="inlineStr">
        <is>
          <t>(tự gọi)</t>
        </is>
      </c>
      <c r="F45" s="40" t="inlineStr">
        <is>
          <t>Trò chuyện</t>
        </is>
      </c>
      <c r="G45" s="40" t="inlineStr">
        <is>
          <t>T1</t>
        </is>
      </c>
    </row>
    <row r="46" ht="15" customHeight="1" s="29">
      <c r="A46" s="40" t="inlineStr">
        <is>
          <t>UC-H03</t>
        </is>
      </c>
      <c r="B46" s="40" t="inlineStr">
        <is>
          <t>policy.budget_escalate</t>
        </is>
      </c>
      <c r="C46" s="40" t="inlineStr">
        <is>
          <t>—</t>
        </is>
      </c>
      <c r="D46" s="40" t="inlineStr">
        <is>
          <t>decision</t>
        </is>
      </c>
      <c r="E46" s="40" t="inlineStr">
        <is>
          <t>"Tăng ngân sách lên 10 USD"</t>
        </is>
      </c>
      <c r="F46" s="40" t="inlineStr">
        <is>
          <t>Mô hình &amp; chi phí</t>
        </is>
      </c>
      <c r="G46" s="40" t="inlineStr">
        <is>
          <t>T2</t>
        </is>
      </c>
    </row>
    <row r="47" ht="15" customHeight="1" s="29">
      <c r="A47" s="40" t="inlineStr">
        <is>
          <t>UC-H04</t>
        </is>
      </c>
      <c r="B47" s="40" t="inlineStr">
        <is>
          <t>agent.decline</t>
        </is>
      </c>
      <c r="C47" s="40" t="inlineStr">
        <is>
          <t>—</t>
        </is>
      </c>
      <c r="D47" s="40" t="inlineStr">
        <is>
          <t>answer + request</t>
        </is>
      </c>
      <c r="E47" s="40" t="inlineStr">
        <is>
          <t>(tự động)</t>
        </is>
      </c>
      <c r="F47" s="40" t="inlineStr">
        <is>
          <t>Trò chuyện</t>
        </is>
      </c>
      <c r="G47" s="40" t="inlineStr">
        <is>
          <t>T1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0.xml><?xml version="1.0" encoding="utf-8"?>
<worksheet xmlns="http://schemas.openxmlformats.org/spreadsheetml/2006/main">
  <sheetPr filterMode="0">
    <outlinePr summaryBelow="1" summaryRight="1"/>
    <pageSetUpPr fitToPage="0"/>
  </sheetPr>
  <dimension ref="A1:H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8" min="1" max="1"/>
    <col width="34" customWidth="1" style="28" min="2" max="2"/>
    <col width="36" customWidth="1" style="28" min="3" max="3"/>
    <col width="30" customWidth="1" style="28" min="4" max="4"/>
    <col width="44" customWidth="1" style="28" min="5" max="5"/>
    <col width="52" customWidth="1" style="28" min="6" max="6"/>
    <col width="30" customWidth="1" style="28" min="7" max="7"/>
    <col width="22" customWidth="1" style="28" min="8" max="8"/>
  </cols>
  <sheetData>
    <row r="1" ht="15" customHeight="1" s="29">
      <c r="A1" s="38" t="inlineStr">
        <is>
          <t>QUY TẮC HỘI THOẠI CHUNG (EIDE-DPS-09) — áp dụng cho mọi năng lực</t>
        </is>
      </c>
    </row>
    <row r="2" ht="15" customHeight="1" s="29">
      <c r="A2" s="41" t="inlineStr">
        <is>
          <t>Mã</t>
        </is>
      </c>
      <c r="B2" s="41" t="inlineStr">
        <is>
          <t>Quy tắc</t>
        </is>
      </c>
      <c r="C2" s="41" t="inlineStr">
        <is>
          <t>Nội dung</t>
        </is>
      </c>
      <c r="D2" s="41" t="inlineStr">
        <is>
          <t>Vì sao</t>
        </is>
      </c>
    </row>
    <row r="3" ht="57" customHeight="1" s="29">
      <c r="A3" s="40" t="inlineStr">
        <is>
          <t>D1</t>
        </is>
      </c>
      <c r="B3" s="40" t="inlineStr">
        <is>
          <t>Đối chiếu trạng thái trước khi hành động</t>
        </is>
      </c>
      <c r="C3" s="40" t="inlineStr">
        <is>
          <t>Mọi lệnh tạo/nạp/sinh đều đi qua bước 'grounding': tra dự án, hộ chiếu, board, feature, registry để biết cái người nói ĐÃ TỒN TẠI chưa (khớp tên gần đúng, mã chip, đường dẫn, thời gian gần nhất).</t>
        </is>
      </c>
      <c r="D3" s="40" t="inlineStr">
        <is>
          <t>Tránh tạo trùng; cho phép 'dùng luôn' thay vì làm lại.</t>
        </is>
      </c>
    </row>
    <row r="4" ht="57" customHeight="1" s="29">
      <c r="A4" s="40" t="inlineStr">
        <is>
          <t>D2</t>
        </is>
      </c>
      <c r="B4" s="40" t="inlineStr">
        <is>
          <t>Điền ô trống bằng mặc định trước, hỏi sau</t>
        </is>
      </c>
      <c r="C4" s="40" t="inlineStr">
        <is>
          <t>Tham số thiếu được điền bằng mặc định có căn cứ (mức A3, mô hình mặc định, ngân sách 5 USD, tên dự án từ câu lệnh). Chỉ hỏi khi không có mặc định hợp lý hoặc lựa chọn không hoàn tác được.</t>
        </is>
      </c>
      <c r="D4" s="40" t="inlineStr">
        <is>
          <t>Giảm số câu hỏi; mọi mặc định ghi vào ledger và có thể đổi bằng một câu.</t>
        </is>
      </c>
    </row>
    <row r="5" ht="57" customHeight="1" s="29">
      <c r="A5" s="40" t="inlineStr">
        <is>
          <t>D3</t>
        </is>
      </c>
      <c r="B5" s="40" t="inlineStr">
        <is>
          <t>Tối đa MỘT câu hỏi gộp cho mỗi lượt</t>
        </is>
      </c>
      <c r="C5" s="40" t="inlineStr">
        <is>
          <t>Nếu cần hỏi, gộp các điểm mơ hồ thành một câu có phương án đánh số và phương án mặc định được đánh dấu; im lặng quá T (cấu hình, ví dụ 2 phút) ⇒ chọn mặc định và báo.</t>
        </is>
      </c>
      <c r="D5" s="40" t="inlineStr">
        <is>
          <t>Người không bị hỏi dồn dập.</t>
        </is>
      </c>
    </row>
    <row r="6" ht="57" customHeight="1" s="29">
      <c r="A6" s="40" t="inlineStr">
        <is>
          <t>D4</t>
        </is>
      </c>
      <c r="B6" s="40" t="inlineStr">
        <is>
          <t>Đề xuất trước, làm ngay phần chắc chắn</t>
        </is>
      </c>
      <c r="C6" s="40" t="inlineStr">
        <is>
          <t>Khi đầu vào trống, tác tử đề xuất một kế hoạch ngắn (3–6 dòng) và LÀM NGAY những việc T1 không phụ thuộc quyết định (tạo khung dự án, tìm tài liệu tham khảo), song song với việc chờ câu trả lời.</t>
        </is>
      </c>
      <c r="D6" s="40" t="inlineStr">
        <is>
          <t>Không có thời gian chết.</t>
        </is>
      </c>
    </row>
    <row r="7" ht="57" customHeight="1" s="29">
      <c r="A7" s="40" t="inlineStr">
        <is>
          <t>D5</t>
        </is>
      </c>
      <c r="B7" s="40" t="inlineStr">
        <is>
          <t>Ưu tiên nguồn theo thứ tự: người nói &gt; dự án hiện có &gt; registry/mẫu tham chiếu &gt; web</t>
        </is>
      </c>
      <c r="C7" s="40" t="inlineStr">
        <is>
          <t>Khi suy ra chip/board/linh kiện cho một ý tưởng (ví dụ 'robot hai bánh tự cân bằng'), tác tử tra mẫu tham chiếu trong registry trước, rồi mới tìm web, và luôn trình bày là ĐỀ XUẤT có nguồn.</t>
        </is>
      </c>
      <c r="D7" s="40" t="inlineStr">
        <is>
          <t>Nhất quán với KAD: tri thức có nguồn, K9 chỉ đề xuất.</t>
        </is>
      </c>
    </row>
    <row r="8" ht="45.75" customHeight="1" s="29">
      <c r="A8" s="40" t="inlineStr">
        <is>
          <t>D6</t>
        </is>
      </c>
      <c r="B8" s="40" t="inlineStr">
        <is>
          <t>Xác nhận bằng cách nói lại ý hiểu</t>
        </is>
      </c>
      <c r="C8" s="40" t="inlineStr">
        <is>
          <t>Trước một chuỗi dài, tác tử nói lại ý hiểu trong 1–2 câu ('Tôi hiểu là… tôi sẽ…') rồi làm; người có thể sửa bất cứ lúc nào, không cần bấm xác nhận.</t>
        </is>
      </c>
      <c r="D8" s="40" t="inlineStr">
        <is>
          <t>Giảm hiểu sai mà không thêm cổng.</t>
        </is>
      </c>
    </row>
    <row r="9" ht="45.75" customHeight="1" s="29">
      <c r="A9" s="40" t="inlineStr">
        <is>
          <t>D7</t>
        </is>
      </c>
      <c r="B9" s="40" t="inlineStr">
        <is>
          <t>Hành động hoàn tác được thì làm, không hoàn tác được thì hỏi</t>
        </is>
      </c>
      <c r="C9" s="40" t="inlineStr">
        <is>
          <t>Nguyên tắc của APD-08 áp dụng ngay trong hội thoại: tạo/sửa/nạp board lab làm ngay; xóa dự án, ghi đè dự án đang có, xóa flash ⇒ hỏi.</t>
        </is>
      </c>
      <c r="D9" s="40" t="inlineStr">
        <is>
          <t>—</t>
        </is>
      </c>
    </row>
    <row r="10" ht="45.75" customHeight="1" s="29">
      <c r="A10" s="40" t="inlineStr">
        <is>
          <t>D8</t>
        </is>
      </c>
      <c r="B10" s="40" t="inlineStr">
        <is>
          <t>Ghi nhớ lựa chọn để lần sau không hỏi lại</t>
        </is>
      </c>
      <c r="C10" s="40" t="inlineStr">
        <is>
          <t>Mỗi câu trả lời của người (ví dụ 'luôn tạo mới', 'dùng ST-Link') được ghi thành tùy chọn dự án/người dùng; lần sau tác tử áp dụng và chỉ nhắc 'áp dụng như lần trước'.</t>
        </is>
      </c>
      <c r="D10" s="40" t="inlineStr">
        <is>
          <t>Số câu hỏi giảm dần theo thời gian.</t>
        </is>
      </c>
    </row>
    <row r="12" ht="15" customHeight="1" s="29">
      <c r="A12" s="38" t="inlineStr">
        <is>
          <t>KỊCH BẢN ĐẦU VÀO CHƯA CÓ GÌ — tác tử kiểm tra gì, làm gì, hỏi gì</t>
        </is>
      </c>
    </row>
    <row r="13" ht="15" customHeight="1" s="29">
      <c r="A13" s="41" t="inlineStr">
        <is>
          <t>Mã</t>
        </is>
      </c>
      <c r="B13" s="41" t="inlineStr">
        <is>
          <t>Câu lệnh của kỹ sư</t>
        </is>
      </c>
      <c r="C13" s="41" t="inlineStr">
        <is>
          <t>Tác tử kiểm tra (grounding)</t>
        </is>
      </c>
      <c r="D13" s="41" t="inlineStr">
        <is>
          <t>Kết quả kiểm tra</t>
        </is>
      </c>
      <c r="E13" s="41" t="inlineStr">
        <is>
          <t>Tác tử làm / hỏi</t>
        </is>
      </c>
      <c r="F13" s="41" t="inlineStr">
        <is>
          <t>Câu hỏi mẫu (tối đa 1, có mặc định)</t>
        </is>
      </c>
      <c r="G13" s="41" t="inlineStr">
        <is>
          <t>Mặc định khi im lặng</t>
        </is>
      </c>
      <c r="H13" s="41" t="inlineStr">
        <is>
          <t>UC / năng lực</t>
        </is>
      </c>
    </row>
    <row r="14" ht="57" customHeight="1" s="29">
      <c r="A14" s="40" t="inlineStr">
        <is>
          <t>Z-01</t>
        </is>
      </c>
      <c r="B14" s="40" t="inlineStr">
        <is>
          <t>"Tạo cho anh dự án robot hai bánh tự cân bằng"</t>
        </is>
      </c>
      <c r="C14" s="40" t="inlineStr">
        <is>
          <t>Có dự án tên gần giống (robot, cân bằng, balance) trong workspace? Có mẫu tham chiếu (reference project) trong registry? Có board/hộ chiếu nào đang mở?</t>
        </is>
      </c>
      <c r="D14" s="40" t="inlineStr">
        <is>
          <t>Không có gì</t>
        </is>
      </c>
      <c r="E14" s="40" t="inlineStr">
        <is>
          <t>Nói lại ý hiểu; tạo khung dự án 'robot-2-banh-tu-can-bang'; tra registry mẫu 'self-balancing robot' → đề xuất kiến trúc phần cứng (MCU, IMU, driver động cơ, nguồn) có nguồn; liệt kê cần gì từ anh (board có sẵn? tài liệu?)</t>
        </is>
      </c>
      <c r="F14" s="40" t="inlineStr">
        <is>
          <t>"Tôi đã tạo dự án và đề xuất BOM tham chiếu (STM32F411 + MPU6050 + A4988 + 2 stepper, nguồn 12 V). Anh có board/tài liệu sẵn không, hay tôi dựng theo mẫu tham chiếu để mô phỏng trước? [1] Mẫu tham chiếu (mặc định) [2] Tôi gửi tài liệu"</t>
        </is>
      </c>
      <c r="G14" s="40" t="inlineStr">
        <is>
          <t>[1] dựng theo mẫu tham chiếu, mô phỏng trước</t>
        </is>
      </c>
      <c r="H14" s="40" t="inlineStr">
        <is>
          <t>UC-A01, UC-A02, UC-G03, UC-E01</t>
        </is>
      </c>
    </row>
    <row r="15" ht="34.5" customHeight="1" s="29">
      <c r="A15" s="40" t="inlineStr">
        <is>
          <t>Z-02</t>
        </is>
      </c>
      <c r="B15" s="40" t="inlineStr">
        <is>
          <t>(như Z-01)</t>
        </is>
      </c>
      <c r="C15" s="40" t="inlineStr">
        <is>
          <t>(như Z-01)</t>
        </is>
      </c>
      <c r="D15" s="40" t="inlineStr">
        <is>
          <t>Có dự án 'robot-ctrl' tạo 3 ngày trước, 5/8 feature passing</t>
        </is>
      </c>
      <c r="E15" s="40" t="inlineStr">
        <is>
          <t>Không tạo mới ngay; nói rõ đã có gì; đề nghị dùng tiếp, nhân bản, hoặc tạo mới</t>
        </is>
      </c>
      <c r="F15" s="40" t="inlineStr">
        <is>
          <t>"Đã có dự án robot-ctrl (03/09, 5/8 tính năng chạy được, board BlackPill F411). Anh muốn: [1] tiếp tục dự án đó (mặc định) [2] nhân bản thành dự án mới [3] tạo mới trống"</t>
        </is>
      </c>
      <c r="G15" s="40" t="inlineStr">
        <is>
          <t>[1] tiếp tục; nếu im lặng 2 phút ⇒ mở dự án cũ</t>
        </is>
      </c>
      <c r="H15" s="40" t="inlineStr">
        <is>
          <t>UC-A06, UC-A01</t>
        </is>
      </c>
    </row>
    <row r="16" ht="34.5" customHeight="1" s="29">
      <c r="A16" s="40" t="inlineStr">
        <is>
          <t>Z-03</t>
        </is>
      </c>
      <c r="B16" s="40" t="inlineStr">
        <is>
          <t>(như Z-01)</t>
        </is>
      </c>
      <c r="C16" s="40" t="inlineStr">
        <is>
          <t>(như Z-01)</t>
        </is>
      </c>
      <c r="D16" s="40" t="inlineStr">
        <is>
          <t>Có mẫu tham chiếu trong registry (ví dụ eide.ref.balancing-robot@1.2) đã kiểm định trên board</t>
        </is>
      </c>
      <c r="E16" s="40" t="inlineStr">
        <is>
          <t>Đề xuất khởi tạo từ mẫu: kéo hộ chiếu chip/board, skill, kịch bản mô phỏng, firmware mẫu; báo khác biệt nếu người nêu linh kiện khác</t>
        </is>
      </c>
      <c r="F16" s="40" t="inlineStr">
        <is>
          <t>"Registry có mẫu robot cân bằng đã kiểm định (STM32F411 + MPU6050). Dùng mẫu này làm điểm xuất phát chứ? [1] Có (mặc định) [2] Không, tôi có thiết kế riêng"</t>
        </is>
      </c>
      <c r="G16" s="40" t="inlineStr">
        <is>
          <t>[1] dùng mẫu</t>
        </is>
      </c>
      <c r="H16" s="40" t="inlineStr">
        <is>
          <t>UC-G03, UC-A01</t>
        </is>
      </c>
    </row>
    <row r="17" ht="45.75" customHeight="1" s="29">
      <c r="A17" s="40" t="inlineStr">
        <is>
          <t>Z-04</t>
        </is>
      </c>
      <c r="B17" s="40" t="inlineStr">
        <is>
          <t>"Tạo dự án cho board này" (kèm 1 ảnh board, không tài liệu)</t>
        </is>
      </c>
      <c r="C17" s="40" t="inlineStr">
        <is>
          <t>Nhận diện linh kiện trên ảnh; tra hộ chiếu theo nhãn chip đọc được; tra registry</t>
        </is>
      </c>
      <c r="D17" s="40" t="inlineStr">
        <is>
          <t>Đọc được 'STM32F411CEU6', 'MPU-6050'; không có schematic</t>
        </is>
      </c>
      <c r="E17" s="40" t="inlineStr">
        <is>
          <t>Tạo dự án; pull hộ chiếu chip; tạo BoardPassport ĐỀ XUẤT từ ảnh (tầng bạc, chờ duyệt); tìm schematic board phổ biến (BlackPill) trên registry/web; nêu rõ những gì chưa chắc</t>
        </is>
      </c>
      <c r="F17" s="40" t="inlineStr">
        <is>
          <t>"Tôi nhận ra STM32F411CEU6 (BlackPill) và MPU6050. Tôi dùng sơ đồ BlackPill chuẩn từ registry cho phần MCU; dây nối MPU6050 tôi đoán từ ảnh (SCL→PB6, SDA→PB7) — anh xác nhận hoặc gửi schematic sau cũng được."</t>
        </is>
      </c>
      <c r="G17" s="40" t="inlineStr">
        <is>
          <t>Dùng sơ đồ chuẩn + net đoán từ ảnh ở tầng bạc; không sinh mã chạm net đoán cho tới khi duyệt</t>
        </is>
      </c>
      <c r="H17" s="40" t="inlineStr">
        <is>
          <t>UC-B05, UC-B06, UC-B08</t>
        </is>
      </c>
    </row>
    <row r="18" ht="34.5" customHeight="1" s="29">
      <c r="A18" s="40" t="inlineStr">
        <is>
          <t>Z-05</t>
        </is>
      </c>
      <c r="B18" s="40" t="inlineStr">
        <is>
          <t>"Viết firmware đọc nhiệt độ" (chưa có dự án nào mở)</t>
        </is>
      </c>
      <c r="C18" s="40" t="inlineStr">
        <is>
          <t>Có dự án nào trong workspace? Dự án mở gần nhất? Có cảm biến nhiệt nào trong hộ chiếu?</t>
        </is>
      </c>
      <c r="D18" s="40" t="inlineStr">
        <is>
          <t>Không có dự án mở; có 2 dự án cũ</t>
        </is>
      </c>
      <c r="E18" s="40" t="inlineStr">
        <is>
          <t>Hỏi một câu gộp: dự án nào / board nào; nếu chỉ có một dự án có cảm biến nhiệt ⇒ chọn luôn và báo</t>
        </is>
      </c>
      <c r="F18" s="40" t="inlineStr">
        <is>
          <t>"Anh muốn làm trên dự án nào? [1] robot-ctrl (có BME280, mặc định) [2] weather-node [3] dự án mới"</t>
        </is>
      </c>
      <c r="G18" s="40" t="inlineStr">
        <is>
          <t>[1] dự án gần nhất có cảm biến phù hợp</t>
        </is>
      </c>
      <c r="H18" s="40" t="inlineStr">
        <is>
          <t>UC-H01, UC-D01</t>
        </is>
      </c>
    </row>
    <row r="19" ht="45.75" customHeight="1" s="29">
      <c r="A19" s="40" t="inlineStr">
        <is>
          <t>Z-06</t>
        </is>
      </c>
      <c r="B19" s="40" t="inlineStr">
        <is>
          <t>"Bắt đầu với chip ESP32-C3" (không board, không tài liệu)</t>
        </is>
      </c>
      <c r="C19" s="40" t="inlineStr">
        <is>
          <t>Hộ chiếu esp.esp32-c3 có trong store/registry? Pack rv32/ESP-IDF đã cài?</t>
        </is>
      </c>
      <c r="D19" s="40" t="inlineStr">
        <is>
          <t>Có hộ chiếu (seed), chưa cài ESP-IDF</t>
        </is>
      </c>
      <c r="E19" s="40" t="inlineStr">
        <is>
          <t>Tạo dự án; ghim hộ chiếu; chạy eide doctor cài ESP-IDF (T1, danh sách tin cậy); dựng mô phỏng QEMU/Renode; hỏi một câu về board devkit nếu cần chân cụ thể</t>
        </is>
      </c>
      <c r="F19" s="40" t="inlineStr">
        <is>
          <t>"Đã ghim hộ chiếu ESP32-C3 và đang cài ESP-IDF (~5 phút). Anh dùng devkit nào? [1] ESP32-C3-DevKitM-1 (mặc định) [2] board khác — gửi schematic sau"</t>
        </is>
      </c>
      <c r="G19" s="40" t="inlineStr">
        <is>
          <t>[1] devkit chính hãng</t>
        </is>
      </c>
      <c r="H19" s="40" t="inlineStr">
        <is>
          <t>UC-A02, UC-A03, UC-E01</t>
        </is>
      </c>
    </row>
    <row r="20" ht="45.75" customHeight="1" s="29">
      <c r="A20" s="40" t="inlineStr">
        <is>
          <t>Z-07</t>
        </is>
      </c>
      <c r="B20" s="40" t="inlineStr">
        <is>
          <t>"Làm hết đi" (sau khi thả zip, không nói gì thêm)</t>
        </is>
      </c>
      <c r="C20" s="40" t="inlineStr">
        <is>
          <t>Zip có gì? Suy ra được mục tiêu dự án từ README/tên tệp không?</t>
        </is>
      </c>
      <c r="D20" s="40" t="inlineStr">
        <is>
          <t>Có schematic, datasheet, README ghi 'balancing robot'</t>
        </is>
      </c>
      <c r="E20" s="40" t="inlineStr">
        <is>
          <t>Suy ra mục tiêu; đề xuất danh sách Feature (F-01…F-08) từ README + BOM; làm ngay tri thức, môi trường, mô phỏng; bắt đầu Feature không cần quyết định của người; gửi báo cáo tiến độ</t>
        </is>
      </c>
      <c r="F20" s="40" t="inlineStr">
        <is>
          <t>"Tôi hiểu mục tiêu là robot cân bằng. Tôi đề xuất 8 tính năng theo README và bắt đầu từ F-01 (clock/UART). PID (F-07) chạm động cơ nên tôi sẽ hỏi trước khi nạp lên board thật."</t>
        </is>
      </c>
      <c r="G20" s="40" t="inlineStr">
        <is>
          <t>Làm theo đề xuất; F-07 chờ G1</t>
        </is>
      </c>
      <c r="H20" s="40" t="inlineStr">
        <is>
          <t>UC-B01, UC-D01, UC-D02, UC-E01</t>
        </is>
      </c>
    </row>
    <row r="21" ht="23.25" customHeight="1" s="29">
      <c r="A21" s="40" t="inlineStr">
        <is>
          <t>Z-08</t>
        </is>
      </c>
      <c r="B21" s="40" t="inlineStr">
        <is>
          <t>"Tạo dự án X" nhưng tên X trùng đúng một dự án đang có</t>
        </is>
      </c>
      <c r="C21" s="40" t="inlineStr">
        <is>
          <t>Dự án X tồn tại?</t>
        </is>
      </c>
      <c r="D21" s="40" t="inlineStr">
        <is>
          <t>Có, đang có mã và feature</t>
        </is>
      </c>
      <c r="E21" s="40" t="inlineStr">
        <is>
          <t>Không ghi đè (R4). Hỏi rõ.</t>
        </is>
      </c>
      <c r="F21" s="40" t="inlineStr">
        <is>
          <t>"Dự án X đã tồn tại (12 tệp, 3 tính năng). [1] Mở dự án đó (mặc định) [2] Tạo X-2 [3] Xóa và tạo lại (cần xác nhận rõ)"</t>
        </is>
      </c>
      <c r="G21" s="40" t="inlineStr">
        <is>
          <t>[1] mở; [3] chỉ khi người gõ đúng cụm 'xóa X'</t>
        </is>
      </c>
      <c r="H21" s="40" t="inlineStr">
        <is>
          <t>UC-A01, UC-A06</t>
        </is>
      </c>
    </row>
    <row r="22" ht="34.5" customHeight="1" s="29">
      <c r="A22" s="40" t="inlineStr">
        <is>
          <t>Z-09</t>
        </is>
      </c>
      <c r="B22" s="40" t="inlineStr">
        <is>
          <t>"Mô phỏng thử cái robot" (chưa có mô hình plant, chưa có tham số)</t>
        </is>
      </c>
      <c r="C22" s="40" t="inlineStr">
        <is>
          <t>Có sim/ chưa? Có mô hình plant chưa? Có tham số vật lý (khối lượng, bánh) trong hộ chiếu/README?</t>
        </is>
      </c>
      <c r="D22" s="40" t="inlineStr">
        <is>
          <t>Có sim nền tảng, chưa có plant</t>
        </is>
      </c>
      <c r="E22" s="40" t="inlineStr">
        <is>
          <t>Dựng plant với tham số MẶC ĐỊNH của mẫu tham chiếu (có nguồn), gắn nhãn 'tham số tạm', chạy ngay; đề nghị người cho số thật khi có</t>
        </is>
      </c>
      <c r="F22" s="40" t="inlineStr">
        <is>
          <t>"Tôi chạy với tham số của mẫu tham chiếu (0,8 kg, bánh 65 mm, tâm khối 60 mm). Kết quả chỉ định tính cho tới khi anh cho số thật của robot."</t>
        </is>
      </c>
      <c r="G22" s="40" t="inlineStr">
        <is>
          <t>Tham số mẫu, nhãn tạm</t>
        </is>
      </c>
      <c r="H22" s="40" t="inlineStr">
        <is>
          <t>UC-E02, UC-E03</t>
        </is>
      </c>
    </row>
    <row r="23" ht="34.5" customHeight="1" s="29">
      <c r="A23" s="40" t="inlineStr">
        <is>
          <t>Z-10</t>
        </is>
      </c>
      <c r="B23" s="40" t="inlineStr">
        <is>
          <t>"Nạp lên board" (không biết board nào nối máy)</t>
        </is>
      </c>
      <c r="C23" s="40" t="inlineStr">
        <is>
          <t>Cổng serial/probe nào đang có? Board có được đánh dấu lab? Artifact đã qua G3?</t>
        </is>
      </c>
      <c r="D23" s="40" t="inlineStr">
        <is>
          <t>Phát hiện ST-Link + STM32F411; board chưa đánh dấu lab; artifact đạt</t>
        </is>
      </c>
      <c r="E23" s="40" t="inlineStr">
        <is>
          <t>Vì board chưa đánh dấu lab ⇒ hỏi một lần và đề nghị đánh dấu để lần sau tự động</t>
        </is>
      </c>
      <c r="F23" s="40" t="inlineStr">
        <is>
          <t>"Tôi thấy ST-Link nối STM32F411. Board này có động cơ không? [1] Không — đánh dấu 'lab' và nạp tự động từ nay (mặc định) [2] Có động cơ — chỉ nạp khi anh cho phép từng lần"</t>
        </is>
      </c>
      <c r="G23" s="40" t="inlineStr">
        <is>
          <t>[1] nếu BoardPassport không có driver động cơ; ngược lại [2]</t>
        </is>
      </c>
      <c r="H23" s="40" t="inlineStr">
        <is>
          <t>UC-F01, UC-F02</t>
        </is>
      </c>
    </row>
    <row r="25" ht="15" customHeight="1" s="29">
      <c r="A25" s="38" t="inlineStr">
        <is>
          <t>MÔ TẢ Ở ĐÂU TRONG BỘ HỒ SƠ</t>
        </is>
      </c>
    </row>
    <row r="26" ht="23.25" customHeight="1" s="29">
      <c r="A26" s="41" t="inlineStr">
        <is>
          <t>Nội dung</t>
        </is>
      </c>
      <c r="B26" s="41" t="inlineStr">
        <is>
          <t>Nơi mô tả</t>
        </is>
      </c>
      <c r="C26" s="41" t="inlineStr">
        <is>
          <t>Lý do</t>
        </is>
      </c>
      <c r="D26" s="41" t="n"/>
      <c r="E26" s="41" t="n"/>
      <c r="F26" s="41" t="n"/>
      <c r="G26" s="41" t="n"/>
      <c r="H26" s="41" t="n"/>
    </row>
    <row r="27" ht="57" customHeight="1" s="29">
      <c r="A27" s="40" t="inlineStr">
        <is>
          <t>Quy tắc chung của hội thoại (D1–D8)</t>
        </is>
      </c>
      <c r="B27" s="40" t="inlineStr">
        <is>
          <t>Tài liệu riêng: EIDE-DPS-09 'Chính sách hội thoại và suy luận ý định' (mới) — là phần 'tầng hiểu lệnh' của Agent Runtime; SRS-02 thêm nhóm FR-DLG</t>
        </is>
      </c>
      <c r="C27" s="40" t="inlineStr">
        <is>
          <t>Vì áp dụng xuyên suốt mọi UC, không thuộc riêng UC nào</t>
        </is>
      </c>
      <c r="D27" s="40" t="n"/>
      <c r="E27" s="40" t="n"/>
      <c r="F27" s="40" t="n"/>
      <c r="G27" s="40" t="n"/>
      <c r="H27" s="40" t="n"/>
    </row>
    <row r="28" ht="57" customHeight="1" s="29">
      <c r="A28" s="40" t="inlineStr">
        <is>
          <t>Kiểm tra tồn tại / dùng luôn hay tạo mới</t>
        </is>
      </c>
      <c r="B28" s="40" t="inlineStr">
        <is>
          <t>Trong từng use case: cột 'Tiền điều kiện' + 'Luồng thay thế' (sheet 4) — mỗi UC tạo/sửa đều có luồng 'đã tồn tại'; và trong hợp đồng năng lực (sheet 8): mục 'grounding' của từng capability</t>
        </is>
      </c>
      <c r="C28" s="40" t="inlineStr">
        <is>
          <t>Là hành vi cụ thể của năng lực đó</t>
        </is>
      </c>
      <c r="D28" s="40" t="n"/>
      <c r="E28" s="40" t="n"/>
      <c r="F28" s="40" t="n"/>
      <c r="G28" s="40" t="n"/>
      <c r="H28" s="40" t="n"/>
    </row>
    <row r="29" ht="57" customHeight="1" s="29">
      <c r="A29" s="40" t="inlineStr">
        <is>
          <t>Kịch bản đầu vào trống (Z-01…Z-10)</t>
        </is>
      </c>
      <c r="B29" s="40" t="inlineStr">
        <is>
          <t>Sheet 9 này (kịch bản hội thoại) + BPD-06 quy trình P0 'Tiếp nhận lệnh' (mới) + STP-05 test case hội thoại (TC-DLG)</t>
        </is>
      </c>
      <c r="C29" s="40" t="inlineStr">
        <is>
          <t>Là ca kiểm thử hành vi, cần chạy lại khi đổi mô hình/prompt</t>
        </is>
      </c>
      <c r="D29" s="40" t="n"/>
      <c r="E29" s="40" t="n"/>
      <c r="F29" s="40" t="n"/>
      <c r="G29" s="40" t="n"/>
      <c r="H29" s="40" t="n"/>
    </row>
    <row r="30" ht="68.25" customHeight="1" s="29">
      <c r="A30" s="40" t="inlineStr">
        <is>
          <t>Câu hỏi mẫu, mặc định, thời gian chờ</t>
        </is>
      </c>
      <c r="B30" s="40" t="inlineStr">
        <is>
          <t>autonomy.yaml (defaults, ask_timeout) + prompts/ của vai trò Librarian/Planner (K5 thủ tục) + tùy chọn đã ghi nhớ trong .hkw/preferences.yaml</t>
        </is>
      </c>
      <c r="C30" s="40" t="inlineStr">
        <is>
          <t>Là tham số vận hành, đổi không cần sửa mã</t>
        </is>
      </c>
      <c r="D30" s="40" t="n"/>
      <c r="E30" s="40" t="n"/>
      <c r="F30" s="40" t="n"/>
      <c r="G30" s="40" t="n"/>
      <c r="H30" s="40" t="n"/>
    </row>
    <row r="31" ht="113.25" customHeight="1" s="29">
      <c r="A31" s="40" t="inlineStr">
        <is>
          <t>Mẫu tham chiếu (reference project) như 'robot cân bằng'</t>
        </is>
      </c>
      <c r="B31" s="40" t="inlineStr">
        <is>
          <t>Registry: gói kind=template (hộ chiếu + BOM + skill + kịch bản mô phỏng + firmware mẫu) — KAD-07 thêm loại tri thức K5′ 'mẫu dự án'</t>
        </is>
      </c>
      <c r="C31" s="40" t="inlineStr">
        <is>
          <t>Để 'đầu vào trống' vẫn có điểm xuất phát có nguồn</t>
        </is>
      </c>
      <c r="D31" s="40" t="n"/>
      <c r="E31" s="40" t="n"/>
      <c r="F31" s="40" t="n"/>
      <c r="G31" s="40" t="n"/>
      <c r="H31" s="4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C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style="29" min="1" max="1"/>
    <col width="40" customWidth="1" style="29" min="2" max="2"/>
    <col width="120" customWidth="1" style="29" min="3" max="3"/>
  </cols>
  <sheetData>
    <row r="1">
      <c r="A1" s="60" t="inlineStr">
        <is>
          <t>Mã UC</t>
        </is>
      </c>
      <c r="B1" s="60" t="inlineStr">
        <is>
          <t>Tên</t>
        </is>
      </c>
      <c r="C1" s="60" t="inlineStr">
        <is>
          <t>Mermaid sequenceDiagram (dán vào GEditor/DiagramView)</t>
        </is>
      </c>
    </row>
    <row r="2">
      <c r="A2" s="43" t="inlineStr">
        <is>
          <t>UC-A01</t>
        </is>
      </c>
      <c r="B2" s="43" t="inlineStr">
        <is>
          <t>Tạo dự án mới</t>
        </is>
      </c>
      <c r="C2" s="61" t="inlineStr">
        <is>
          <t xml:space="preserve">sequenceDiagram
  autonumber
  participant KyS as Kỹ sư
  participant TT as Tác tử
  participant KP as Knowledge Plane
  KyS-&gt;&gt;TT: Ra lệnh bằng ngôn ngữ tự nhiên, ví dụ, 'Tạo dự án robot cân bằng từ thư mục ~/robot-kit, c [Lệnh]
  TT-&gt;&gt;KP: Librarian suy ra tên dự án, mô tả, chip/board (nếu nêu), đường dẫn tài liệu từ câu lệnh, đ
  Note over KP: ra: tham số dự án
  KP-&gt;&gt;TT: Tạo .hkw/ với schema store, tệp mặc định, .gitignore, ghi ledger 'project.init'
  Note over TT: ra: .hkw/
  KP-&gt;&gt;TT: Nếu đã biết chip, pull hộ chiếu lõi từ registry/seed và ghim phiên bản vào constraints.yam
  Note over TT: ra: pin
  TT-&gt;&gt;KP: Nếu câu lệnh có tài liệu, tự chuyển sang UC-B01 ngay, nếu không, hỏi đúng một câu 'anh có </t>
        </is>
      </c>
    </row>
    <row r="3">
      <c r="A3" s="42" t="inlineStr">
        <is>
          <t>UC-A02</t>
        </is>
      </c>
      <c r="B3" s="42" t="inlineStr">
        <is>
          <t>Khai báo hoặc suy ra chip / ISA / board của dự án</t>
        </is>
      </c>
      <c r="C3" s="62" t="inlineStr">
        <is>
          <t>sequenceDiagram
  autonumber
  participant TT as Tác tử
  participant KP as Knowledge Plane
  TT-&gt;&gt;KP: Lấy mã chip từ câu lệnh nếu người nêu (ví dụ 'dùng STM32F411CE'), nếu không, suy ra từ tài
  Note over KP: ra: mã chip (đề xuất)
  KP-&gt;&gt;TT: Tra passport.list, nếu có lõi → ghim, nếu không → tìm registry/seed (UC-B08)
  Note over TT: ra: pin hoặc yêu cầu
  TT-&gt;&gt;KP: Nếu bỏ trống, Librarian sẽ suy ra chip từ tài liệu (SVD/schematic/ảnh) ở UC-B02 và đề xuất [G-FACT]
  Note over KP: ra: đề xuất chip
  KP-&gt;&gt;TT: Nạp ISA profile tương ứng (armv7e-m, avr8, rv32…) và toolchain manifest
  Note over TT: ra: ISA
  KP-&gt;&gt;TT: Ghi ledger, cập nhật thanh trạng thái 'Pin, …'</t>
        </is>
      </c>
    </row>
    <row r="4">
      <c r="A4" s="43" t="inlineStr">
        <is>
          <t>UC-A03</t>
        </is>
      </c>
      <c r="B4" s="43" t="inlineStr">
        <is>
          <t>Khám phá, cài đặt và khóa toolchain (eide doctor)</t>
        </is>
      </c>
      <c r="C4" s="61" t="inlineStr">
        <is>
          <t>sequenceDiagram
  autonumber
  participant TT as Tác tử
  participant KP as Knowledge Plane
  participant HW as Công cụ/Phần cứng
  KP-&gt;&gt;HW: Đọc toolchain manifest của ISA profile (tên, phiên bản tối thiểu, lệnh kiểm, cách cài theo
  Note over HW: ra: danh sách
  HW-&gt;&gt;TT: Chạy lệnh kiểm từng công cụ (which/--version), phát hiện probe USB
  Note over TT: ra: có/thiếu/phiên bản
  TT-&gt;&gt;KP: Librarian tổng hợp, bắt buộc thiếu gì, tùy chọn thiếu gì, đề xuất lệnh cài theo hệ điều hà
  Note over KP: ra: đề xuất
  TT-&gt;&gt;HW: Công cụ mở trong danh sách tin cậy, tự cài (T1), công cụ đóng/có license, hướng dẫn người  [G-OPS]
  Note over HW: ra: quyết định
  HW-&gt;&gt;KP: Cài, kiểm lại phiên bản, tính hash nhị phân
  KP-&gt;&gt;TT: Ghi tools.lock, ledger, cập nhật thanh trạng thái Toolchain
  Note over TT: ra: tools.lock</t>
        </is>
      </c>
    </row>
    <row r="5">
      <c r="A5" s="42" t="inlineStr">
        <is>
          <t>UC-A04</t>
        </is>
      </c>
      <c r="B5" s="42" t="inlineStr">
        <is>
          <t>Cấu hình mô hình ngôn ngữ và chế độ cục bộ</t>
        </is>
      </c>
      <c r="C5" s="62" t="inlineStr">
        <is>
          <t>sequenceDiagram
  autonumber
  participant TT as Tác tử
  participant KP as Knowledge Plane
  TT-&gt;&gt;KP: Áp cấu hình mặc định (Claude/Gemini theo vai trò, reviewer khác hãng, ngân sách 5 USD/ngày
  Note over KP: ra: models.yaml
  KP-&gt;&gt;TT: Kiểm quy tắc different_vendor_from(coder), kiểm khóa API theo biến môi trường, kiểm mô hìn
  Note over TT: ra: cảnh báo
  KP-&gt;&gt;TT: Chạy bộ kiểm thử hợp đồng 5 ca trên các adapter khả dụng (không tốn nhiều token)
  Note over TT: ra: báo cáo
  KP-&gt;&gt;TT: Lưu, ghi ledger, cập nhật thanh trạng thái (offline/online, chi phí)</t>
        </is>
      </c>
    </row>
    <row r="6">
      <c r="A6" s="43" t="inlineStr">
        <is>
          <t>UC-A05</t>
        </is>
      </c>
      <c r="B6" s="43" t="inlineStr">
        <is>
          <t>Nhập dự án mã nguồn có sẵn</t>
        </is>
      </c>
      <c r="C6" s="61" t="inlineStr">
        <is>
          <t>sequenceDiagram
  autonumber
  participant KyS as Kỹ sư
  participant TT as Tác tử
  participant KP as Knowledge Plane
  TT-&gt;&gt;KP: Librarian khảo sát repo, build system, thư mục, định dạng mã, README
  Note over KP: ra: CONVENTIONS.md (đề xuất)
  KP-&gt;&gt;TT: Phân tích tĩnh, tìm địa chỉ/bit hằng số, ánh xạ vào hộ chiếu nếu có → CodeUnit CITES/USES
  Note over TT: ra: đồ thị
  TT-&gt;&gt;KyS: Báo cáo, N hằng số khớp hộ chiếu, M hằng số không nguồn (đề xuất mở UC-B07)
  Note over KyS: ra: báo cáo
  KyS-&gt;&gt;KP: Xác nhận CONVENTIONS.md, quyết định có bổ sung hkw,fact vào mã cũ dần hay không</t>
        </is>
      </c>
    </row>
    <row r="7">
      <c r="A7" s="42" t="inlineStr">
        <is>
          <t>UC-A06</t>
        </is>
      </c>
      <c r="B7" s="42" t="inlineStr">
        <is>
          <t>Tiếp tục phiên làm việc</t>
        </is>
      </c>
      <c r="C7" s="62" t="inlineStr">
        <is>
          <t>sequenceDiagram
  autonumber
  participant TT as Tác tử
  participant KP as Knowledge Plane
  participant HW as Công cụ/Phần cứng
  KP-&gt;&gt;TT: Kiểm hash store (phát hiện ghi ngoài cổng), nạp đồ thị từ cache hoặc tái dựng
  KP-&gt;&gt;HW: Đọc PROGRESS.md, FEATURES.json, gate đang mở, quyền đã hết hạn
  Note over HW: ra: tóm tắt
  HW-&gt;&gt;TT: Chạy build known-good để xác nhận môi trường còn đúng
  Note over TT: ra: ToolReport
  TT-&gt;&gt;KP: Librarian tóm tắt 'lần trước dừng ở đâu, việc tiếp theo là gì'</t>
        </is>
      </c>
    </row>
    <row r="8">
      <c r="A8" s="43" t="inlineStr">
        <is>
          <t>UC-B01</t>
        </is>
      </c>
      <c r="B8" s="43" t="inlineStr">
        <is>
          <t>Nhập gói tài liệu hỗn hợp (zip có mạch, ảnh, PDF, tệp linh tinh)</t>
        </is>
      </c>
      <c r="C8" s="61" t="inlineStr">
        <is>
          <t>sequenceDiagram
  autonumber
  participant KyS as Kỹ sư
  participant TT as Tác tử
  participant KP as Knowledge Plane
  KyS-&gt;&gt;KP: Đưa tài liệu, kéo thả zip/thư mục, hoặc nêu đường dẫn trong câu lệnh ('tài liệu ở ~/robot- [Lệnh]
  KP-&gt;&gt;TT: Mở nén đệ quy trong sandbox (≤ 5 cấp, ≤ 2 GB, chống zip-slip), tính sha256 từng tệp
  Note over TT: ra: danh sách tệp
  KP-&gt;&gt;TT: Phân loại theo chữ ký nội dung, SVD/ATDF/EDC/header/kicad → vàng, PDF/DOCX/HTML/ảnh → bạc,
  Note over TT: ra: bảng phân loại
  TT-&gt;&gt;KP: Librarian tóm tắt, tệp nào sinh hộ chiếu ngay, tệp nào cần trích xuất + duyệt, tệp nào chỉ
  Note over KP: ra: tóm tắt + đề xuất
  KP-&gt;&gt;TT: Tệp vàng, chạy parser ngay → hộ chiếu (UC-B03/UC-B06). Tệp bạc, tạo AcquisitionRequest CON
  TT-&gt;&gt;KP: Tự trích xuất mọi tệp bạc ngay (A3), người chỉ xem bảng và có thể loại tệp sau
  KP-&gt;&gt;TT: Ghi ledger, cập nhật hàng đợi xác nhận</t>
        </is>
      </c>
    </row>
    <row r="9">
      <c r="A9" s="42" t="inlineStr">
        <is>
          <t>UC-B02</t>
        </is>
      </c>
      <c r="B9" s="42" t="inlineStr">
        <is>
          <t>Suy ra chip / linh kiện từ tài liệu và ảnh</t>
        </is>
      </c>
      <c r="C9" s="62" t="inlineStr">
        <is>
          <t>sequenceDiagram
  autonumber
  participant KyS as Kỹ sư
  participant TT as Tác tử
  participant KP as Knowledge Plane
  TT-&gt;&gt;KP: Đọc tiêu đề PDF, mã đặt hàng, chuỗi 'STM32F411', 'BME280', đọc nhãn linh kiện trên ảnh bằn
  Note over KP: ra: ứng viên linh kiện
  KP-&gt;&gt;TT: Đối chiếu với hộ chiếu có sẵn / registry
  Note over TT: ra: có/chưa có
  TT-&gt;&gt;KyS: Trình bảng, linh kiện, vai trò dự đoán (MCU, cảm biến, driver), nguồn suy ra, tin cậy
  Note over KyS: ra: bảng
  KyS-&gt;&gt;KP: Xác nhận/sửa từng dòng (ví dụ, 'U3 là MPU6050 chứ không phải MPU9250') [G-FACT]
  KP-&gt;&gt;TT: Tạo AcquisitionRequest cho hộ chiếu còn thiếu (UC-B07)</t>
        </is>
      </c>
    </row>
    <row r="10">
      <c r="A10" s="43" t="inlineStr">
        <is>
          <t>UC-B03</t>
        </is>
      </c>
      <c r="B10" s="43" t="inlineStr">
        <is>
          <t>Nhập nguồn cấu trúc chính hãng (SVD / ATDF / EDC / header)</t>
        </is>
      </c>
      <c r="C10" s="61" t="inlineStr">
        <is>
          <t>sequenceDiagram
  autonumber
  participant KyS as Kỹ sư
  participant TT as Tác tử
  participant KP as Knowledge Plane
  KP-&gt;&gt;TT: Sniff nội dung, chọn parser (SVD, derivedFrom, dim, cluster, enum, ATDF, module/instance/b
  Note over TT: ra: facts[]
  KP-&gt;&gt;TT: Ghi qua cổng ghi duy nhất, hợp nhất theo tier, predicate nhiều giá trị (irq, enum) không g
  Note over TT: ra: WriteResult
  KP-&gt;&gt;TT: Nếu tệp từ thư mục *-Community hoặc không rõ nguồn hãng → tầng bạc
  TT-&gt;&gt;KyS: Librarian báo, số ngoại vi/thanh ghi/bit-field, cảnh báo parser, mâu thuẫn với nguồn khác
  Note over KyS: ra: báo cáo
  KyS-&gt;&gt;KP: Nếu có mâu thuẫn hoặc phiên bản mới, quyết định ghim phiên bản (UC-B13)</t>
        </is>
      </c>
    </row>
    <row r="11">
      <c r="A11" s="42" t="inlineStr">
        <is>
          <t>UC-B04</t>
        </is>
      </c>
      <c r="B11" s="42" t="inlineStr">
        <is>
          <t>Trích xuất tri thức từ PDF (datasheet, reference manual, errata)</t>
        </is>
      </c>
      <c r="C11" s="62" t="inlineStr">
        <is>
          <t>sequenceDiagram
  autonumber
  participant KyS as Kỹ sư
  participant TT as Tác tử
  participant KP as Knowledge Plane
  KP-&gt;&gt;TT: Docling/pdfplumber, bố cục, bảng, tiêu đề, nhận diện chương 'Register map', 'Electrical ch
  Note over TT: ra: bảng + bbox
  TT-&gt;&gt;KP: Librarian dùng mô hình có schema chuyển từng bảng thành fact {subject, predicate, value, u
  Note over KP: ra: facts
  KP-&gt;&gt;TT: Hợp nhất trùng lặp, phát hiện mâu thuẫn với nguồn khác, xếp nhóm (thanh ghi, chân, điện, e
  Note over TT: ra: nhóm
  KP-&gt;&gt;KyS: Cắt ảnh vùng bảng làm bằng chứng, đưa vào hàng đợi G-FACT
  Note over KyS: ra: ảnh cắt
  KyS-&gt;&gt;KP: Duyệt theo nhóm (UC-B10) [G-FACT]</t>
        </is>
      </c>
    </row>
    <row r="12">
      <c r="A12" s="43" t="inlineStr">
        <is>
          <t>UC-B05</t>
        </is>
      </c>
      <c r="B12" s="43" t="inlineStr">
        <is>
          <t>Trích xuất từ ảnh (schematic chụp, ảnh board, ảnh màn hình đo)</t>
        </is>
      </c>
      <c r="C12" s="61" t="inlineStr">
        <is>
          <t>sequenceDiagram
  autonumber
  participant KyS as Kỹ sư
  participant TT as Tác tử
  participant KP as Knowledge Plane
  TT-&gt;&gt;KP: Gửi ảnh + schema 'nets[], parts[]' cho mô hình thị giác, nhận bảng đề xuất
  Note over KP: ra: bảng
  KP-&gt;&gt;TT: Đối chiếu với BoardPassport (nếu có) và hộ chiếu chip (tên chân hợp lệ?)
  Note over TT: ra: cảnh báo
  TT-&gt;&gt;KyS: Trình bảng với ảnh cắt từng vùng, đánh dấu dòng tin cậy thấp
  KyS-&gt;&gt;KP: Sửa/duyệt [G-FACT]</t>
        </is>
      </c>
    </row>
    <row r="13">
      <c r="A13" s="42" t="inlineStr">
        <is>
          <t>UC-B06</t>
        </is>
      </c>
      <c r="B13" s="42" t="inlineStr">
        <is>
          <t>Nhập schematic KiCad và dựng hộ chiếu mạch</t>
        </is>
      </c>
      <c r="C13" s="62" t="inlineStr">
        <is>
          <t>sequenceDiagram
  autonumber
  participant KyS as Kỹ sư
  participant TT as Tác tử
  participant KP as Knowledge Plane
  participant HW as Công cụ/Phần cứng
  HW-&gt;&gt;KP: kicad-cli sch export netlist
  Note over KP: ra: netlist XML
  KP-&gt;&gt;TT: Ánh xạ ref → MPN → hộ chiếu (U1 = st.stm32f411, U2 = bosch.bme280), pin → tên chân MCU
  Note over TT: ra: nets/pins/parts
  TT-&gt;&gt;KP: Cartographer suy ra bus và địa chỉ (SDO→GND ⇒ 0x76), pull-up, chân reserved/boot, chức năn
  Note over KP: ra: facts K3
  KP-&gt;&gt;KyS: kg.conflicts, chân hai chức năng, reserved bị dùng, trùng địa chỉ bus
  Note over KyS: ra: cảnh báo
  KyS-&gt;&gt;KP: Duyệt BoardPassport, chọn cách giải quyết xung đột [G-FACT]</t>
        </is>
      </c>
    </row>
    <row r="14">
      <c r="A14" s="43" t="inlineStr">
        <is>
          <t>UC-B07</t>
        </is>
      </c>
      <c r="B14" s="43" t="inlineStr">
        <is>
          <t>Phát hiện thiếu tri thức và tạo yêu cầu nhận tri thức</t>
        </is>
      </c>
      <c r="C14" s="61" t="inlineStr">
        <is>
          <t>sequenceDiagram
  autonumber
  participant KyS as Kỹ sư
  participant TT as Tác tử
  participant KP as Knowledge Plane
  TT-&gt;&gt;KP: Tác tử mô tả cần gì và vì sao (ví dụ 'công thức bù nhiệt BME280 tr.25 để viết bước 5')
  Note over KP: ra: need
  KP-&gt;&gt;TT: Tạo yêu cầu, liên kết với Feature/STEP đang làm
  Note over TT: ra: request
  TT-&gt;&gt;KyS: Thông báo trong chat và hàng đợi, đề nghị tìm (UC-B08) hoặc người cung cấp tệp
  KyS-&gt;&gt;KP: Chọn, tìm tự động / tôi có tệp / bỏ qua (ghi lý do)</t>
        </is>
      </c>
    </row>
    <row r="15">
      <c r="A15" s="42" t="inlineStr">
        <is>
          <t>UC-B08</t>
        </is>
      </c>
      <c r="B15" s="42" t="inlineStr">
        <is>
          <t>Tìm nguồn tri thức (registry → kho hãng → docs MCP → web)</t>
        </is>
      </c>
      <c r="C15" s="62" t="inlineStr">
        <is>
          <t>sequenceDiagram
  autonumber
  participant TT as Tác tử
  participant KP as Knowledge Plane
  TT-&gt;&gt;KP: Tìm registry nội bộ theo part/MPN
  Note over KP: ra: ứng viên
  TT-&gt;&gt;KP: Tìm kho hãng theo mẫu URL đã biết (CMSIS pack, Microchip pack, Bosch, ST) và docs MCP (Esp
  Note over KP: ra: ứng viên
  TT-&gt;&gt;KP: Tìm web (chỉ khi cho phép), ưu tiên tên miền hãng, lấy kích thước, ngày, license nếu đọc đ
  Note over KP: ra: ứng viên
  KP-&gt;&gt;TT: Xếp hạng theo tầng dự kiến (vàng &gt; bạc &gt; đồng) và tên miền, loại trùng
  Note over TT: ra: danh sách
  TT-&gt;&gt;KP: Trình bày cho người kèm lý do chọn từng ứng viên (UC-B09)</t>
        </is>
      </c>
    </row>
    <row r="16">
      <c r="A16" s="43" t="inlineStr">
        <is>
          <t>UC-B09</t>
        </is>
      </c>
      <c r="B16" s="43" t="inlineStr">
        <is>
          <t>Xác nhận nguồn (G-SRC): xem thông tin, chọn, tải</t>
        </is>
      </c>
      <c r="C16" s="61" t="inlineStr">
        <is>
          <t>sequenceDiagram
  autonumber
  participant KyS as Kỹ sư
  participant TT as Tác tử
  participant KP as Knowledge Plane
  KyS-&gt;&gt;KP: Mở mục G-SRC, xem từng ứng viên, nguồn, tên miền, ngày, kích thước, license, tầng dự kiến,
  KyS-&gt;&gt;KP: Chọn một hoặc nhiều, loại, hoặc 'tôi tự đưa tệp' [G-SRC]
  Note over KP: ra: quyết định
  KP-&gt;&gt;TT: Tải (trong sandbox, giới hạn dung lượng), tính sha256, kiểm khớp hash nếu ứng viên có hash
  Note over TT: ra: tệp
  KP-&gt;&gt;TT: Tạo Source {uri, sha256, kind, tier, license}, yêu cầu → CONFIRMED, xếp hàng trích xuất
  TT-&gt;&gt;KyS: Librarian tóm tắt nội dung nguồn đã tải (mục lục, số trang, có bảng thanh ghi?) để người b
  Note over KyS: ra: tóm tắt
  KyS-&gt;&gt;KP: Xác nhận 'đúng tài liệu' → trích xuất, hoặc 'sai' → REJECTED và tìm lại</t>
        </is>
      </c>
    </row>
    <row r="17">
      <c r="A17" s="42" t="inlineStr">
        <is>
          <t>UC-B10</t>
        </is>
      </c>
      <c r="B17" s="42" t="inlineStr">
        <is>
          <t>Duyệt fact (G-FACT) theo nhóm với ảnh cắt</t>
        </is>
      </c>
      <c r="C17" s="62" t="inlineStr">
        <is>
          <t>sequenceDiagram
  autonumber
  participant KyS as Kỹ sư
  participant TT as Tác tử
  participant KP as Knowledge Plane
  KyS-&gt;&gt;KP: Mở nhóm (thanh ghi / chân / điện / errata), xem bảng fact + ảnh cắt trang tương ứng
  KyS-&gt;&gt;KP: Chấp nhận cả nhóm, hoặc bỏ chọn/sửa từng fact (sửa = fact mới supersedes) [G-FACT]
  KP-&gt;&gt;TT: Ghi status reviewed, confirmed_by, cập nhật đồ thị, chạy kg.impact cho fact bị thay
  KP-&gt;&gt;TT: Fact bị loại → REJECTED kèm ghi chú, extractor có thể chạy lại với gợi ý
  TT-&gt;&gt;KP: Librarian báo tổng kết và bước tiếp (kiểm định trên board UC-B12 nếu có board)</t>
        </is>
      </c>
    </row>
    <row r="18">
      <c r="A18" s="43" t="inlineStr">
        <is>
          <t>UC-B11</t>
        </is>
      </c>
      <c r="B18" s="43" t="inlineStr">
        <is>
          <t>Giải quyết mâu thuẫn giữa các nguồn</t>
        </is>
      </c>
      <c r="C18" s="61" t="inlineStr">
        <is>
          <t>sequenceDiagram
  autonumber
  participant KyS as Kỹ sư
  participant TT as Tác tử
  participant KP as Knowledge Plane
  KP-&gt;&gt;TT: Liệt kê cặp mâu thuẫn, giá trị, nguồn, tier, ngày, ảnh cắt
  TT-&gt;&gt;KyS: Librarian phân tích, khác phiên bản tài liệu? lỗi trích xuất? khác biến thể chip?
  Note over KyS: ra: nhận định
  KyS-&gt;&gt;KP: Chọn, giữ A / giữ B / cả hai theo điều kiện (ví dụ theo revision) / kiểm định trên board [G-FACT]
  KP-&gt;&gt;TT: Áp dụng, supersedes hoặc thêm điều kiện, đóng conflict, kg.impact</t>
        </is>
      </c>
    </row>
    <row r="19">
      <c r="A19" s="42" t="inlineStr">
        <is>
          <t>UC-B12</t>
        </is>
      </c>
      <c r="B19" s="42" t="inlineStr">
        <is>
          <t>Kiểm định hộ chiếu trên board thật</t>
        </is>
      </c>
      <c r="C19" s="62" t="inlineStr">
        <is>
          <t>sequenceDiagram
  autonumber
  participant KyS as Kỹ sư
  participant TT as Tác tử
  participant KP as Knowledge Plane
  participant HW as Công cụ/Phần cứng
  TT-&gt;&gt;HW: Tester sinh firmware kiểm định từ hộ chiếu, đọc ID chip (DBGMCU_IDCODE / signature), toggl
  Note over HW: ra: firmware
  HW-&gt;&gt;KyS: Build (4 cổng)
  Note over KyS: ra: ToolReport
  KyS-&gt;&gt;HW: Cấp quyền nạp [G-OPS]
  HW-&gt;&gt;KP: Nạp, đọc serial/RTT, probe đọc thanh ghi ID nếu có
  Note over KP: ra: log
  KP-&gt;&gt;KyS: So sánh với hộ chiếu, gắn badge, fact khớp → verified, fact sai → conflict + DebugSession
  Note over KyS: ra: badge
  KyS-&gt;&gt;KP: Xác nhận quan sát (LED nháy) nếu kịch bản có [G4]</t>
        </is>
      </c>
    </row>
    <row r="20">
      <c r="A20" s="43" t="inlineStr">
        <is>
          <t>UC-B13</t>
        </is>
      </c>
      <c r="B20" s="43" t="inlineStr">
        <is>
          <t>Cập nhật phiên bản tri thức (SVD/datasheet mới) và phân tích ảnh hưởng</t>
        </is>
      </c>
      <c r="C20" s="61" t="inlineStr">
        <is>
          <t xml:space="preserve">sequenceDiagram
  autonumber
  participant KyS as Kỹ sư
  participant TT as Tác tử
  participant KP as Knowledge Plane
  KP-&gt;&gt;TT: Nhập phiên bản mới thành hộ chiếu riêng (không đụng bản ghim)
  KP-&gt;&gt;TT: Diff, fact thêm/bớt/đổi, kg.impact cho fact đổi → CodeUnit stale, Feature cần tái kiểm
  Note over TT: ra: báo cáo
  TT-&gt;&gt;KyS: Librarian tóm tắt rủi ro, 'CR1.SWRST đổi mô tả, 2 module trích dẫn'
  KyS-&gt;&gt;KP: Quyết định nâng ghim hay giữ [G1]
  KP-&gt;&gt;TT: Nếu nâng, cập nhật constraints.yaml pins, đưa Feature bị ảnh hưởng về failing để chạy lại </t>
        </is>
      </c>
    </row>
    <row r="21">
      <c r="A21" s="42" t="inlineStr">
        <is>
          <t>UC-B14</t>
        </is>
      </c>
      <c r="B21" s="42" t="inlineStr">
        <is>
          <t>Hỏi đáp tra cứu hộ chiếu (ngôn ngữ tự nhiên có trích dẫn)</t>
        </is>
      </c>
      <c r="C21" s="62" t="inlineStr">
        <is>
          <t>sequenceDiagram
  autonumber
  participant TT as Tác tử
  participant KP as Knowledge Plane
  TT-&gt;&gt;KP: Hiểu câu hỏi → subject/predicate dự kiến (ví dụ 'tốc độ I2C1' → I2C1/CCR)
  Note over KP: ra: truy vấn
  KP-&gt;&gt;TT: passport.query + kg.neighborhood, Graph-RAG lấy fact liên quan
  Note over TT: ra: facts
  TT-&gt;&gt;KP: Soạn câu trả lời ngắn có trích dẫn [fact id · nguồn · trang], nêu tầng và trạng thái (chưa
  KP-&gt;&gt;TT: Ghi ledger, nếu người bấm 'đúng/sai' → phản hồi vào K7</t>
        </is>
      </c>
    </row>
    <row r="22">
      <c r="A22" s="43" t="inlineStr">
        <is>
          <t>UC-C01</t>
        </is>
      </c>
      <c r="B22" s="43" t="inlineStr">
        <is>
          <t>Kiểm xung đột tài nguyên trước khi sinh mã</t>
        </is>
      </c>
      <c r="C22" s="61" t="inlineStr">
        <is>
          <t>sequenceDiagram
  autonumber
  participant KyS as Kỹ sư
  participant TT as Tác tử
  participant KP as Knowledge Plane
  KP-&gt;&gt;TT: Tập tài nguyên kế hoạch sẽ dùng ∩ tập đã USES, chân reserved/boot
  Note over TT: ra: xung đột
  TT-&gt;&gt;KyS: Cartographer đề xuất phương án (remap AF, đổi chân, đổi ngoại vi)
  KyS-&gt;&gt;KP: Chọn phương án hoặc 'bỏ qua có lý do' [G1]
  KP-&gt;&gt;TT: Ghi quyết định vào K6 (constraints) và ledger</t>
        </is>
      </c>
    </row>
    <row r="23">
      <c r="A23" s="42" t="inlineStr">
        <is>
          <t>UC-D01</t>
        </is>
      </c>
      <c r="B23" s="42" t="inlineStr">
        <is>
          <t>Mô tả tính năng và tạo STEP</t>
        </is>
      </c>
      <c r="C23" s="62" t="inlineStr">
        <is>
          <t>sequenceDiagram
  autonumber
  participant KyS as Kỹ sư
  participant TT as Tác tử
  participant KP as Knowledge Plane
  KyS-&gt;&gt;TT: Ra lệnh, 'viết firmware đọc nhiệt độ BME280 qua I2C1, phát UART2 mỗi 500 ms, không float t [Lệnh]
  TT-&gt;&gt;KP: Planner chuẩn hóa thành Feature (tiêu đề, kỳ vọng quan sát được, ràng buộc) và hỏi lại điể
  Note over KP: ra: Feature
  KP-&gt;&gt;TT: Ghi FEATURES.json (failing) và STEP.md</t>
        </is>
      </c>
    </row>
    <row r="24">
      <c r="A24" s="43" t="inlineStr">
        <is>
          <t>UC-D02</t>
        </is>
      </c>
      <c r="B24" s="43" t="inlineStr">
        <is>
          <t>Lập kế hoạch có trích dẫn và duyệt G1</t>
        </is>
      </c>
      <c r="C24" s="61" t="inlineStr">
        <is>
          <t>sequenceDiagram
  autonumber
  participant KyS as Kỹ sư
  participant TT as Tác tử
  participant KP as Knowledge Plane
  KP-&gt;&gt;TT: Composer, ràng buộc + skill (≤3) + fact Graph-RAG 2 bước + STEP
  Note over TT: ra: ngữ cảnh ≤ 8k
  TT-&gt;&gt;KP: Planner sinh Plan{steps[], citations[], missing[]}
  Note over KP: ra: Plan
  KP-&gt;&gt;TT: Validator, schema + fact id tồn tại + UC-C01 xung đột
  Note over TT: ra: verdict
  TT-&gt;&gt;KyS: Nếu missing → UC-B07, nếu ok → trình G1 với trích dẫn và cảnh báo
  KyS-&gt;&gt;KP: Duyệt/sửa thứ tự/ràng buộc [G1]
  KP-&gt;&gt;TT: Tách Feature con, ledger</t>
        </is>
      </c>
    </row>
    <row r="25">
      <c r="A25" s="42" t="inlineStr">
        <is>
          <t>UC-D03</t>
        </is>
      </c>
      <c r="B25" s="42" t="inlineStr">
        <is>
          <t>Sinh mã với hằng số có nguồn (constant-guard)</t>
        </is>
      </c>
      <c r="C25" s="62" t="inlineStr">
        <is>
          <t>sequenceDiagram
  autonumber
  participant TT as Tác tử
  participant KP as Knowledge Plane
  participant HW as Công cụ/Phần cứng
  TT-&gt;&gt;KP: Coder sinh mã theo skill + fact, chú thích /* hkw,fact f_… */ cạnh mỗi hằng số
  Note over KP: ra: CodePatch
  KP-&gt;&gt;HW: Hook pre_write, constant-guard quét hằng số, quy ước repo, thư mục cho phép
  Note over HW: ra: chấp nhận/chặn
  HW-&gt;&gt;TT: build → size → static → host-test
  Note over TT: ra: ToolReport ×4
  TT-&gt;&gt;KP: Nếu lỗi, sửa theo ToolReport (≤ 3 vòng)
  KP-&gt;&gt;TT: Đăng ký CodeUnit với cites/uses, ledger</t>
        </is>
      </c>
    </row>
    <row r="26">
      <c r="A26" s="43" t="inlineStr">
        <is>
          <t>UC-D04</t>
        </is>
      </c>
      <c r="B26" s="43" t="inlineStr">
        <is>
          <t>Review khác hãng và duyệt merge (G3)</t>
        </is>
      </c>
      <c r="C26" s="61" t="inlineStr">
        <is>
          <t xml:space="preserve">sequenceDiagram
  autonumber
  participant KyS as Kỹ sư
  participant TT as Tác tử
  participant KP as Knowledge Plane
  TT-&gt;&gt;KP: Reviewer chấm theo checklist Pack (ISR, volatile, timeout, kích thước), không sửa mã
  Note over KP: ra: Review
  KP-&gt;&gt;KyS: Trình G3, diff, rationale, citations, 4 ToolReport, Review
  KyS-&gt;&gt;KP: Duyệt &amp; merge / từ chối kèm lý do [G3]
  KP-&gt;&gt;TT: Merge, commit, cập nhật đồ thị, hoặc ghi sổ lỗi và đưa lý do vào prompt phủ định cho vòng </t>
        </is>
      </c>
    </row>
    <row r="27">
      <c r="A27" s="42" t="inlineStr">
        <is>
          <t>UC-D05</t>
        </is>
      </c>
      <c r="B27" s="42" t="inlineStr">
        <is>
          <t>Kỹ sư sửa mã tay và đối chiếu hộ chiếu</t>
        </is>
      </c>
      <c r="C27" s="62" t="inlineStr">
        <is>
          <t>sequenceDiagram
  autonumber
  participant KyS as Kỹ sư
  participant TT as Tác tử
  participant KP as Knowledge Plane
  KP-&gt;&gt;TT: Khi lưu, quét hằng số, hover địa chỉ → giải nghĩa theo hộ chiếu
  TT-&gt;&gt;KyS: Gợi ý fact id cho hằng số (một cú bấm để chèn chú thích)
  KyS-&gt;&gt;KP: Chấp nhận/bỏ qua</t>
        </is>
      </c>
    </row>
    <row r="28">
      <c r="A28" s="43" t="inlineStr">
        <is>
          <t>UC-D06</t>
        </is>
      </c>
      <c r="B28" s="43" t="inlineStr">
        <is>
          <t>Hoàn tác về phiên bản known-good</t>
        </is>
      </c>
      <c r="C28" s="61" t="inlineStr">
        <is>
          <t>sequenceDiagram
  autonumber
  participant KyS as Kỹ sư
  participant KP as Knowledge Plane
  participant HW as Công cụ/Phần cứng
  KyS-&gt;&gt;KP: Chọn known-good (danh sách có ngày, Feature passing)
  KP-&gt;&gt;HW: Checkout tag, đặt Feature sau tag về failing
  HW-&gt;&gt;KP: Build để xác nhận
  Note over KP: ra: ToolReport</t>
        </is>
      </c>
    </row>
    <row r="29">
      <c r="A29" s="42" t="inlineStr">
        <is>
          <t>UC-E01</t>
        </is>
      </c>
      <c r="B29" s="42" t="inlineStr">
        <is>
          <t>Tác tử dựng môi trường mô phỏng cho chip/mạch (SIL)</t>
        </is>
      </c>
      <c r="C29" s="62" t="inlineStr">
        <is>
          <t>sequenceDiagram
  autonumber
  participant TT as Tác tử
  participant KP as Knowledge Plane
  participant HW as Công cụ/Phần cứng
  TT-&gt;&gt;KP: Tester đọc hộ chiếu, CPU, bộ nhớ, ngoại vi có địa chỉ, chọn nền, Renode (Cortex-M/RISC-V),
  Note over KP: ra: lựa chọn
  TT-&gt;&gt;KP: Sinh mô tả nền tảng (.repl) từ fact, bộ nhớ, ngoại vi chuẩn (UART, GPIO, I2C, TIM) với địa
  Note over KP: ra: .repl
  TT-&gt;&gt;HW: Từ BoardPassport, nối ngoại vi ngoài bằng mock (BME280 mock trả id 0x60, dữ liệu theo công
  Note over HW: ra: mock
  HW-&gt;&gt;TT: Chạy firmware 'hello' (UART in chuỗi + LED) trên mô phỏng
  Note over TT: ra: ToolReport
  TT-&gt;&gt;KP: Nếu thiếu mô hình ngoại vi quan trọng, đề xuất viết mock đơn giản (hành vi theo datasheet) [G-FACT]
  KP-&gt;&gt;TT: Lưu sim/ vào dự án, ghi K5 'mô hình mô phỏng dự án' với nguồn là fact đã dùng</t>
        </is>
      </c>
    </row>
    <row r="30">
      <c r="A30" s="43" t="inlineStr">
        <is>
          <t>UC-E02</t>
        </is>
      </c>
      <c r="B30" s="43" t="inlineStr">
        <is>
          <t>Mô hình hóa đối tượng điều khiển (plant) và cảm biến</t>
        </is>
      </c>
      <c r="C30" s="61" t="inlineStr">
        <is>
          <t>sequenceDiagram
  autonumber
  participant KyS as Kỹ sư
  participant TT as Tác tử
  participant KP as Knowledge Plane
  TT-&gt;&gt;KyS: Đề xuất mô hình (phương trình, tham số, khối lượng, chiều dài, hệ số ma sát) với nguồn (ng
  KyS-&gt;&gt;TT: Cung cấp/duyệt tham số [G-FACT]
  TT-&gt;&gt;KP: Kiểm mô hình bằng nghiệm giải tích/trường hợp đơn giản
  KP-&gt;&gt;TT: Lưu, gắn với kịch bản</t>
        </is>
      </c>
    </row>
    <row r="31">
      <c r="A31" s="42" t="inlineStr">
        <is>
          <t>UC-E03</t>
        </is>
      </c>
      <c r="B31" s="42" t="inlineStr">
        <is>
          <t>Sinh và chạy kịch bản kiểm thử SIL</t>
        </is>
      </c>
      <c r="C31" s="62" t="inlineStr">
        <is>
          <t>sequenceDiagram
  autonumber
  participant TT as Tác tử
  participant KP as Knowledge Plane
  participant HW as Công cụ/Phần cứng
  TT-&gt;&gt;HW: Từ kỳ vọng của Feature sinh bench/*.yaml (init, inject, expect)
  Note over HW: ra: kịch bản
  HW-&gt;&gt;KP: Chạy trên mô phỏng, bắt UART/GPIO/biến
  Note over KP: ra: log
  KP-&gt;&gt;TT: So với expect → ToolReport, lưu số đo
  TT-&gt;&gt;KP: Nếu lệch, đề xuất nguyên nhân (mã / mô hình / fact)</t>
        </is>
      </c>
    </row>
    <row r="32">
      <c r="A32" s="43" t="inlineStr">
        <is>
          <t>UC-E04</t>
        </is>
      </c>
      <c r="B32" s="43" t="inlineStr">
        <is>
          <t>So sánh SIL với HIL và cập nhật mô hình</t>
        </is>
      </c>
      <c r="C32" s="61" t="inlineStr">
        <is>
          <t>sequenceDiagram
  autonumber
  participant KyS as Kỹ sư
  participant TT as Tác tử
  participant KP as Knowledge Plane
  KP-&gt;&gt;TT: Ghép kết quả theo chỉ số (ổn định, latency, góc dư)
  Note over TT: ra: bảng
  TT-&gt;&gt;KyS: Giải thích lệch, đề xuất tham số mới (ví dụ ma sát)
  KyS-&gt;&gt;KP: Duyệt cập nhật mô hình [G-FACT]</t>
        </is>
      </c>
    </row>
    <row r="33">
      <c r="A33" s="42" t="inlineStr">
        <is>
          <t>UC-F01</t>
        </is>
      </c>
      <c r="B33" s="42" t="inlineStr">
        <is>
          <t>Cấp quyền thao tác nguy hiểm (G-OPS)</t>
        </is>
      </c>
      <c r="C33" s="62" t="inlineStr">
        <is>
          <t>sequenceDiagram
  autonumber
  participant KyS as Kỹ sư
  participant KP as Knowledge Plane
  KP-&gt;&gt;KyS: Tool nguy hiểm trả needs_permission và mở mục G-OPS, thao tác cụ thể, target, artifact has
  KyS-&gt;&gt;KP: Cấp quyền cho lần này / cho phiên / từ chối [G-OPS]
  KP-&gt;&gt;TT: Ghi Permission (expires_at), thực thi, ledger</t>
        </is>
      </c>
    </row>
    <row r="34">
      <c r="A34" s="43" t="inlineStr">
        <is>
          <t>UC-F02</t>
        </is>
      </c>
      <c r="B34" s="43" t="inlineStr">
        <is>
          <t>Nạp firmware và xác minh</t>
        </is>
      </c>
      <c r="C34" s="61" t="inlineStr">
        <is>
          <t>sequenceDiagram
  autonumber
  participant KP as Knowledge Plane
  participant HW as Công cụ/Phần cứng
  HW-&gt;&gt;KP: Adapter theo ISA (probe-rs / avrdude / idf.py / west), verify sau nạp
  Note over KP: ra: ToolReport
  KP-&gt;&gt;TT: Mở serial, ghi log JSONL</t>
        </is>
      </c>
    </row>
    <row r="35">
      <c r="A35" s="42" t="inlineStr">
        <is>
          <t>UC-F03</t>
        </is>
      </c>
      <c r="B35" s="42" t="inlineStr">
        <is>
          <t>Quan sát serial, xác nhận vật lý (G4) và gắn bằng chứng</t>
        </is>
      </c>
      <c r="C35" s="62" t="inlineStr">
        <is>
          <t>sequenceDiagram
  autonumber
  participant KyS as Kỹ sư
  participant TT as Tác tử
  participant KP as Knowledge Plane
  participant HW as Công cụ/Phần cứng
  HW-&gt;&gt;TT: serial.expect theo kịch bản, ghi log
  TT-&gt;&gt;KyS: Tester so kết quả với kỳ vọng, trình bày cho người
  KyS-&gt;&gt;KP: Xác nhận quan sát (LED, chuyển động, số đo) hoặc từ chối [G4]
  KP-&gt;&gt;TT: passing + evidence, tag known-good</t>
        </is>
      </c>
    </row>
    <row r="36">
      <c r="A36" s="43" t="inlineStr">
        <is>
          <t>UC-F04</t>
        </is>
      </c>
      <c r="B36" s="43" t="inlineStr">
        <is>
          <t>Hỏi tác tử tại dòng log (log gigabyte)</t>
        </is>
      </c>
      <c r="C36" s="61" t="inlineStr">
        <is>
          <t>sequenceDiagram
  autonumber
  participant KyS as Kỹ sư
  participant TT as Tác tử
  participant KP as Knowledge Plane
  KP-&gt;&gt;TT: GEditor tính thống kê toàn tệp (mẫu lặp, khoảng thời gian)
  Note over TT: ra: stats
  KP-&gt;&gt;TT: Lấy ngữ cảnh, fact thanh ghi liên quan, CodeUnit USES, DebugSession trước
  TT-&gt;&gt;KyS: Debugger, giả thuyết xếp hạng + thí nghiệm phân biệt
  Note over KyS: ra: Diagnosis
  KyS-&gt;&gt;KP: Chọn thí nghiệm / lưu DebugSession</t>
        </is>
      </c>
    </row>
    <row r="37">
      <c r="A37" s="42" t="inlineStr">
        <is>
          <t>UC-F05</t>
        </is>
      </c>
      <c r="B37" s="42" t="inlineStr">
        <is>
          <t>Gỡ lỗi mức probe và gói chứng cứ</t>
        </is>
      </c>
      <c r="C37" s="62" t="inlineStr">
        <is>
          <t>sequenceDiagram
  autonumber
  participant TT as Tác tử
  participant KP as Knowledge Plane
  participant HW as Công cụ/Phần cứng
  HW-&gt;&gt;KP: connect/halt/read_memory/diagnose_fault/unwind (probe-rs/OpenOCD)
  Note over KP: ra: EvidencePack
  KP-&gt;&gt;TT: Giải nghĩa thanh ghi theo hộ chiếu (SR1.AF=1)
  TT-&gt;&gt;KP: Cập nhật giả thuyết, đề xuất sửa → STEP mới (UC-D01)
  KP-&gt;&gt;TT: Lưu DebugSession gắn fact/mã/log</t>
        </is>
      </c>
    </row>
    <row r="38">
      <c r="A38" s="43" t="inlineStr">
        <is>
          <t>UC-F06</t>
        </is>
      </c>
      <c r="B38" s="43" t="inlineStr">
        <is>
          <t>Đo tín hiệu và năng lượng làm bằng chứng</t>
        </is>
      </c>
      <c r="C38" s="61" t="inlineStr">
        <is>
          <t>sequenceDiagram
  autonumber
  participant TT as Tác tử
  participant KP as Knowledge Plane
  participant HW as Công cụ/Phần cứng
  HW-&gt;&gt;KP: sigrok-cli decode I2C/SPI, đo dòng theo mốc GPIO
  Note over KP: ra: dataset
  KP-&gt;&gt;TT: Đồng bộ thời gian với log, lưu Measurement
  TT-&gt;&gt;KP: Đối chiếu giao dịch với kỳ vọng</t>
        </is>
      </c>
    </row>
    <row r="39">
      <c r="A39" s="42" t="inlineStr">
        <is>
          <t>UC-G01</t>
        </is>
      </c>
      <c r="B39" s="42" t="inlineStr">
        <is>
          <t>Chạy benchmark Pack/skill trên board</t>
        </is>
      </c>
      <c r="C39" s="62" t="inlineStr">
        <is>
          <t>sequenceDiagram
  autonumber
  participant TT as Tác tử
  participant KP as Knowledge Plane
  TT-&gt;&gt;KP: Chạy từng tác vụ qua P2–P4 tự động (gate người thay bằng kỳ vọng quan sát tự động)
  KP-&gt;&gt;TT: Chấm CF/BF/BC, ghi token/thời gian
  Note over TT: ra: báo cáo
  TT-&gt;&gt;KP: Phân tích ca lỗi → đề xuất sửa skill (K5) chờ duyệt</t>
        </is>
      </c>
    </row>
    <row r="40">
      <c r="A40" s="43" t="inlineStr">
        <is>
          <t>UC-G02</t>
        </is>
      </c>
      <c r="B40" s="43" t="inlineStr">
        <is>
          <t>Đóng gói và phát hành hộ chiếu/skill (.hkp) — G5</t>
        </is>
      </c>
      <c r="C40" s="61" t="inlineStr">
        <is>
          <t>sequenceDiagram
  autonumber
  participant KyS as Kỹ sư
  participant KP as Knowledge Plane
  KP-&gt;&gt;KyS: Đóng gói fact + con trỏ nguồn + skills + bench + badges, kiểm license
  Note over KyS: ra: .hkp
  KyS-&gt;&gt;KP: Duyệt, ký [G5]
  KP-&gt;&gt;TT: Publish, index</t>
        </is>
      </c>
    </row>
    <row r="41">
      <c r="A41" s="42" t="inlineStr">
        <is>
          <t>UC-G03</t>
        </is>
      </c>
      <c r="B41" s="42" t="inlineStr">
        <is>
          <t>Pull gói từ registry vào dự án</t>
        </is>
      </c>
      <c r="C41" s="62" t="inlineStr">
        <is>
          <t>sequenceDiagram
  autonumber
  participant KyS as Kỹ sư
  participant KP as Knowledge Plane
  KyS-&gt;&gt;KP: Xem huy hiệu, benchmark, chữ ký, chọn phiên bản [G-SRC]
  KP-&gt;&gt;TT: Kiểm chữ ký, nạp, ghim</t>
        </is>
      </c>
    </row>
    <row r="42">
      <c r="A42" s="43" t="inlineStr">
        <is>
          <t>UC-G04</t>
        </is>
      </c>
      <c r="B42" s="43" t="inlineStr">
        <is>
          <t>Xuất báo cáo và ma trận Người–AI</t>
        </is>
      </c>
      <c r="C42" s="61" t="inlineStr">
        <is>
          <t>sequenceDiagram
  autonumber
  participant KyS as Kỹ sư
  participant KP as Knowledge Plane
  KP-&gt;&gt;TT: Tổng hợp gate, lượt gọi, ToolReport, Feature, benchmark
  KP-&gt;&gt;KyS: Sinh tài liệu có mục Nguồn
  KyS-&gt;&gt;KP: Duyệt [G5]</t>
        </is>
      </c>
    </row>
    <row r="43">
      <c r="A43" s="42" t="inlineStr">
        <is>
          <t>UC-H01</t>
        </is>
      </c>
      <c r="B43" s="42" t="inlineStr">
        <is>
          <t>Ra lệnh / hỏi trong cửa sổ trò chuyện</t>
        </is>
      </c>
      <c r="C43" s="62" t="inlineStr">
        <is>
          <t>sequenceDiagram
  autonumber
  participant KyS as Kỹ sư
  participant TT as Tác tử
  participant KP as Knowledge Plane
  KyS-&gt;&gt;TT: Một câu lệnh, có thể là lệnh lớn bao trùm nhiều UC ('từ zip này dựng tri thức, môi trường, [Lệnh]
  TT-&gt;&gt;KP: Router phân loại ý định → vai trò, lệnh lớn được tách thành chuỗi UC và chạy theo chính sá
  TT-&gt;&gt;KP: Vai trò trả lời, nếu cần hành động nguy hiểm → G-OPS, nếu thiếu tri thức → UC-B07
  KP-&gt;&gt;TT: Ledger, panel 'hành động đã làm'</t>
        </is>
      </c>
    </row>
    <row r="44">
      <c r="A44" s="43" t="inlineStr">
        <is>
          <t>UC-H02</t>
        </is>
      </c>
      <c r="B44" s="43" t="inlineStr">
        <is>
          <t>Tác tử tự đánh giá đủ thông tin trước khi làm</t>
        </is>
      </c>
      <c r="C44" s="61" t="inlineStr">
        <is>
          <t>sequenceDiagram
  autonumber
  participant TT as Tác tử
  TT-&gt;&gt;KP: Liệt kê fact cần cho tác vụ, kiểm tồn tại và trạng thái (reviewed?)
  TT-&gt;&gt;KP: Nếu thiếu/chưa duyệt → nêu rõ và dừng chờ</t>
        </is>
      </c>
    </row>
    <row r="45">
      <c r="A45" s="42" t="inlineStr">
        <is>
          <t>UC-H03</t>
        </is>
      </c>
      <c r="B45" s="42" t="inlineStr">
        <is>
          <t>Vượt ngân sách hoặc mô hình không khả dụng</t>
        </is>
      </c>
      <c r="C45" s="62" t="inlineStr">
        <is>
          <t>sequenceDiagram
  autonumber
  participant KyS as Kỹ sư
  participant KP as Knowledge Plane
  KP-&gt;&gt;TT: Thử ứng viên kế tiếp theo fallback_on
  KP-&gt;&gt;KyS: Nếu vượt ngân sách ngày → mở mục hỏi người
  KyS-&gt;&gt;KP: Tăng ngân sách / chuyển cục bộ / dừng</t>
        </is>
      </c>
    </row>
    <row r="46">
      <c r="A46" s="43" t="inlineStr">
        <is>
          <t>UC-H04</t>
        </is>
      </c>
      <c r="B46" s="43" t="inlineStr">
        <is>
          <t>Tác tử từ chối hoặc trả lời 'không biết'</t>
        </is>
      </c>
      <c r="C46" s="61" t="inlineStr">
        <is>
          <t>sequenceDiagram
  autonumber
  participant TT as Tác tử
  participant KP as Knowledge Plane
  TT-&gt;&gt;KP: Trả lời rõ 'không có trong hộ chiếu' và đề nghị tìm/nạp
  KP-&gt;&gt;TT: stop_reason refusal → fallback theo chính sách, ghi ledger</t>
        </is>
      </c>
    </row>
    <row r="47">
      <c r="A47" s="42" t="inlineStr">
        <is>
          <t>UC-I01</t>
        </is>
      </c>
      <c r="B47" s="42" t="inlineStr">
        <is>
          <t>Phân tích yêu cầu từ lệnh/tài liệu và sinh ReqSet</t>
        </is>
      </c>
      <c r="C47" s="62" t="inlineStr">
        <is>
          <t>sequenceDiagram
  autonumber
  participant KyS as Kỹ sư
  participant TT as Tác tử
  participant KP as Knowledge Plane
  KyS-&gt;&gt;TT: Ra lệnh, 'phân tích yêu cầu cho robot từ README' (hoặc tự chạy sau nhập zip) [Lệnh]
  TT-&gt;&gt;KP: req.elicit, gom câu yêu cầu từ README/tài liệu/ảnh/chat, nêu gaps
  Note over KP: ra: raw[]
  TT-&gt;&gt;KP: req.classify, FR/NFR/HW/SAFETY/RT, câu đo được, mã UR/FR
  Note over KP: ra: ReqSet
  KP-&gt;&gt;TT: req.ground_hw, so ngưỡng với fact (tần số, RAM, ADC, bus), thiếu fact → kg.request
  Note over TT: ra: FeasibilityReport
  TT-&gt;&gt;KyS: req.detect_conflict + req.prioritize, mâu thuẫn không tự giải → một câu hỏi gộp [T1*]
  Note over KyS: ra: Issue[], ReqSet'
  KyS-&gt;&gt;TT: Trả lời câu hỏi gộp (hoặc mặc định sau timeout) [D3]
  Note over TT: ra: answer
  TT-&gt;&gt;KP: req.acceptance sinh Given–When–Then, ghi bảng requirement, chat.report_back
  Note over KP: ra: AC[]</t>
        </is>
      </c>
    </row>
    <row r="48">
      <c r="A48" s="43" t="inlineStr">
        <is>
          <t>UC-I02</t>
        </is>
      </c>
      <c r="B48" s="43" t="inlineStr">
        <is>
          <t>Thiết kế kiến trúc firmware, HwMap, ngân sách, ADR</t>
        </is>
      </c>
      <c r="C48" s="61" t="inlineStr">
        <is>
          <t>sequenceDiagram
  autonumber
  participant KyS as Kỹ sư
  participant TT as Tác tử
  participant KP as Knowledge Plane
  TT-&gt;&gt;KP: arch.style_select theo NFR/RT và fact tài nguyên (quy tắc tiền kiểm + lý do) [T1*]
  Note over KP: ra: ArchDecision
  TT-&gt;&gt;KP: arch.decompose → module theo lớp, mỗi FR có module
  Note over KP: ra: ModuleGraph
  KP-&gt;&gt;TT: arch.map_hw + board.check_pins, xung đột → board.propose_fix
  Note over TT: ra: HwMap
  TT-&gt;&gt;KP: arch.memory_budget + arch.timing_budget (RMS)
  Note over KP: ra: budgets
  TT-&gt;&gt;KP: arch.interface_spec + arch.state_machine cho module có FSM
  Note over KP: ra: interfaces, FSM
  TT-&gt;&gt;KyS: arch.adr ghi quyết định có trích dẫn, arch.review theo checklist
  Note over KyS: ra: ADR, findings
  KyS-&gt;&gt;TT: Duyệt nếu đổi kiến trúc dự án đã có (G1) hoặc chọn phương án cuối khi arch.compare [G1 tự động ≥ A2]
  Note over TT: ra: approved
  TT-&gt;&gt;KP: arch.to_plan → Feature, diagram.architecture/pinmap, chat.report_back
  Note over KP: ra: FEATURES.json</t>
        </is>
      </c>
    </row>
    <row r="49">
      <c r="A49" s="42" t="inlineStr">
        <is>
          <t>UC-I03</t>
        </is>
      </c>
      <c r="B49" s="42" t="inlineStr">
        <is>
          <t>Vẽ lược đồ từ mô hình và đồng bộ với mã</t>
        </is>
      </c>
      <c r="C49" s="62" t="inlineStr">
        <is>
          <t>sequenceDiagram
  autonumber
  participant KyS as Kỹ sư
  participant TT as Tác tử
  participant KP as Knowledge Plane
  participant HW as Công cụ/Phần cứng
  KyS-&gt;&gt;TT: Ra lệnh 'vẽ sơ đồ trạng thái module motor' (hoặc tự chạy trong P7) [Lệnh]
  TT-&gt;&gt;KP: Chọn generator theo kind, sinh mã lược đồ với node_ids = định danh mô hình
  Note over KP: ra: Diagram.src
  KP-&gt;&gt;HW: diagram.lint (cú pháp, mồ côi, tên khớp mô hình)
  Note over HW: ra: issues
  HW-&gt;&gt;KyS: diagram.render trong sandbox (mmdc/plantuml/dot/d2/wavedrom) hoặc GEditor render
  Note over KyS: ra: svg
  KyS-&gt;&gt;TT: Xem/sửa mã lược đồ trong DiagramView, sửa → lint/render lại
  TT-&gt;&gt;KP: diagram.sync check ↔ mã/kiến trúc, lệch nhỏ tự cập nhật, lệch lớn hỏi [T1*]
  Note over KP: ra: diff</t>
        </is>
      </c>
    </row>
    <row r="50">
      <c r="A50" s="43" t="inlineStr">
        <is>
          <t>UC-I04</t>
        </is>
      </c>
      <c r="B50" s="43" t="inlineStr">
        <is>
          <t>Sinh tài liệu chuẩn EAA/EIDE và kiểm style</t>
        </is>
      </c>
      <c r="C50" s="61" t="inlineStr">
        <is>
          <t>sequenceDiagram
  autonumber
  participant KyS as Kỹ sư
  participant TT as Tác tử
  participant KP as Knowledge Plane
  KyS-&gt;&gt;TT: Ra lệnh 'viết SRS cho dự án' [Lệnh]
  TT-&gt;&gt;KP: doc.generate, mục lục chuẩn theo loại, mỗi mục lấy tri thức nguồn, writer viết có citation
  Note over KP: ra: sections
  TT-&gt;&gt;KP: doc.embed_diagram cho hình chuẩn (kiến trúc, chân, trạng thái)
  Note over KP: ra: figures
  KP-&gt;&gt;TT: doc.style_check, tiếng Việt, thuật ngữ, khẳng định có nguồn, định dạng
  Note over TT: ra: issues
  TT-&gt;&gt;KP: Sửa mục có issue (≤ 2 vòng), dựng docx, lưu DocArtifact, báo cáo
  Note over KP: ra: docx</t>
        </is>
      </c>
    </row>
    <row r="51">
      <c r="A51" s="42" t="inlineStr">
        <is>
          <t>UC-I05</t>
        </is>
      </c>
      <c r="B51" s="42" t="inlineStr">
        <is>
          <t>Đổi yêu cầu → tác động → cập nhật tài liệu/lược đồ</t>
        </is>
      </c>
      <c r="C51" s="62" t="inlineStr">
        <is>
          <t>sequenceDiagram
  autonumber
  participant KyS as Kỹ sư
  participant TT as Tác tử
  participant KP as Knowledge Plane
  KyS-&gt;&gt;KP: Sửa yêu cầu (hoặc fact đổi qua UC-B13) [Lệnh]
  KP-&gt;&gt;TT: req.change_impact + kg.impact → danh sách hiện vật
  Note over TT: ra: ImpactReport
  TT-&gt;&gt;KP: doc.sync/diagram.sync, mục nhỏ tự cập nhật, lớn hỏi [T1*]
  Note over KP: ra: updated[]
  KP-&gt;&gt;TT: Feature liên quan → failing, view.impact_map, báo cáo</t>
        </is>
      </c>
    </row>
    <row r="52">
      <c r="A52" s="43" t="inlineStr">
        <is>
          <t>UC-J01</t>
        </is>
      </c>
      <c r="B52" s="43" t="inlineStr">
        <is>
          <t>Xem bản đồ tri thức, nguồn gốc, độ phủ, tác động</t>
        </is>
      </c>
      <c r="C52" s="61" t="inlineStr">
        <is>
          <t>sequenceDiagram
  autonumber
  participant KyS as Kỹ sư
  participant KP as Knowledge Plane
  KyS-&gt;&gt;KP: Mở bản đồ / ra lệnh [Lệnh]
  KP-&gt;&gt;KyS: view.kg_map, dựng, tô màu tier/status/lớp, gom cụm &gt; 5.000 nút
  Note over KyS: ra: GraphView
  KyS-&gt;&gt;KP: Nhấp nút → view.kg_focus, nhấp fact → view.provenance mở PDF trang/bbox
  KP-&gt;&gt;KyS: view.coverage_map / view.impact_map theo yêu cầu
  Note over KyS: ra: heatmap|graph
  KyS-&gt;&gt;KP: Xuất Mermaid/DOT để chèn tài liệu
  Note over KP: ra: file</t>
        </is>
      </c>
    </row>
    <row r="53">
      <c r="A53" s="42" t="inlineStr">
        <is>
          <t>UC-J02</t>
        </is>
      </c>
      <c r="B53" s="42" t="inlineStr">
        <is>
          <t>Hỏi–đáp RAG có trích dẫn và trace</t>
        </is>
      </c>
      <c r="C53" s="62" t="inlineStr">
        <is>
          <t>sequenceDiagram
  autonumber
  participant KyS as Kỹ sư
  participant TT as Tác tử
  participant KP as Knowledge Plane
  KyS-&gt;&gt;KP: Hỏi 'địa chỉ I2C BME280 và điều kiện chọn?' [Lệnh]
  KP-&gt;&gt;TT: RagIndex.retrieve lai (FTS5 + vector + lan tỏa KG)
  Note over TT: ra: hits[]
  TT-&gt;&gt;KyS: writer trả lời chỉ từ chunk, mỗi câu [n], không đủ điểm → chat.decline
  Note over KyS: ra: answer
  KyS-&gt;&gt;KP: Nhấp [n] → mở nguồn, 'Vì sao' → view.rag_trace, 'So sánh nguồn' → view.rag_compare</t>
        </is>
      </c>
    </row>
    <row r="54">
      <c r="A54" s="43" t="inlineStr">
        <is>
          <t>UC-J03</t>
        </is>
      </c>
      <c r="B54" s="43" t="inlineStr">
        <is>
          <t>Dò board/probe/ID chip và tự cấu hình target</t>
        </is>
      </c>
      <c r="C54" s="61" t="inlineStr">
        <is>
          <t>sequenceDiagram
  autonumber
  participant TT as Tác tử
  participant KP as Knowledge Plane
  participant HW as Công cụ/Phần cứng
  HW-&gt;&gt;KP: event.discover.changed khi cắm/rút (hotplug)
  KP-&gt;&gt;HW: discover.ports + discover.probe (VID/PID, probe-rs list)
  Note over HW: ra: ports, probes
  HW-&gt;&gt;KP: discover.chip_id qua probe theo họ, đối chiếu hộ chiếu
  Note over KP: ra: identity
  KP-&gt;&gt;TT: discover.firmware_probe (banner) + discover.power (VDD)
  Note over TT: ra: fw, power
  KP-&gt;&gt;TT: discover.auto_setup ghi target.yaml (sao lưu cũ), board lab từ autonomy.yaml
  Note over TT: ra: target.yaml
  TT-&gt;&gt;KP: Thông báo ngắn trong chat/thanh trạng thái</t>
        </is>
      </c>
    </row>
    <row r="55">
      <c r="A55" s="42" t="inlineStr">
        <is>
          <t>UC-J04</t>
        </is>
      </c>
      <c r="B55" s="42" t="inlineStr">
        <is>
          <t>Dò tốc độ kết nối tối ưu</t>
        </is>
      </c>
      <c r="C55" s="62" t="inlineStr">
        <is>
          <t>sequenceDiagram
  autonumber
  participant TT as Tác tử
  participant KP as Knowledge Plane
  participant HW as Công cụ/Phần cứng
  TT-&gt;&gt;HW: Chọn thang nấc theo kind, limit từ fact (swd_max_khz, uart_max_baud) hoặc mặc định ISA
  Note over HW: ra: ladder, limit
  HW-&gt;&gt;TT: Thử từng nấc 1.000 khung (echo/IDCODE/ID ngoại vi), đo lỗi
  Note over TT: ra: err
  TT-&gt;&gt;KP: Chọn nấc cao nhất lỗi 0, nấc vượt limit → ASK
  Note over KP: ra: chosen
  KP-&gt;&gt;TT: Ghi target.yaml, báo cáo</t>
        </is>
      </c>
    </row>
    <row r="56">
      <c r="A56" s="43" t="inlineStr">
        <is>
          <t>UC-J05</t>
        </is>
      </c>
      <c r="B56" s="43" t="inlineStr">
        <is>
          <t>Nhận diện board từ ID + quét bus + ảnh</t>
        </is>
      </c>
      <c r="C56" s="61" t="inlineStr">
        <is>
          <t>sequenceDiagram
  autonumber
  participant KyS as Kỹ sư
  participant TT as Tác tử
  participant KP as Knowledge Plane
  KP-&gt;&gt;TT: discover.bus_scan i2c/spi trên board lab (firmware kiểm định)
  Note over TT: ra: devices
  TT-&gt;&gt;KP: extract.image_board nếu có ảnh
  Note over KP: ra: parts
  TT-&gt;&gt;KyS: discover.board_match tính điểm với registry/templates/BOM
  Note over KyS: ra: candidates
  KyS-&gt;&gt;KP: Chọn nếu ứng viên điểm gần nhau (một câu hỏi gộp) [T1*]
  Note over KP: ra: board</t>
        </is>
      </c>
    </row>
    <row r="57">
      <c r="A57" s="42" t="inlineStr">
        <is>
          <t>UC-K01</t>
        </is>
      </c>
      <c r="B57" s="42" t="inlineStr">
        <is>
          <t>Tác tử tự viết công cụ khi thiếu năng lực</t>
        </is>
      </c>
      <c r="C57" s="62" t="inlineStr">
        <is>
          <t>sequenceDiagram
  autonumber
  participant KyS as Kỹ sư
  participant TT as Tác tử
  participant KP as Knowledge Plane
  TT-&gt;&gt;KP: tool.need, nhận diện nhu cầu, viết ToolSpec (vào/ra/effects/deps/acceptance), tool.search 
  Note over KP: ra: ToolSpec
  TT-&gt;&gt;KP: tool.write, coder sinh tool.py + test, kiểm tĩnh import theo effects
  Note over KP: ra: code, tests
  KP-&gt;&gt;TT: tool.test trong sandbox, pytest + giám sát hiệu ứng thực tế ⊆ khai báo
  Note over TT: ra: ToolReport, effects_ok
  TT-&gt;&gt;KP: Thất bại → tool.repair ≤ 3 vòng
  Note over KP: ra: code'
  KP-&gt;&gt;TT: tool.register, khai báo Capability user.&lt;name&gt; (risk từ effects, tier, undo), nạp nóng reg
  Note over TT: ra: USER-nn
  KP-&gt;&gt;KyS: tool.run trong chuỗi, policy G-TOOL (TOOL-01…05) → sandbox theo effects → kết quả → ledger [G-TOOL]
  Note over KyS: ra: result
  KyS-&gt;&gt;TT: Chỉ khi hiệu ứng hệ thống/phần cứng ngoài lab hoặc chưa đủ lịch sử, duyệt/từ chối, xem mã 
  Note over TT: ra: decision
  TT-&gt;&gt;KP: Sau ≥ 3 lần ok, tool.promote đề xuất gói kind=tool → Pack owner duyệt → năng lực chính thứ [T2]
  Note over KP: ra: proposal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style="29" min="1" max="1"/>
    <col width="6" customWidth="1" style="29" min="2" max="2"/>
    <col width="6" customWidth="1" style="29" min="3" max="3"/>
    <col width="70" customWidth="1" style="29" min="4" max="4"/>
    <col width="34" customWidth="1" style="29" min="5" max="5"/>
    <col width="20" customWidth="1" style="29" min="6" max="6"/>
    <col width="16" customWidth="1" style="29" min="7" max="7"/>
  </cols>
  <sheetData>
    <row r="1">
      <c r="A1" s="60" t="inlineStr">
        <is>
          <t>Mã UC</t>
        </is>
      </c>
      <c r="B1" s="60" t="inlineStr">
        <is>
          <t>Bước</t>
        </is>
      </c>
      <c r="C1" s="60" t="inlineStr">
        <is>
          <t>Làn</t>
        </is>
      </c>
      <c r="D1" s="60" t="inlineStr">
        <is>
          <t>Hành động</t>
        </is>
      </c>
      <c r="E1" s="60" t="inlineStr">
        <is>
          <t>Năng lực gọi (khai báo hoặc suy ra)</t>
        </is>
      </c>
      <c r="F1" s="60" t="inlineStr">
        <is>
          <t>Màn hình</t>
        </is>
      </c>
      <c r="G1" s="60" t="inlineStr">
        <is>
          <t>Cổng / mức</t>
        </is>
      </c>
    </row>
    <row r="2">
      <c r="A2" s="43" t="inlineStr">
        <is>
          <t>UC-A01</t>
        </is>
      </c>
      <c r="B2" s="43" t="n">
        <v>1</v>
      </c>
      <c r="C2" s="43" t="inlineStr">
        <is>
          <t>N</t>
        </is>
      </c>
      <c r="D2" s="43" t="inlineStr">
        <is>
          <t>Ra lệnh bằng ngôn ngữ tự nhiên, ví dụ: 'Tạo dự án robot cân bằng từ thư mục ~/robot-kit, chip chưa rõ' (một câu; có thể kèm kéo thả)</t>
        </is>
      </c>
      <c r="E2" s="43" t="inlineStr">
        <is>
          <t>project.create (suy ra)</t>
        </is>
      </c>
      <c r="F2" s="43" t="inlineStr">
        <is>
          <t>Tổng quan</t>
        </is>
      </c>
      <c r="G2" s="43" t="inlineStr">
        <is>
          <t>Lệnh</t>
        </is>
      </c>
    </row>
    <row r="3">
      <c r="A3" s="42" t="inlineStr">
        <is>
          <t>UC-A01</t>
        </is>
      </c>
      <c r="B3" s="42" t="n">
        <v>2</v>
      </c>
      <c r="C3" s="42" t="inlineStr">
        <is>
          <t>T</t>
        </is>
      </c>
      <c r="D3" s="42" t="inlineStr">
        <is>
          <t>Librarian suy ra tên dự án, mô tả, chip/board (nếu nêu), đường dẫn tài liệu từ câu lệnh; điền mọi tham số mặc định (mức tự chủ A3, mô hình, ngân sách)</t>
        </is>
      </c>
      <c r="E3" s="42" t="inlineStr">
        <is>
          <t>project.create (suy ra)</t>
        </is>
      </c>
      <c r="F3" s="42" t="inlineStr">
        <is>
          <t>Tổng quan</t>
        </is>
      </c>
      <c r="G3" s="42" t="inlineStr"/>
    </row>
    <row r="4">
      <c r="A4" s="43" t="inlineStr">
        <is>
          <t>UC-A01</t>
        </is>
      </c>
      <c r="B4" s="43" t="n">
        <v>3</v>
      </c>
      <c r="C4" s="43" t="inlineStr">
        <is>
          <t>K</t>
        </is>
      </c>
      <c r="D4" s="43" t="inlineStr">
        <is>
          <t>Tạo .hkw/ với schema store, tệp mặc định, .gitignore; ghi ledger 'project.init'</t>
        </is>
      </c>
      <c r="E4" s="43" t="inlineStr">
        <is>
          <t>— (bước của người / không gọi năng lực)</t>
        </is>
      </c>
      <c r="F4" s="43" t="inlineStr">
        <is>
          <t>Tổng quan</t>
        </is>
      </c>
      <c r="G4" s="43" t="inlineStr"/>
    </row>
    <row r="5">
      <c r="A5" s="42" t="inlineStr">
        <is>
          <t>UC-A01</t>
        </is>
      </c>
      <c r="B5" s="42" t="n">
        <v>4</v>
      </c>
      <c r="C5" s="42" t="inlineStr">
        <is>
          <t>K</t>
        </is>
      </c>
      <c r="D5" s="42" t="inlineStr">
        <is>
          <t>Nếu đã biết chip: pull hộ chiếu lõi từ registry/seed và ghim phiên bản vào constraints.yaml</t>
        </is>
      </c>
      <c r="E5" s="42" t="inlineStr">
        <is>
          <t>registry.pull (suy ra)</t>
        </is>
      </c>
      <c r="F5" s="42" t="inlineStr">
        <is>
          <t>Tổng quan</t>
        </is>
      </c>
      <c r="G5" s="42" t="inlineStr">
        <is>
          <t>UC-G04</t>
        </is>
      </c>
    </row>
    <row r="6">
      <c r="A6" s="43" t="inlineStr">
        <is>
          <t>UC-A01</t>
        </is>
      </c>
      <c r="B6" s="43" t="n">
        <v>5</v>
      </c>
      <c r="C6" s="43" t="inlineStr">
        <is>
          <t>T</t>
        </is>
      </c>
      <c r="D6" s="43" t="inlineStr">
        <is>
          <t>Nếu câu lệnh có tài liệu: tự chuyển sang UC-B01 ngay; nếu không: hỏi đúng một câu 'anh có tài liệu board không?'</t>
        </is>
      </c>
      <c r="E6" s="43" t="inlineStr">
        <is>
          <t>chat.parse_intent (suy ra)</t>
        </is>
      </c>
      <c r="F6" s="43" t="inlineStr">
        <is>
          <t>Tổng quan</t>
        </is>
      </c>
      <c r="G6" s="43" t="inlineStr"/>
    </row>
    <row r="7">
      <c r="A7" s="42" t="inlineStr">
        <is>
          <t>UC-A02</t>
        </is>
      </c>
      <c r="B7" s="42" t="n">
        <v>1</v>
      </c>
      <c r="C7" s="42" t="inlineStr">
        <is>
          <t>T</t>
        </is>
      </c>
      <c r="D7" s="42" t="inlineStr">
        <is>
          <t>Lấy mã chip từ câu lệnh nếu người nêu (ví dụ 'dùng STM32F411CE'); nếu không, suy ra từ tài liệu ở UC-B02</t>
        </is>
      </c>
      <c r="E7" s="42" t="inlineStr">
        <is>
          <t>chat.parse_intent (suy ra)</t>
        </is>
      </c>
      <c r="F7" s="42" t="inlineStr">
        <is>
          <t>Tổng quan / Hộ chiếu chip</t>
        </is>
      </c>
      <c r="G7" s="42" t="inlineStr"/>
    </row>
    <row r="8">
      <c r="A8" s="43" t="inlineStr">
        <is>
          <t>UC-A02</t>
        </is>
      </c>
      <c r="B8" s="43" t="n">
        <v>2</v>
      </c>
      <c r="C8" s="43" t="inlineStr">
        <is>
          <t>K</t>
        </is>
      </c>
      <c r="D8" s="43" t="inlineStr">
        <is>
          <t>Tra passport.list; nếu có lõi → ghim; nếu không → tìm registry/seed (UC-B08)</t>
        </is>
      </c>
      <c r="E8" s="43" t="inlineStr">
        <is>
          <t>passport.list</t>
        </is>
      </c>
      <c r="F8" s="43" t="inlineStr">
        <is>
          <t>Tổng quan / Hộ chiếu chip</t>
        </is>
      </c>
      <c r="G8" s="43" t="inlineStr"/>
    </row>
    <row r="9">
      <c r="A9" s="42" t="inlineStr">
        <is>
          <t>UC-A02</t>
        </is>
      </c>
      <c r="B9" s="42" t="n">
        <v>3</v>
      </c>
      <c r="C9" s="42" t="inlineStr">
        <is>
          <t>T</t>
        </is>
      </c>
      <c r="D9" s="42" t="inlineStr">
        <is>
          <t>Nếu bỏ trống: Librarian sẽ suy ra chip từ tài liệu (SVD/schematic/ảnh) ở UC-B02 và đề xuất; người xác nhận</t>
        </is>
      </c>
      <c r="E9" s="42" t="inlineStr">
        <is>
          <t>extract.svd (suy ra)</t>
        </is>
      </c>
      <c r="F9" s="42" t="inlineStr">
        <is>
          <t>Tổng quan / Hộ chiếu chip</t>
        </is>
      </c>
      <c r="G9" s="42" t="inlineStr">
        <is>
          <t>G-FACT</t>
        </is>
      </c>
    </row>
    <row r="10">
      <c r="A10" s="43" t="inlineStr">
        <is>
          <t>UC-A02</t>
        </is>
      </c>
      <c r="B10" s="43" t="n">
        <v>4</v>
      </c>
      <c r="C10" s="43" t="inlineStr">
        <is>
          <t>K</t>
        </is>
      </c>
      <c r="D10" s="43" t="inlineStr">
        <is>
          <t>Nạp ISA profile tương ứng (armv7e-m, avr8, rv32…) và toolchain manifest</t>
        </is>
      </c>
      <c r="E10" s="43" t="inlineStr">
        <is>
          <t>target.flash (suy ra)</t>
        </is>
      </c>
      <c r="F10" s="43" t="inlineStr">
        <is>
          <t>Tổng quan / Hộ chiếu chip</t>
        </is>
      </c>
      <c r="G10" s="43" t="inlineStr"/>
    </row>
    <row r="11">
      <c r="A11" s="42" t="inlineStr">
        <is>
          <t>UC-A02</t>
        </is>
      </c>
      <c r="B11" s="42" t="n">
        <v>5</v>
      </c>
      <c r="C11" s="42" t="inlineStr">
        <is>
          <t>K</t>
        </is>
      </c>
      <c r="D11" s="42" t="inlineStr">
        <is>
          <t>Ghi ledger; cập nhật thanh trạng thái 'Pin: …'</t>
        </is>
      </c>
      <c r="E11" s="42" t="inlineStr">
        <is>
          <t>— (bước của người / không gọi năng lực)</t>
        </is>
      </c>
      <c r="F11" s="42" t="inlineStr">
        <is>
          <t>Tổng quan / Hộ chiếu chip</t>
        </is>
      </c>
      <c r="G11" s="42" t="inlineStr"/>
    </row>
    <row r="12">
      <c r="A12" s="43" t="inlineStr">
        <is>
          <t>UC-A03</t>
        </is>
      </c>
      <c r="B12" s="43" t="n">
        <v>1</v>
      </c>
      <c r="C12" s="43" t="inlineStr">
        <is>
          <t>K</t>
        </is>
      </c>
      <c r="D12" s="43" t="inlineStr">
        <is>
          <t>Đọc toolchain manifest của ISA profile (tên, phiên bản tối thiểu, lệnh kiểm, cách cài theo hệ điều hành)</t>
        </is>
      </c>
      <c r="E12" s="43" t="inlineStr">
        <is>
          <t>env.install (suy ra)</t>
        </is>
      </c>
      <c r="F12" s="43" t="inlineStr">
        <is>
          <t>Môi trường &amp; báo cáo</t>
        </is>
      </c>
      <c r="G12" s="43" t="inlineStr"/>
    </row>
    <row r="13">
      <c r="A13" s="42" t="inlineStr">
        <is>
          <t>UC-A03</t>
        </is>
      </c>
      <c r="B13" s="42" t="n">
        <v>2</v>
      </c>
      <c r="C13" s="42" t="inlineStr">
        <is>
          <t>H</t>
        </is>
      </c>
      <c r="D13" s="42" t="inlineStr">
        <is>
          <t>Chạy lệnh kiểm từng công cụ (which/--version); phát hiện probe USB</t>
        </is>
      </c>
      <c r="E13" s="42" t="inlineStr">
        <is>
          <t>target.probe_read (suy ra)</t>
        </is>
      </c>
      <c r="F13" s="42" t="inlineStr">
        <is>
          <t>Môi trường &amp; báo cáo</t>
        </is>
      </c>
      <c r="G13" s="42" t="inlineStr"/>
    </row>
    <row r="14">
      <c r="A14" s="43" t="inlineStr">
        <is>
          <t>UC-A03</t>
        </is>
      </c>
      <c r="B14" s="43" t="n">
        <v>3</v>
      </c>
      <c r="C14" s="43" t="inlineStr">
        <is>
          <t>T</t>
        </is>
      </c>
      <c r="D14" s="43" t="inlineStr">
        <is>
          <t>Librarian tổng hợp: bắt buộc thiếu gì, tùy chọn thiếu gì, đề xuất lệnh cài theo hệ điều hành</t>
        </is>
      </c>
      <c r="E14" s="43" t="inlineStr">
        <is>
          <t>env.install (suy ra)</t>
        </is>
      </c>
      <c r="F14" s="43" t="inlineStr">
        <is>
          <t>Môi trường &amp; báo cáo</t>
        </is>
      </c>
      <c r="G14" s="43" t="inlineStr"/>
    </row>
    <row r="15">
      <c r="A15" s="42" t="inlineStr">
        <is>
          <t>UC-A03</t>
        </is>
      </c>
      <c r="B15" s="42" t="n">
        <v>4</v>
      </c>
      <c r="C15" s="42" t="inlineStr">
        <is>
          <t>T</t>
        </is>
      </c>
      <c r="D15" s="42" t="inlineStr">
        <is>
          <t>Công cụ mở trong danh sách tin cậy: tự cài (T1); công cụ đóng/có license: hướng dẫn người cài (T3)</t>
        </is>
      </c>
      <c r="E15" s="42" t="inlineStr">
        <is>
          <t>env.install (suy ra)</t>
        </is>
      </c>
      <c r="F15" s="42" t="inlineStr">
        <is>
          <t>Môi trường &amp; báo cáo</t>
        </is>
      </c>
      <c r="G15" s="42" t="inlineStr">
        <is>
          <t>G-OPS</t>
        </is>
      </c>
    </row>
    <row r="16">
      <c r="A16" s="43" t="inlineStr">
        <is>
          <t>UC-A03</t>
        </is>
      </c>
      <c r="B16" s="43" t="n">
        <v>5</v>
      </c>
      <c r="C16" s="43" t="inlineStr">
        <is>
          <t>H</t>
        </is>
      </c>
      <c r="D16" s="43" t="inlineStr">
        <is>
          <t>Cài; kiểm lại phiên bản; tính hash nhị phân</t>
        </is>
      </c>
      <c r="E16" s="43" t="inlineStr">
        <is>
          <t>env.install (suy ra)</t>
        </is>
      </c>
      <c r="F16" s="43" t="inlineStr">
        <is>
          <t>Môi trường &amp; báo cáo</t>
        </is>
      </c>
      <c r="G16" s="43" t="inlineStr"/>
    </row>
    <row r="17">
      <c r="A17" s="42" t="inlineStr">
        <is>
          <t>UC-A03</t>
        </is>
      </c>
      <c r="B17" s="42" t="n">
        <v>6</v>
      </c>
      <c r="C17" s="42" t="inlineStr">
        <is>
          <t>K</t>
        </is>
      </c>
      <c r="D17" s="42" t="inlineStr">
        <is>
          <t>Ghi tools.lock; ledger; cập nhật thanh trạng thái Toolchain</t>
        </is>
      </c>
      <c r="E17" s="42" t="inlineStr">
        <is>
          <t>— (bước của người / không gọi năng lực)</t>
        </is>
      </c>
      <c r="F17" s="42" t="inlineStr">
        <is>
          <t>Môi trường &amp; báo cáo</t>
        </is>
      </c>
      <c r="G17" s="42" t="inlineStr"/>
    </row>
    <row r="18">
      <c r="A18" s="43" t="inlineStr">
        <is>
          <t>UC-A04</t>
        </is>
      </c>
      <c r="B18" s="43" t="n">
        <v>1</v>
      </c>
      <c r="C18" s="43" t="inlineStr">
        <is>
          <t>T</t>
        </is>
      </c>
      <c r="D18" s="43" t="inlineStr">
        <is>
          <t>Áp cấu hình mặc định (Claude/Gemini theo vai trò, reviewer khác hãng, ngân sách 5 USD/ngày, online); chỉ hỏi khi người ra lệnh đổi ('dùng Gemini cho tất cả', 'ngân sách 2 USD')</t>
        </is>
      </c>
      <c r="E18" s="43" t="inlineStr">
        <is>
          <t>code.review (suy ra)</t>
        </is>
      </c>
      <c r="F18" s="43" t="inlineStr">
        <is>
          <t>Mô hình &amp; chi phí</t>
        </is>
      </c>
      <c r="G18" s="43" t="inlineStr"/>
    </row>
    <row r="19">
      <c r="A19" s="42" t="inlineStr">
        <is>
          <t>UC-A04</t>
        </is>
      </c>
      <c r="B19" s="42" t="n">
        <v>2</v>
      </c>
      <c r="C19" s="42" t="inlineStr">
        <is>
          <t>K</t>
        </is>
      </c>
      <c r="D19" s="42" t="inlineStr">
        <is>
          <t>Kiểm quy tắc different_vendor_from(coder); kiểm khóa API theo biến môi trường; kiểm mô hình cục bộ (Ollama)</t>
        </is>
      </c>
      <c r="E19" s="42" t="inlineStr">
        <is>
          <t>code.generate_module (suy ra)</t>
        </is>
      </c>
      <c r="F19" s="42" t="inlineStr">
        <is>
          <t>Mô hình &amp; chi phí</t>
        </is>
      </c>
      <c r="G19" s="42" t="inlineStr"/>
    </row>
    <row r="20">
      <c r="A20" s="43" t="inlineStr">
        <is>
          <t>UC-A04</t>
        </is>
      </c>
      <c r="B20" s="43" t="n">
        <v>3</v>
      </c>
      <c r="C20" s="43" t="inlineStr">
        <is>
          <t>K</t>
        </is>
      </c>
      <c r="D20" s="43" t="inlineStr">
        <is>
          <t>Chạy bộ kiểm thử hợp đồng 5 ca trên các adapter khả dụng (không tốn nhiều token)</t>
        </is>
      </c>
      <c r="E20" s="43" t="inlineStr">
        <is>
          <t>— (bước của người / không gọi năng lực)</t>
        </is>
      </c>
      <c r="F20" s="43" t="inlineStr">
        <is>
          <t>Mô hình &amp; chi phí</t>
        </is>
      </c>
      <c r="G20" s="43" t="inlineStr"/>
    </row>
    <row r="21">
      <c r="A21" s="42" t="inlineStr">
        <is>
          <t>UC-A04</t>
        </is>
      </c>
      <c r="B21" s="42" t="n">
        <v>4</v>
      </c>
      <c r="C21" s="42" t="inlineStr">
        <is>
          <t>K</t>
        </is>
      </c>
      <c r="D21" s="42" t="inlineStr">
        <is>
          <t>Lưu; ghi ledger; cập nhật thanh trạng thái (offline/online, chi phí)</t>
        </is>
      </c>
      <c r="E21" s="42" t="inlineStr">
        <is>
          <t>— (bước của người / không gọi năng lực)</t>
        </is>
      </c>
      <c r="F21" s="42" t="inlineStr">
        <is>
          <t>Mô hình &amp; chi phí</t>
        </is>
      </c>
      <c r="G21" s="42" t="inlineStr"/>
    </row>
    <row r="22">
      <c r="A22" s="43" t="inlineStr">
        <is>
          <t>UC-A05</t>
        </is>
      </c>
      <c r="B22" s="43" t="n">
        <v>1</v>
      </c>
      <c r="C22" s="43" t="inlineStr">
        <is>
          <t>T</t>
        </is>
      </c>
      <c r="D22" s="43" t="inlineStr">
        <is>
          <t>Librarian khảo sát repo: build system, thư mục, định dạng mã, README</t>
        </is>
      </c>
      <c r="E22" s="43" t="inlineStr">
        <is>
          <t>code.build (suy ra)</t>
        </is>
      </c>
      <c r="F22" s="43" t="inlineStr">
        <is>
          <t>Mã nguồn</t>
        </is>
      </c>
      <c r="G22" s="43" t="inlineStr"/>
    </row>
    <row r="23">
      <c r="A23" s="42" t="inlineStr">
        <is>
          <t>UC-A05</t>
        </is>
      </c>
      <c r="B23" s="42" t="n">
        <v>2</v>
      </c>
      <c r="C23" s="42" t="inlineStr">
        <is>
          <t>K</t>
        </is>
      </c>
      <c r="D23" s="42" t="inlineStr">
        <is>
          <t>Phân tích tĩnh: tìm địa chỉ/bit hằng số; ánh xạ vào hộ chiếu nếu có → CodeUnit CITES/USES</t>
        </is>
      </c>
      <c r="E23" s="42" t="inlineStr">
        <is>
          <t>— (bước của người / không gọi năng lực)</t>
        </is>
      </c>
      <c r="F23" s="42" t="inlineStr">
        <is>
          <t>Mã nguồn</t>
        </is>
      </c>
      <c r="G23" s="42" t="inlineStr"/>
    </row>
    <row r="24">
      <c r="A24" s="43" t="inlineStr">
        <is>
          <t>UC-A05</t>
        </is>
      </c>
      <c r="B24" s="43" t="n">
        <v>3</v>
      </c>
      <c r="C24" s="43" t="inlineStr">
        <is>
          <t>T</t>
        </is>
      </c>
      <c r="D24" s="43" t="inlineStr">
        <is>
          <t>Báo cáo: N hằng số khớp hộ chiếu, M hằng số không nguồn (đề xuất mở UC-B07)</t>
        </is>
      </c>
      <c r="E24" s="43" t="inlineStr">
        <is>
          <t>report.progress (suy ra)</t>
        </is>
      </c>
      <c r="F24" s="43" t="inlineStr">
        <is>
          <t>Mã nguồn</t>
        </is>
      </c>
      <c r="G24" s="43" t="inlineStr"/>
    </row>
    <row r="25">
      <c r="A25" s="42" t="inlineStr">
        <is>
          <t>UC-A05</t>
        </is>
      </c>
      <c r="B25" s="42" t="n">
        <v>4</v>
      </c>
      <c r="C25" s="42" t="inlineStr">
        <is>
          <t>N</t>
        </is>
      </c>
      <c r="D25" s="42" t="inlineStr">
        <is>
          <t>Xác nhận CONVENTIONS.md; quyết định có bổ sung hkw:fact vào mã cũ dần hay không</t>
        </is>
      </c>
      <c r="E25" s="42" t="inlineStr">
        <is>
          <t>— (bước của người / không gọi năng lực)</t>
        </is>
      </c>
      <c r="F25" s="42" t="inlineStr">
        <is>
          <t>Mã nguồn</t>
        </is>
      </c>
      <c r="G25" s="42" t="inlineStr"/>
    </row>
    <row r="26">
      <c r="A26" s="43" t="inlineStr">
        <is>
          <t>UC-A06</t>
        </is>
      </c>
      <c r="B26" s="43" t="n">
        <v>1</v>
      </c>
      <c r="C26" s="43" t="inlineStr">
        <is>
          <t>K</t>
        </is>
      </c>
      <c r="D26" s="43" t="inlineStr">
        <is>
          <t>Kiểm hash store (phát hiện ghi ngoài cổng); nạp đồ thị từ cache hoặc tái dựng</t>
        </is>
      </c>
      <c r="E26" s="43" t="inlineStr">
        <is>
          <t>target.flash (suy ra)</t>
        </is>
      </c>
      <c r="F26" s="43" t="inlineStr">
        <is>
          <t>Tổng quan</t>
        </is>
      </c>
      <c r="G26" s="43" t="inlineStr"/>
    </row>
    <row r="27">
      <c r="A27" s="42" t="inlineStr">
        <is>
          <t>UC-A06</t>
        </is>
      </c>
      <c r="B27" s="42" t="n">
        <v>2</v>
      </c>
      <c r="C27" s="42" t="inlineStr">
        <is>
          <t>K</t>
        </is>
      </c>
      <c r="D27" s="42" t="inlineStr">
        <is>
          <t>Đọc PROGRESS.md, FEATURES.json, gate đang mở, quyền đã hết hạn</t>
        </is>
      </c>
      <c r="E27" s="42" t="inlineStr">
        <is>
          <t>policy.permit (suy ra)</t>
        </is>
      </c>
      <c r="F27" s="42" t="inlineStr">
        <is>
          <t>Tổng quan</t>
        </is>
      </c>
      <c r="G27" s="42" t="inlineStr"/>
    </row>
    <row r="28">
      <c r="A28" s="43" t="inlineStr">
        <is>
          <t>UC-A06</t>
        </is>
      </c>
      <c r="B28" s="43" t="n">
        <v>3</v>
      </c>
      <c r="C28" s="43" t="inlineStr">
        <is>
          <t>H</t>
        </is>
      </c>
      <c r="D28" s="43" t="inlineStr">
        <is>
          <t>Chạy build known-good để xác nhận môi trường còn đúng</t>
        </is>
      </c>
      <c r="E28" s="43" t="inlineStr">
        <is>
          <t>code.build (suy ra)</t>
        </is>
      </c>
      <c r="F28" s="43" t="inlineStr">
        <is>
          <t>Tổng quan</t>
        </is>
      </c>
      <c r="G28" s="43" t="inlineStr"/>
    </row>
    <row r="29">
      <c r="A29" s="42" t="inlineStr">
        <is>
          <t>UC-A06</t>
        </is>
      </c>
      <c r="B29" s="42" t="n">
        <v>4</v>
      </c>
      <c r="C29" s="42" t="inlineStr">
        <is>
          <t>T</t>
        </is>
      </c>
      <c r="D29" s="42" t="inlineStr">
        <is>
          <t>Librarian tóm tắt 'lần trước dừng ở đâu, việc tiếp theo là gì'</t>
        </is>
      </c>
      <c r="E29" s="42" t="inlineStr">
        <is>
          <t>— (bước của người / không gọi năng lực)</t>
        </is>
      </c>
      <c r="F29" s="42" t="inlineStr">
        <is>
          <t>Tổng quan</t>
        </is>
      </c>
      <c r="G29" s="42" t="inlineStr"/>
    </row>
    <row r="30">
      <c r="A30" s="43" t="inlineStr">
        <is>
          <t>UC-B01</t>
        </is>
      </c>
      <c r="B30" s="43" t="n">
        <v>1</v>
      </c>
      <c r="C30" s="43" t="inlineStr">
        <is>
          <t>N</t>
        </is>
      </c>
      <c r="D30" s="43" t="inlineStr">
        <is>
          <t>Đưa tài liệu: kéo thả zip/thư mục, hoặc nêu đường dẫn trong câu lệnh ('tài liệu ở ~/robot-kit')</t>
        </is>
      </c>
      <c r="E30" s="43" t="inlineStr">
        <is>
          <t>archive.unpack (suy ra)</t>
        </is>
      </c>
      <c r="F30" s="43" t="inlineStr">
        <is>
          <t>Nhập tài liệu</t>
        </is>
      </c>
      <c r="G30" s="43" t="inlineStr">
        <is>
          <t>Lệnh</t>
        </is>
      </c>
    </row>
    <row r="31">
      <c r="A31" s="42" t="inlineStr">
        <is>
          <t>UC-B01</t>
        </is>
      </c>
      <c r="B31" s="42" t="n">
        <v>2</v>
      </c>
      <c r="C31" s="42" t="inlineStr">
        <is>
          <t>K</t>
        </is>
      </c>
      <c r="D31" s="42" t="inlineStr">
        <is>
          <t>Mở nén đệ quy trong sandbox (≤ 5 cấp, ≤ 2 GB, chống zip-slip); tính sha256 từng tệp</t>
        </is>
      </c>
      <c r="E31" s="42" t="inlineStr">
        <is>
          <t>archive.unpack (suy ra)</t>
        </is>
      </c>
      <c r="F31" s="42" t="inlineStr">
        <is>
          <t>Nhập tài liệu</t>
        </is>
      </c>
      <c r="G31" s="42" t="inlineStr"/>
    </row>
    <row r="32">
      <c r="A32" s="43" t="inlineStr">
        <is>
          <t>UC-B01</t>
        </is>
      </c>
      <c r="B32" s="43" t="n">
        <v>3</v>
      </c>
      <c r="C32" s="43" t="inlineStr">
        <is>
          <t>K</t>
        </is>
      </c>
      <c r="D32" s="43" t="inlineStr">
        <is>
          <t>Phân loại theo chữ ký nội dung: SVD/ATDF/EDC/header/kicad → vàng; PDF/DOCX/HTML/ảnh → bạc; văn bản tự do/diễn đàn → đồng; khác → bỏ qua</t>
        </is>
      </c>
      <c r="E32" s="43" t="inlineStr">
        <is>
          <t>ingest.classify (suy ra)</t>
        </is>
      </c>
      <c r="F32" s="43" t="inlineStr">
        <is>
          <t>Nhập tài liệu</t>
        </is>
      </c>
      <c r="G32" s="43" t="inlineStr"/>
    </row>
    <row r="33">
      <c r="A33" s="42" t="inlineStr">
        <is>
          <t>UC-B01</t>
        </is>
      </c>
      <c r="B33" s="42" t="n">
        <v>4</v>
      </c>
      <c r="C33" s="42" t="inlineStr">
        <is>
          <t>T</t>
        </is>
      </c>
      <c r="D33" s="42" t="inlineStr">
        <is>
          <t>Librarian tóm tắt: tệp nào sinh hộ chiếu ngay, tệp nào cần trích xuất + duyệt, tệp nào chỉ làm ngữ cảnh; phát hiện chip/board từ tên và nội dung</t>
        </is>
      </c>
      <c r="E33" s="42" t="inlineStr">
        <is>
          <t>extract.image_schematic (suy ra)</t>
        </is>
      </c>
      <c r="F33" s="42" t="inlineStr">
        <is>
          <t>Nhập tài liệu</t>
        </is>
      </c>
      <c r="G33" s="42" t="inlineStr"/>
    </row>
    <row r="34">
      <c r="A34" s="43" t="inlineStr">
        <is>
          <t>UC-B01</t>
        </is>
      </c>
      <c r="B34" s="43" t="n">
        <v>5</v>
      </c>
      <c r="C34" s="43" t="inlineStr">
        <is>
          <t>K</t>
        </is>
      </c>
      <c r="D34" s="43" t="inlineStr">
        <is>
          <t>Tệp vàng: chạy parser ngay → hộ chiếu (UC-B03/UC-B06). Tệp bạc: tạo AcquisitionRequest CONFIRMED → chờ trích xuất (UC-B04/B05)</t>
        </is>
      </c>
      <c r="E34" s="43" t="inlineStr">
        <is>
          <t>— (bước của người / không gọi năng lực)</t>
        </is>
      </c>
      <c r="F34" s="43" t="inlineStr">
        <is>
          <t>Nhập tài liệu</t>
        </is>
      </c>
      <c r="G34" s="43" t="inlineStr"/>
    </row>
    <row r="35">
      <c r="A35" s="42" t="inlineStr">
        <is>
          <t>UC-B01</t>
        </is>
      </c>
      <c r="B35" s="42" t="n">
        <v>6</v>
      </c>
      <c r="C35" s="42" t="inlineStr">
        <is>
          <t>T</t>
        </is>
      </c>
      <c r="D35" s="42" t="inlineStr">
        <is>
          <t>Tự trích xuất mọi tệp bạc ngay (A3); người chỉ xem bảng và có thể loại tệp sau</t>
        </is>
      </c>
      <c r="E35" s="42" t="inlineStr">
        <is>
          <t>— (bước của người / không gọi năng lực)</t>
        </is>
      </c>
      <c r="F35" s="42" t="inlineStr">
        <is>
          <t>Nhập tài liệu</t>
        </is>
      </c>
      <c r="G35" s="42" t="inlineStr"/>
    </row>
    <row r="36">
      <c r="A36" s="43" t="inlineStr">
        <is>
          <t>UC-B01</t>
        </is>
      </c>
      <c r="B36" s="43" t="n">
        <v>7</v>
      </c>
      <c r="C36" s="43" t="inlineStr">
        <is>
          <t>K</t>
        </is>
      </c>
      <c r="D36" s="43" t="inlineStr">
        <is>
          <t>Ghi ledger; cập nhật hàng đợi xác nhận</t>
        </is>
      </c>
      <c r="E36" s="43" t="inlineStr">
        <is>
          <t>— (bước của người / không gọi năng lực)</t>
        </is>
      </c>
      <c r="F36" s="43" t="inlineStr">
        <is>
          <t>Nhập tài liệu</t>
        </is>
      </c>
      <c r="G36" s="43" t="inlineStr"/>
    </row>
    <row r="37">
      <c r="A37" s="42" t="inlineStr">
        <is>
          <t>UC-B02</t>
        </is>
      </c>
      <c r="B37" s="42" t="n">
        <v>1</v>
      </c>
      <c r="C37" s="42" t="inlineStr">
        <is>
          <t>T</t>
        </is>
      </c>
      <c r="D37" s="42" t="inlineStr">
        <is>
          <t>Đọc tiêu đề PDF, mã đặt hàng, chuỗi 'STM32F411', 'BME280'; đọc nhãn linh kiện trên ảnh bằng mô hình thị giác</t>
        </is>
      </c>
      <c r="E37" s="42" t="inlineStr">
        <is>
          <t>extract.pdf_register_map (suy ra)</t>
        </is>
      </c>
      <c r="F37" s="42" t="inlineStr">
        <is>
          <t>Nhập tài liệu / Hàng đợi xác nhận</t>
        </is>
      </c>
      <c r="G37" s="42" t="inlineStr"/>
    </row>
    <row r="38">
      <c r="A38" s="43" t="inlineStr">
        <is>
          <t>UC-B02</t>
        </is>
      </c>
      <c r="B38" s="43" t="n">
        <v>2</v>
      </c>
      <c r="C38" s="43" t="inlineStr">
        <is>
          <t>K</t>
        </is>
      </c>
      <c r="D38" s="43" t="inlineStr">
        <is>
          <t>Đối chiếu với hộ chiếu có sẵn / registry</t>
        </is>
      </c>
      <c r="E38" s="43" t="inlineStr">
        <is>
          <t>— (bước của người / không gọi năng lực)</t>
        </is>
      </c>
      <c r="F38" s="43" t="inlineStr">
        <is>
          <t>Nhập tài liệu / Hàng đợi xác nhận</t>
        </is>
      </c>
      <c r="G38" s="43" t="inlineStr"/>
    </row>
    <row r="39">
      <c r="A39" s="42" t="inlineStr">
        <is>
          <t>UC-B02</t>
        </is>
      </c>
      <c r="B39" s="42" t="n">
        <v>3</v>
      </c>
      <c r="C39" s="42" t="inlineStr">
        <is>
          <t>T</t>
        </is>
      </c>
      <c r="D39" s="42" t="inlineStr">
        <is>
          <t>Trình bảng: linh kiện, vai trò dự đoán (MCU, cảm biến, driver), nguồn suy ra, tin cậy</t>
        </is>
      </c>
      <c r="E39" s="42" t="inlineStr">
        <is>
          <t>— (bước của người / không gọi năng lực)</t>
        </is>
      </c>
      <c r="F39" s="42" t="inlineStr">
        <is>
          <t>Nhập tài liệu / Hàng đợi xác nhận</t>
        </is>
      </c>
      <c r="G39" s="42" t="inlineStr"/>
    </row>
    <row r="40">
      <c r="A40" s="43" t="inlineStr">
        <is>
          <t>UC-B02</t>
        </is>
      </c>
      <c r="B40" s="43" t="n">
        <v>4</v>
      </c>
      <c r="C40" s="43" t="inlineStr">
        <is>
          <t>N</t>
        </is>
      </c>
      <c r="D40" s="43" t="inlineStr">
        <is>
          <t>Xác nhận/sửa từng dòng (ví dụ: 'U3 là MPU6050 chứ không phải MPU9250')</t>
        </is>
      </c>
      <c r="E40" s="43" t="inlineStr">
        <is>
          <t>— (bước của người / không gọi năng lực)</t>
        </is>
      </c>
      <c r="F40" s="43" t="inlineStr">
        <is>
          <t>Nhập tài liệu / Hàng đợi xác nhận</t>
        </is>
      </c>
      <c r="G40" s="43" t="inlineStr">
        <is>
          <t>G-FACT</t>
        </is>
      </c>
    </row>
    <row r="41">
      <c r="A41" s="42" t="inlineStr">
        <is>
          <t>UC-B02</t>
        </is>
      </c>
      <c r="B41" s="42" t="n">
        <v>5</v>
      </c>
      <c r="C41" s="42" t="inlineStr">
        <is>
          <t>K</t>
        </is>
      </c>
      <c r="D41" s="42" t="inlineStr">
        <is>
          <t>Tạo AcquisitionRequest cho hộ chiếu còn thiếu (UC-B07)</t>
        </is>
      </c>
      <c r="E41" s="42" t="inlineStr">
        <is>
          <t>— (bước của người / không gọi năng lực)</t>
        </is>
      </c>
      <c r="F41" s="42" t="inlineStr">
        <is>
          <t>Nhập tài liệu / Hàng đợi xác nhận</t>
        </is>
      </c>
      <c r="G41" s="42" t="inlineStr"/>
    </row>
    <row r="42">
      <c r="A42" s="43" t="inlineStr">
        <is>
          <t>UC-B03</t>
        </is>
      </c>
      <c r="B42" s="43" t="n">
        <v>1</v>
      </c>
      <c r="C42" s="43" t="inlineStr">
        <is>
          <t>K</t>
        </is>
      </c>
      <c r="D42" s="43" t="inlineStr">
        <is>
          <t>Sniff nội dung; chọn parser (SVD: derivedFrom, dim, cluster, enum; ATDF: module/instance/bitfield/value-group)</t>
        </is>
      </c>
      <c r="E42" s="43" t="inlineStr">
        <is>
          <t>extract.svd (suy ra)</t>
        </is>
      </c>
      <c r="F42" s="43" t="inlineStr">
        <is>
          <t>Hộ chiếu chip</t>
        </is>
      </c>
      <c r="G42" s="43" t="inlineStr"/>
    </row>
    <row r="43">
      <c r="A43" s="42" t="inlineStr">
        <is>
          <t>UC-B03</t>
        </is>
      </c>
      <c r="B43" s="42" t="n">
        <v>2</v>
      </c>
      <c r="C43" s="42" t="inlineStr">
        <is>
          <t>K</t>
        </is>
      </c>
      <c r="D43" s="42" t="inlineStr">
        <is>
          <t>Ghi qua cổng ghi duy nhất: hợp nhất theo tier; predicate nhiều giá trị (irq, enum) không gây mâu thuẫn</t>
        </is>
      </c>
      <c r="E43" s="42" t="inlineStr">
        <is>
          <t>kg.resolve_conflict (suy ra)</t>
        </is>
      </c>
      <c r="F43" s="42" t="inlineStr">
        <is>
          <t>Hộ chiếu chip</t>
        </is>
      </c>
      <c r="G43" s="42" t="inlineStr"/>
    </row>
    <row r="44">
      <c r="A44" s="43" t="inlineStr">
        <is>
          <t>UC-B03</t>
        </is>
      </c>
      <c r="B44" s="43" t="n">
        <v>3</v>
      </c>
      <c r="C44" s="43" t="inlineStr">
        <is>
          <t>K</t>
        </is>
      </c>
      <c r="D44" s="43" t="inlineStr">
        <is>
          <t>Nếu tệp từ thư mục *-Community hoặc không rõ nguồn hãng → tầng bạc</t>
        </is>
      </c>
      <c r="E44" s="43" t="inlineStr">
        <is>
          <t>— (bước của người / không gọi năng lực)</t>
        </is>
      </c>
      <c r="F44" s="43" t="inlineStr">
        <is>
          <t>Hộ chiếu chip</t>
        </is>
      </c>
      <c r="G44" s="43" t="inlineStr"/>
    </row>
    <row r="45">
      <c r="A45" s="42" t="inlineStr">
        <is>
          <t>UC-B03</t>
        </is>
      </c>
      <c r="B45" s="42" t="n">
        <v>4</v>
      </c>
      <c r="C45" s="42" t="inlineStr">
        <is>
          <t>T</t>
        </is>
      </c>
      <c r="D45" s="42" t="inlineStr">
        <is>
          <t>Librarian báo: số ngoại vi/thanh ghi/bit-field, cảnh báo parser, mâu thuẫn với nguồn khác</t>
        </is>
      </c>
      <c r="E45" s="42" t="inlineStr">
        <is>
          <t>extract.image_schematic (suy ra)</t>
        </is>
      </c>
      <c r="F45" s="42" t="inlineStr">
        <is>
          <t>Hộ chiếu chip</t>
        </is>
      </c>
      <c r="G45" s="42" t="inlineStr"/>
    </row>
    <row r="46">
      <c r="A46" s="43" t="inlineStr">
        <is>
          <t>UC-B03</t>
        </is>
      </c>
      <c r="B46" s="43" t="n">
        <v>5</v>
      </c>
      <c r="C46" s="43" t="inlineStr">
        <is>
          <t>N</t>
        </is>
      </c>
      <c r="D46" s="43" t="inlineStr">
        <is>
          <t>Nếu có mâu thuẫn hoặc phiên bản mới: quyết định ghim phiên bản (UC-B13)</t>
        </is>
      </c>
      <c r="E46" s="43" t="inlineStr">
        <is>
          <t>kg.resolve_conflict (suy ra)</t>
        </is>
      </c>
      <c r="F46" s="43" t="inlineStr">
        <is>
          <t>Hộ chiếu chip</t>
        </is>
      </c>
      <c r="G46" s="43" t="inlineStr"/>
    </row>
    <row r="47">
      <c r="A47" s="42" t="inlineStr">
        <is>
          <t>UC-B04</t>
        </is>
      </c>
      <c r="B47" s="42" t="n">
        <v>1</v>
      </c>
      <c r="C47" s="42" t="inlineStr">
        <is>
          <t>K</t>
        </is>
      </c>
      <c r="D47" s="42" t="inlineStr">
        <is>
          <t>Docling/pdfplumber: bố cục, bảng, tiêu đề; nhận diện chương 'Register map', 'Electrical characteristics', 'Errata'</t>
        </is>
      </c>
      <c r="E47" s="42" t="inlineStr">
        <is>
          <t>extract.pdf_register_map (suy ra)</t>
        </is>
      </c>
      <c r="F47" s="42" t="inlineStr">
        <is>
          <t>Hàng đợi xác nhận</t>
        </is>
      </c>
      <c r="G47" s="42" t="inlineStr"/>
    </row>
    <row r="48">
      <c r="A48" s="43" t="inlineStr">
        <is>
          <t>UC-B04</t>
        </is>
      </c>
      <c r="B48" s="43" t="n">
        <v>2</v>
      </c>
      <c r="C48" s="43" t="inlineStr">
        <is>
          <t>T</t>
        </is>
      </c>
      <c r="D48" s="43" t="inlineStr">
        <is>
          <t>Librarian dùng mô hình có schema chuyển từng bảng thành fact {subject, predicate, value, unit, confidence}; giữ trang/bbox</t>
        </is>
      </c>
      <c r="E48" s="43" t="inlineStr">
        <is>
          <t>— (bước của người / không gọi năng lực)</t>
        </is>
      </c>
      <c r="F48" s="43" t="inlineStr">
        <is>
          <t>Hàng đợi xác nhận</t>
        </is>
      </c>
      <c r="G48" s="43" t="inlineStr"/>
    </row>
    <row r="49">
      <c r="A49" s="42" t="inlineStr">
        <is>
          <t>UC-B04</t>
        </is>
      </c>
      <c r="B49" s="42" t="n">
        <v>3</v>
      </c>
      <c r="C49" s="42" t="inlineStr">
        <is>
          <t>K</t>
        </is>
      </c>
      <c r="D49" s="42" t="inlineStr">
        <is>
          <t>Hợp nhất trùng lặp; phát hiện mâu thuẫn với nguồn khác; xếp nhóm (thanh ghi, chân, điện, errata)</t>
        </is>
      </c>
      <c r="E49" s="42" t="inlineStr">
        <is>
          <t>kg.resolve_conflict (suy ra)</t>
        </is>
      </c>
      <c r="F49" s="42" t="inlineStr">
        <is>
          <t>Hàng đợi xác nhận</t>
        </is>
      </c>
      <c r="G49" s="42" t="inlineStr"/>
    </row>
    <row r="50">
      <c r="A50" s="43" t="inlineStr">
        <is>
          <t>UC-B04</t>
        </is>
      </c>
      <c r="B50" s="43" t="n">
        <v>4</v>
      </c>
      <c r="C50" s="43" t="inlineStr">
        <is>
          <t>K</t>
        </is>
      </c>
      <c r="D50" s="43" t="inlineStr">
        <is>
          <t>Cắt ảnh vùng bảng làm bằng chứng; đưa vào hàng đợi G-FACT</t>
        </is>
      </c>
      <c r="E50" s="43" t="inlineStr">
        <is>
          <t>extract.image_schematic (suy ra)</t>
        </is>
      </c>
      <c r="F50" s="43" t="inlineStr">
        <is>
          <t>Hàng đợi xác nhận</t>
        </is>
      </c>
      <c r="G50" s="43" t="inlineStr"/>
    </row>
    <row r="51">
      <c r="A51" s="42" t="inlineStr">
        <is>
          <t>UC-B04</t>
        </is>
      </c>
      <c r="B51" s="42" t="n">
        <v>5</v>
      </c>
      <c r="C51" s="42" t="inlineStr">
        <is>
          <t>N</t>
        </is>
      </c>
      <c r="D51" s="42" t="inlineStr">
        <is>
          <t>Duyệt theo nhóm (UC-B10)</t>
        </is>
      </c>
      <c r="E51" s="42" t="inlineStr">
        <is>
          <t>— (bước của người / không gọi năng lực)</t>
        </is>
      </c>
      <c r="F51" s="42" t="inlineStr">
        <is>
          <t>Hàng đợi xác nhận</t>
        </is>
      </c>
      <c r="G51" s="42" t="inlineStr">
        <is>
          <t>G-FACT</t>
        </is>
      </c>
    </row>
    <row r="52">
      <c r="A52" s="43" t="inlineStr">
        <is>
          <t>UC-B05</t>
        </is>
      </c>
      <c r="B52" s="43" t="n">
        <v>1</v>
      </c>
      <c r="C52" s="43" t="inlineStr">
        <is>
          <t>T</t>
        </is>
      </c>
      <c r="D52" s="43" t="inlineStr">
        <is>
          <t>Gửi ảnh + schema 'nets[], parts[]' cho mô hình thị giác; nhận bảng đề xuất</t>
        </is>
      </c>
      <c r="E52" s="43" t="inlineStr">
        <is>
          <t>extract.image_schematic (suy ra)</t>
        </is>
      </c>
      <c r="F52" s="43" t="inlineStr">
        <is>
          <t>Hàng đợi xác nhận</t>
        </is>
      </c>
      <c r="G52" s="43" t="inlineStr"/>
    </row>
    <row r="53">
      <c r="A53" s="42" t="inlineStr">
        <is>
          <t>UC-B05</t>
        </is>
      </c>
      <c r="B53" s="42" t="n">
        <v>2</v>
      </c>
      <c r="C53" s="42" t="inlineStr">
        <is>
          <t>K</t>
        </is>
      </c>
      <c r="D53" s="42" t="inlineStr">
        <is>
          <t>Đối chiếu với BoardPassport (nếu có) và hộ chiếu chip (tên chân hợp lệ?)</t>
        </is>
      </c>
      <c r="E53" s="42" t="inlineStr">
        <is>
          <t>board.build_passport (suy ra)</t>
        </is>
      </c>
      <c r="F53" s="42" t="inlineStr">
        <is>
          <t>Hàng đợi xác nhận</t>
        </is>
      </c>
      <c r="G53" s="42" t="inlineStr"/>
    </row>
    <row r="54">
      <c r="A54" s="43" t="inlineStr">
        <is>
          <t>UC-B05</t>
        </is>
      </c>
      <c r="B54" s="43" t="n">
        <v>3</v>
      </c>
      <c r="C54" s="43" t="inlineStr">
        <is>
          <t>T</t>
        </is>
      </c>
      <c r="D54" s="43" t="inlineStr">
        <is>
          <t>Trình bảng với ảnh cắt từng vùng; đánh dấu dòng tin cậy thấp</t>
        </is>
      </c>
      <c r="E54" s="43" t="inlineStr">
        <is>
          <t>extract.image_schematic (suy ra)</t>
        </is>
      </c>
      <c r="F54" s="43" t="inlineStr">
        <is>
          <t>Hàng đợi xác nhận</t>
        </is>
      </c>
      <c r="G54" s="43" t="inlineStr"/>
    </row>
    <row r="55">
      <c r="A55" s="42" t="inlineStr">
        <is>
          <t>UC-B05</t>
        </is>
      </c>
      <c r="B55" s="42" t="n">
        <v>4</v>
      </c>
      <c r="C55" s="42" t="inlineStr">
        <is>
          <t>N</t>
        </is>
      </c>
      <c r="D55" s="42" t="inlineStr">
        <is>
          <t>Sửa/duyệt</t>
        </is>
      </c>
      <c r="E55" s="42" t="inlineStr">
        <is>
          <t>— (bước của người / không gọi năng lực)</t>
        </is>
      </c>
      <c r="F55" s="42" t="inlineStr">
        <is>
          <t>Hàng đợi xác nhận</t>
        </is>
      </c>
      <c r="G55" s="42" t="inlineStr">
        <is>
          <t>G-FACT</t>
        </is>
      </c>
    </row>
    <row r="56">
      <c r="A56" s="43" t="inlineStr">
        <is>
          <t>UC-B06</t>
        </is>
      </c>
      <c r="B56" s="43" t="n">
        <v>1</v>
      </c>
      <c r="C56" s="43" t="inlineStr">
        <is>
          <t>H</t>
        </is>
      </c>
      <c r="D56" s="43" t="inlineStr">
        <is>
          <t>kicad-cli sch export netlist</t>
        </is>
      </c>
      <c r="E56" s="43" t="inlineStr">
        <is>
          <t>extract.kicad_netlist (suy ra)</t>
        </is>
      </c>
      <c r="F56" s="43" t="inlineStr">
        <is>
          <t>Hộ chiếu mạch</t>
        </is>
      </c>
      <c r="G56" s="43" t="inlineStr"/>
    </row>
    <row r="57">
      <c r="A57" s="42" t="inlineStr">
        <is>
          <t>UC-B06</t>
        </is>
      </c>
      <c r="B57" s="42" t="n">
        <v>2</v>
      </c>
      <c r="C57" s="42" t="inlineStr">
        <is>
          <t>K</t>
        </is>
      </c>
      <c r="D57" s="42" t="inlineStr">
        <is>
          <t>Ánh xạ ref → MPN → hộ chiếu (U1 = st.stm32f411; U2 = bosch.bme280); pin → tên chân MCU</t>
        </is>
      </c>
      <c r="E57" s="42" t="inlineStr">
        <is>
          <t>— (bước của người / không gọi năng lực)</t>
        </is>
      </c>
      <c r="F57" s="42" t="inlineStr">
        <is>
          <t>Hộ chiếu mạch</t>
        </is>
      </c>
      <c r="G57" s="42" t="inlineStr"/>
    </row>
    <row r="58">
      <c r="A58" s="43" t="inlineStr">
        <is>
          <t>UC-B06</t>
        </is>
      </c>
      <c r="B58" s="43" t="n">
        <v>3</v>
      </c>
      <c r="C58" s="43" t="inlineStr">
        <is>
          <t>T</t>
        </is>
      </c>
      <c r="D58" s="43" t="inlineStr">
        <is>
          <t>Cartographer suy ra bus và địa chỉ (SDO→GND ⇒ 0x76), pull-up, chân reserved/boot; chức năng AF khả dĩ</t>
        </is>
      </c>
      <c r="E58" s="43" t="inlineStr">
        <is>
          <t>registry.pull (suy ra)</t>
        </is>
      </c>
      <c r="F58" s="43" t="inlineStr">
        <is>
          <t>Hộ chiếu mạch</t>
        </is>
      </c>
      <c r="G58" s="43" t="inlineStr"/>
    </row>
    <row r="59">
      <c r="A59" s="42" t="inlineStr">
        <is>
          <t>UC-B06</t>
        </is>
      </c>
      <c r="B59" s="42" t="n">
        <v>4</v>
      </c>
      <c r="C59" s="42" t="inlineStr">
        <is>
          <t>K</t>
        </is>
      </c>
      <c r="D59" s="42" t="inlineStr">
        <is>
          <t>kg.conflicts: chân hai chức năng, reserved bị dùng, trùng địa chỉ bus</t>
        </is>
      </c>
      <c r="E59" s="42" t="inlineStr">
        <is>
          <t>kg.conflicts</t>
        </is>
      </c>
      <c r="F59" s="42" t="inlineStr">
        <is>
          <t>Hộ chiếu mạch</t>
        </is>
      </c>
      <c r="G59" s="42" t="inlineStr"/>
    </row>
    <row r="60">
      <c r="A60" s="43" t="inlineStr">
        <is>
          <t>UC-B06</t>
        </is>
      </c>
      <c r="B60" s="43" t="n">
        <v>5</v>
      </c>
      <c r="C60" s="43" t="inlineStr">
        <is>
          <t>N</t>
        </is>
      </c>
      <c r="D60" s="43" t="inlineStr">
        <is>
          <t>Duyệt BoardPassport; chọn cách giải quyết xung đột</t>
        </is>
      </c>
      <c r="E60" s="43" t="inlineStr">
        <is>
          <t>board.build_passport (suy ra)</t>
        </is>
      </c>
      <c r="F60" s="43" t="inlineStr">
        <is>
          <t>Hộ chiếu mạch</t>
        </is>
      </c>
      <c r="G60" s="43" t="inlineStr">
        <is>
          <t>G-FACT</t>
        </is>
      </c>
    </row>
    <row r="61">
      <c r="A61" s="42" t="inlineStr">
        <is>
          <t>UC-B07</t>
        </is>
      </c>
      <c r="B61" s="42" t="n">
        <v>1</v>
      </c>
      <c r="C61" s="42" t="inlineStr">
        <is>
          <t>T</t>
        </is>
      </c>
      <c r="D61" s="42" t="inlineStr">
        <is>
          <t>Tác tử mô tả cần gì và vì sao (ví dụ 'công thức bù nhiệt BME280 tr.25 để viết bước 5')</t>
        </is>
      </c>
      <c r="E61" s="42" t="inlineStr">
        <is>
          <t>— (bước của người / không gọi năng lực)</t>
        </is>
      </c>
      <c r="F61" s="42" t="inlineStr">
        <is>
          <t>Hàng đợi xác nhận / Trò chuyện</t>
        </is>
      </c>
      <c r="G61" s="42" t="inlineStr"/>
    </row>
    <row r="62">
      <c r="A62" s="43" t="inlineStr">
        <is>
          <t>UC-B07</t>
        </is>
      </c>
      <c r="B62" s="43" t="n">
        <v>2</v>
      </c>
      <c r="C62" s="43" t="inlineStr">
        <is>
          <t>K</t>
        </is>
      </c>
      <c r="D62" s="43" t="inlineStr">
        <is>
          <t>Tạo yêu cầu; liên kết với Feature/STEP đang làm</t>
        </is>
      </c>
      <c r="E62" s="43" t="inlineStr">
        <is>
          <t>— (bước của người / không gọi năng lực)</t>
        </is>
      </c>
      <c r="F62" s="43" t="inlineStr">
        <is>
          <t>Hàng đợi xác nhận / Trò chuyện</t>
        </is>
      </c>
      <c r="G62" s="43" t="inlineStr"/>
    </row>
    <row r="63">
      <c r="A63" s="42" t="inlineStr">
        <is>
          <t>UC-B07</t>
        </is>
      </c>
      <c r="B63" s="42" t="n">
        <v>3</v>
      </c>
      <c r="C63" s="42" t="inlineStr">
        <is>
          <t>T</t>
        </is>
      </c>
      <c r="D63" s="42" t="inlineStr">
        <is>
          <t>Thông báo trong chat và hàng đợi; đề nghị tìm (UC-B08) hoặc người cung cấp tệp</t>
        </is>
      </c>
      <c r="E63" s="42" t="inlineStr">
        <is>
          <t>— (bước của người / không gọi năng lực)</t>
        </is>
      </c>
      <c r="F63" s="42" t="inlineStr">
        <is>
          <t>Hàng đợi xác nhận / Trò chuyện</t>
        </is>
      </c>
      <c r="G63" s="42" t="inlineStr"/>
    </row>
    <row r="64">
      <c r="A64" s="43" t="inlineStr">
        <is>
          <t>UC-B07</t>
        </is>
      </c>
      <c r="B64" s="43" t="n">
        <v>4</v>
      </c>
      <c r="C64" s="43" t="inlineStr">
        <is>
          <t>N</t>
        </is>
      </c>
      <c r="D64" s="43" t="inlineStr">
        <is>
          <t>Chọn: tìm tự động / tôi có tệp / bỏ qua (ghi lý do)</t>
        </is>
      </c>
      <c r="E64" s="43" t="inlineStr">
        <is>
          <t>— (bước của người / không gọi năng lực)</t>
        </is>
      </c>
      <c r="F64" s="43" t="inlineStr">
        <is>
          <t>Hàng đợi xác nhận / Trò chuyện</t>
        </is>
      </c>
      <c r="G64" s="43" t="inlineStr"/>
    </row>
    <row r="65">
      <c r="A65" s="42" t="inlineStr">
        <is>
          <t>UC-B08</t>
        </is>
      </c>
      <c r="B65" s="42" t="n">
        <v>1</v>
      </c>
      <c r="C65" s="42" t="inlineStr">
        <is>
          <t>T</t>
        </is>
      </c>
      <c r="D65" s="42" t="inlineStr">
        <is>
          <t>Tìm registry nội bộ theo part/MPN</t>
        </is>
      </c>
      <c r="E65" s="42" t="inlineStr">
        <is>
          <t>— (bước của người / không gọi năng lực)</t>
        </is>
      </c>
      <c r="F65" s="42" t="inlineStr">
        <is>
          <t>Hàng đợi xác nhận</t>
        </is>
      </c>
      <c r="G65" s="42" t="inlineStr"/>
    </row>
    <row r="66">
      <c r="A66" s="43" t="inlineStr">
        <is>
          <t>UC-B08</t>
        </is>
      </c>
      <c r="B66" s="43" t="n">
        <v>2</v>
      </c>
      <c r="C66" s="43" t="inlineStr">
        <is>
          <t>T</t>
        </is>
      </c>
      <c r="D66" s="43" t="inlineStr">
        <is>
          <t>Tìm kho hãng theo mẫu URL đã biết (CMSIS pack, Microchip pack, Bosch, ST) và docs MCP (Espressif/Nordic)</t>
        </is>
      </c>
      <c r="E66" s="43" t="inlineStr">
        <is>
          <t>— (bước của người / không gọi năng lực)</t>
        </is>
      </c>
      <c r="F66" s="43" t="inlineStr">
        <is>
          <t>Hàng đợi xác nhận</t>
        </is>
      </c>
      <c r="G66" s="43" t="inlineStr"/>
    </row>
    <row r="67">
      <c r="A67" s="42" t="inlineStr">
        <is>
          <t>UC-B08</t>
        </is>
      </c>
      <c r="B67" s="42" t="n">
        <v>3</v>
      </c>
      <c r="C67" s="42" t="inlineStr">
        <is>
          <t>T</t>
        </is>
      </c>
      <c r="D67" s="42" t="inlineStr">
        <is>
          <t>Tìm web (chỉ khi cho phép): ưu tiên tên miền hãng; lấy kích thước, ngày, license nếu đọc được; hash nếu HEAD/tải nhỏ</t>
        </is>
      </c>
      <c r="E67" s="42" t="inlineStr">
        <is>
          <t>search.fetch (suy ra)</t>
        </is>
      </c>
      <c r="F67" s="42" t="inlineStr">
        <is>
          <t>Hàng đợi xác nhận</t>
        </is>
      </c>
      <c r="G67" s="42" t="inlineStr"/>
    </row>
    <row r="68">
      <c r="A68" s="43" t="inlineStr">
        <is>
          <t>UC-B08</t>
        </is>
      </c>
      <c r="B68" s="43" t="n">
        <v>4</v>
      </c>
      <c r="C68" s="43" t="inlineStr">
        <is>
          <t>K</t>
        </is>
      </c>
      <c r="D68" s="43" t="inlineStr">
        <is>
          <t>Xếp hạng theo tầng dự kiến (vàng &gt; bạc &gt; đồng) và tên miền; loại trùng</t>
        </is>
      </c>
      <c r="E68" s="43" t="inlineStr">
        <is>
          <t>— (bước của người / không gọi năng lực)</t>
        </is>
      </c>
      <c r="F68" s="43" t="inlineStr">
        <is>
          <t>Hàng đợi xác nhận</t>
        </is>
      </c>
      <c r="G68" s="43" t="inlineStr"/>
    </row>
    <row r="69">
      <c r="A69" s="42" t="inlineStr">
        <is>
          <t>UC-B08</t>
        </is>
      </c>
      <c r="B69" s="42" t="n">
        <v>5</v>
      </c>
      <c r="C69" s="42" t="inlineStr">
        <is>
          <t>T</t>
        </is>
      </c>
      <c r="D69" s="42" t="inlineStr">
        <is>
          <t>Trình bày cho người kèm lý do chọn từng ứng viên (UC-B09)</t>
        </is>
      </c>
      <c r="E69" s="42" t="inlineStr">
        <is>
          <t>— (bước của người / không gọi năng lực)</t>
        </is>
      </c>
      <c r="F69" s="42" t="inlineStr">
        <is>
          <t>Hàng đợi xác nhận</t>
        </is>
      </c>
      <c r="G69" s="42" t="inlineStr"/>
    </row>
    <row r="70">
      <c r="A70" s="43" t="inlineStr">
        <is>
          <t>UC-B09</t>
        </is>
      </c>
      <c r="B70" s="43" t="n">
        <v>1</v>
      </c>
      <c r="C70" s="43" t="inlineStr">
        <is>
          <t>N</t>
        </is>
      </c>
      <c r="D70" s="43" t="inlineStr">
        <is>
          <t>Mở mục G-SRC; xem từng ứng viên: nguồn, tên miền, ngày, kích thước, license, tầng dự kiến, lý do của Librarian</t>
        </is>
      </c>
      <c r="E70" s="43" t="inlineStr">
        <is>
          <t>— (bước của người / không gọi năng lực)</t>
        </is>
      </c>
      <c r="F70" s="43" t="inlineStr">
        <is>
          <t>Hàng đợi xác nhận</t>
        </is>
      </c>
      <c r="G70" s="43" t="inlineStr"/>
    </row>
    <row r="71">
      <c r="A71" s="42" t="inlineStr">
        <is>
          <t>UC-B09</t>
        </is>
      </c>
      <c r="B71" s="42" t="n">
        <v>2</v>
      </c>
      <c r="C71" s="42" t="inlineStr">
        <is>
          <t>N</t>
        </is>
      </c>
      <c r="D71" s="42" t="inlineStr">
        <is>
          <t>Chọn một hoặc nhiều; loại; hoặc 'tôi tự đưa tệp'</t>
        </is>
      </c>
      <c r="E71" s="42" t="inlineStr">
        <is>
          <t>— (bước của người / không gọi năng lực)</t>
        </is>
      </c>
      <c r="F71" s="42" t="inlineStr">
        <is>
          <t>Hàng đợi xác nhận</t>
        </is>
      </c>
      <c r="G71" s="42" t="inlineStr">
        <is>
          <t>G-SRC</t>
        </is>
      </c>
    </row>
    <row r="72">
      <c r="A72" s="43" t="inlineStr">
        <is>
          <t>UC-B09</t>
        </is>
      </c>
      <c r="B72" s="43" t="n">
        <v>3</v>
      </c>
      <c r="C72" s="43" t="inlineStr">
        <is>
          <t>K</t>
        </is>
      </c>
      <c r="D72" s="43" t="inlineStr">
        <is>
          <t>Tải (trong sandbox, giới hạn dung lượng); tính sha256; kiểm khớp hash nếu ứng viên có hash</t>
        </is>
      </c>
      <c r="E72" s="43" t="inlineStr">
        <is>
          <t>search.fetch (suy ra)</t>
        </is>
      </c>
      <c r="F72" s="43" t="inlineStr">
        <is>
          <t>Hàng đợi xác nhận</t>
        </is>
      </c>
      <c r="G72" s="43" t="inlineStr"/>
    </row>
    <row r="73">
      <c r="A73" s="42" t="inlineStr">
        <is>
          <t>UC-B09</t>
        </is>
      </c>
      <c r="B73" s="42" t="n">
        <v>4</v>
      </c>
      <c r="C73" s="42" t="inlineStr">
        <is>
          <t>K</t>
        </is>
      </c>
      <c r="D73" s="42" t="inlineStr">
        <is>
          <t>Tạo Source {uri, sha256, kind, tier, license}; yêu cầu → CONFIRMED; xếp hàng trích xuất</t>
        </is>
      </c>
      <c r="E73" s="42" t="inlineStr">
        <is>
          <t>— (bước của người / không gọi năng lực)</t>
        </is>
      </c>
      <c r="F73" s="42" t="inlineStr">
        <is>
          <t>Hàng đợi xác nhận</t>
        </is>
      </c>
      <c r="G73" s="42" t="inlineStr"/>
    </row>
    <row r="74">
      <c r="A74" s="43" t="inlineStr">
        <is>
          <t>UC-B09</t>
        </is>
      </c>
      <c r="B74" s="43" t="n">
        <v>5</v>
      </c>
      <c r="C74" s="43" t="inlineStr">
        <is>
          <t>T</t>
        </is>
      </c>
      <c r="D74" s="43" t="inlineStr">
        <is>
          <t>Librarian tóm tắt nội dung nguồn đã tải (mục lục, số trang, có bảng thanh ghi?) để người biết đã đúng tài liệu chưa</t>
        </is>
      </c>
      <c r="E74" s="43" t="inlineStr">
        <is>
          <t>search.fetch (suy ra)</t>
        </is>
      </c>
      <c r="F74" s="43" t="inlineStr">
        <is>
          <t>Hàng đợi xác nhận</t>
        </is>
      </c>
      <c r="G74" s="43" t="inlineStr"/>
    </row>
    <row r="75">
      <c r="A75" s="42" t="inlineStr">
        <is>
          <t>UC-B09</t>
        </is>
      </c>
      <c r="B75" s="42" t="n">
        <v>6</v>
      </c>
      <c r="C75" s="42" t="inlineStr">
        <is>
          <t>N</t>
        </is>
      </c>
      <c r="D75" s="42" t="inlineStr">
        <is>
          <t>Xác nhận 'đúng tài liệu' → trích xuất; hoặc 'sai' → REJECTED và tìm lại</t>
        </is>
      </c>
      <c r="E75" s="42" t="inlineStr">
        <is>
          <t>— (bước của người / không gọi năng lực)</t>
        </is>
      </c>
      <c r="F75" s="42" t="inlineStr">
        <is>
          <t>Hàng đợi xác nhận</t>
        </is>
      </c>
      <c r="G75" s="42" t="inlineStr"/>
    </row>
    <row r="76">
      <c r="A76" s="43" t="inlineStr">
        <is>
          <t>UC-B10</t>
        </is>
      </c>
      <c r="B76" s="43" t="n">
        <v>1</v>
      </c>
      <c r="C76" s="43" t="inlineStr">
        <is>
          <t>N</t>
        </is>
      </c>
      <c r="D76" s="43" t="inlineStr">
        <is>
          <t>Mở nhóm (thanh ghi / chân / điện / errata); xem bảng fact + ảnh cắt trang tương ứng</t>
        </is>
      </c>
      <c r="E76" s="43" t="inlineStr">
        <is>
          <t>extract.image_schematic (suy ra)</t>
        </is>
      </c>
      <c r="F76" s="43" t="inlineStr">
        <is>
          <t>Hàng đợi xác nhận</t>
        </is>
      </c>
      <c r="G76" s="43" t="inlineStr"/>
    </row>
    <row r="77">
      <c r="A77" s="42" t="inlineStr">
        <is>
          <t>UC-B10</t>
        </is>
      </c>
      <c r="B77" s="42" t="n">
        <v>2</v>
      </c>
      <c r="C77" s="42" t="inlineStr">
        <is>
          <t>N</t>
        </is>
      </c>
      <c r="D77" s="42" t="inlineStr">
        <is>
          <t>Chấp nhận cả nhóm, hoặc bỏ chọn/sửa từng fact (sửa = fact mới supersedes)</t>
        </is>
      </c>
      <c r="E77" s="42" t="inlineStr">
        <is>
          <t>— (bước của người / không gọi năng lực)</t>
        </is>
      </c>
      <c r="F77" s="42" t="inlineStr">
        <is>
          <t>Hàng đợi xác nhận</t>
        </is>
      </c>
      <c r="G77" s="42" t="inlineStr">
        <is>
          <t>G-FACT</t>
        </is>
      </c>
    </row>
    <row r="78">
      <c r="A78" s="43" t="inlineStr">
        <is>
          <t>UC-B10</t>
        </is>
      </c>
      <c r="B78" s="43" t="n">
        <v>3</v>
      </c>
      <c r="C78" s="43" t="inlineStr">
        <is>
          <t>K</t>
        </is>
      </c>
      <c r="D78" s="43" t="inlineStr">
        <is>
          <t>Ghi status reviewed, confirmed_by; cập nhật đồ thị; chạy kg.impact cho fact bị thay</t>
        </is>
      </c>
      <c r="E78" s="43" t="inlineStr">
        <is>
          <t>kg.impact</t>
        </is>
      </c>
      <c r="F78" s="43" t="inlineStr">
        <is>
          <t>Hàng đợi xác nhận</t>
        </is>
      </c>
      <c r="G78" s="43" t="inlineStr"/>
    </row>
    <row r="79">
      <c r="A79" s="42" t="inlineStr">
        <is>
          <t>UC-B10</t>
        </is>
      </c>
      <c r="B79" s="42" t="n">
        <v>4</v>
      </c>
      <c r="C79" s="42" t="inlineStr">
        <is>
          <t>K</t>
        </is>
      </c>
      <c r="D79" s="42" t="inlineStr">
        <is>
          <t>Fact bị loại → REJECTED kèm ghi chú; extractor có thể chạy lại với gợi ý</t>
        </is>
      </c>
      <c r="E79" s="42" t="inlineStr">
        <is>
          <t>— (bước của người / không gọi năng lực)</t>
        </is>
      </c>
      <c r="F79" s="42" t="inlineStr">
        <is>
          <t>Hàng đợi xác nhận</t>
        </is>
      </c>
      <c r="G79" s="42" t="inlineStr"/>
    </row>
    <row r="80">
      <c r="A80" s="43" t="inlineStr">
        <is>
          <t>UC-B10</t>
        </is>
      </c>
      <c r="B80" s="43" t="n">
        <v>5</v>
      </c>
      <c r="C80" s="43" t="inlineStr">
        <is>
          <t>T</t>
        </is>
      </c>
      <c r="D80" s="43" t="inlineStr">
        <is>
          <t>Librarian báo tổng kết và bước tiếp (kiểm định trên board UC-B12 nếu có board)</t>
        </is>
      </c>
      <c r="E80" s="43" t="inlineStr">
        <is>
          <t>passport.verify_on_board (suy ra)</t>
        </is>
      </c>
      <c r="F80" s="43" t="inlineStr">
        <is>
          <t>Hàng đợi xác nhận</t>
        </is>
      </c>
      <c r="G80" s="43" t="inlineStr"/>
    </row>
    <row r="81">
      <c r="A81" s="42" t="inlineStr">
        <is>
          <t>UC-B11</t>
        </is>
      </c>
      <c r="B81" s="42" t="n">
        <v>1</v>
      </c>
      <c r="C81" s="42" t="inlineStr">
        <is>
          <t>K</t>
        </is>
      </c>
      <c r="D81" s="42" t="inlineStr">
        <is>
          <t>Liệt kê cặp mâu thuẫn: giá trị, nguồn, tier, ngày, ảnh cắt</t>
        </is>
      </c>
      <c r="E81" s="42" t="inlineStr">
        <is>
          <t>extract.image_schematic (suy ra)</t>
        </is>
      </c>
      <c r="F81" s="42" t="inlineStr">
        <is>
          <t>Hàng đợi xác nhận / Hộ chiếu chip</t>
        </is>
      </c>
      <c r="G81" s="42" t="inlineStr"/>
    </row>
    <row r="82">
      <c r="A82" s="43" t="inlineStr">
        <is>
          <t>UC-B11</t>
        </is>
      </c>
      <c r="B82" s="43" t="n">
        <v>2</v>
      </c>
      <c r="C82" s="43" t="inlineStr">
        <is>
          <t>T</t>
        </is>
      </c>
      <c r="D82" s="43" t="inlineStr">
        <is>
          <t>Librarian phân tích: khác phiên bản tài liệu? lỗi trích xuất? khác biến thể chip?</t>
        </is>
      </c>
      <c r="E82" s="43" t="inlineStr">
        <is>
          <t>— (bước của người / không gọi năng lực)</t>
        </is>
      </c>
      <c r="F82" s="43" t="inlineStr">
        <is>
          <t>Hàng đợi xác nhận / Hộ chiếu chip</t>
        </is>
      </c>
      <c r="G82" s="43" t="inlineStr"/>
    </row>
    <row r="83">
      <c r="A83" s="42" t="inlineStr">
        <is>
          <t>UC-B11</t>
        </is>
      </c>
      <c r="B83" s="42" t="n">
        <v>3</v>
      </c>
      <c r="C83" s="42" t="inlineStr">
        <is>
          <t>N</t>
        </is>
      </c>
      <c r="D83" s="42" t="inlineStr">
        <is>
          <t>Chọn: giữ A / giữ B / cả hai theo điều kiện (ví dụ theo revision) / kiểm định trên board</t>
        </is>
      </c>
      <c r="E83" s="42" t="inlineStr">
        <is>
          <t>passport.verify_on_board (suy ra)</t>
        </is>
      </c>
      <c r="F83" s="42" t="inlineStr">
        <is>
          <t>Hàng đợi xác nhận / Hộ chiếu chip</t>
        </is>
      </c>
      <c r="G83" s="42" t="inlineStr">
        <is>
          <t>G-FACT</t>
        </is>
      </c>
    </row>
    <row r="84">
      <c r="A84" s="43" t="inlineStr">
        <is>
          <t>UC-B11</t>
        </is>
      </c>
      <c r="B84" s="43" t="n">
        <v>4</v>
      </c>
      <c r="C84" s="43" t="inlineStr">
        <is>
          <t>K</t>
        </is>
      </c>
      <c r="D84" s="43" t="inlineStr">
        <is>
          <t>Áp dụng: supersedes hoặc thêm điều kiện; đóng conflict; kg.impact</t>
        </is>
      </c>
      <c r="E84" s="43" t="inlineStr">
        <is>
          <t>kg.impact</t>
        </is>
      </c>
      <c r="F84" s="43" t="inlineStr">
        <is>
          <t>Hàng đợi xác nhận / Hộ chiếu chip</t>
        </is>
      </c>
      <c r="G84" s="43" t="inlineStr"/>
    </row>
    <row r="85">
      <c r="A85" s="42" t="inlineStr">
        <is>
          <t>UC-B12</t>
        </is>
      </c>
      <c r="B85" s="42" t="n">
        <v>1</v>
      </c>
      <c r="C85" s="42" t="inlineStr">
        <is>
          <t>T</t>
        </is>
      </c>
      <c r="D85" s="42" t="inlineStr">
        <is>
          <t>Tester sinh firmware kiểm định từ hộ chiếu: đọc ID chip (DBGMCU_IDCODE / signature), toggle GPIO có LED theo BoardPassport, UART echo</t>
        </is>
      </c>
      <c r="E85" s="42" t="inlineStr">
        <is>
          <t>passport.verify_on_board (suy ra)</t>
        </is>
      </c>
      <c r="F85" s="42" t="inlineStr">
        <is>
          <t>Hộ chiếu chip / Gỡ lỗi probe</t>
        </is>
      </c>
      <c r="G85" s="42" t="inlineStr"/>
    </row>
    <row r="86">
      <c r="A86" s="43" t="inlineStr">
        <is>
          <t>UC-B12</t>
        </is>
      </c>
      <c r="B86" s="43" t="n">
        <v>2</v>
      </c>
      <c r="C86" s="43" t="inlineStr">
        <is>
          <t>H</t>
        </is>
      </c>
      <c r="D86" s="43" t="inlineStr">
        <is>
          <t>Build (4 cổng)</t>
        </is>
      </c>
      <c r="E86" s="43" t="inlineStr">
        <is>
          <t>code.build (suy ra)</t>
        </is>
      </c>
      <c r="F86" s="43" t="inlineStr">
        <is>
          <t>Hộ chiếu chip / Gỡ lỗi probe</t>
        </is>
      </c>
      <c r="G86" s="43" t="inlineStr"/>
    </row>
    <row r="87">
      <c r="A87" s="42" t="inlineStr">
        <is>
          <t>UC-B12</t>
        </is>
      </c>
      <c r="B87" s="42" t="n">
        <v>3</v>
      </c>
      <c r="C87" s="42" t="inlineStr">
        <is>
          <t>N</t>
        </is>
      </c>
      <c r="D87" s="42" t="inlineStr">
        <is>
          <t>Cấp quyền nạp</t>
        </is>
      </c>
      <c r="E87" s="42" t="inlineStr">
        <is>
          <t>target.flash (suy ra)</t>
        </is>
      </c>
      <c r="F87" s="42" t="inlineStr">
        <is>
          <t>Hộ chiếu chip / Gỡ lỗi probe</t>
        </is>
      </c>
      <c r="G87" s="42" t="inlineStr">
        <is>
          <t>G-OPS</t>
        </is>
      </c>
    </row>
    <row r="88">
      <c r="A88" s="43" t="inlineStr">
        <is>
          <t>UC-B12</t>
        </is>
      </c>
      <c r="B88" s="43" t="n">
        <v>4</v>
      </c>
      <c r="C88" s="43" t="inlineStr">
        <is>
          <t>H</t>
        </is>
      </c>
      <c r="D88" s="43" t="inlineStr">
        <is>
          <t>Nạp; đọc serial/RTT; probe đọc thanh ghi ID nếu có</t>
        </is>
      </c>
      <c r="E88" s="43" t="inlineStr">
        <is>
          <t>target.flash (suy ra)</t>
        </is>
      </c>
      <c r="F88" s="43" t="inlineStr">
        <is>
          <t>Hộ chiếu chip / Gỡ lỗi probe</t>
        </is>
      </c>
      <c r="G88" s="43" t="inlineStr"/>
    </row>
    <row r="89">
      <c r="A89" s="42" t="inlineStr">
        <is>
          <t>UC-B12</t>
        </is>
      </c>
      <c r="B89" s="42" t="n">
        <v>5</v>
      </c>
      <c r="C89" s="42" t="inlineStr">
        <is>
          <t>K</t>
        </is>
      </c>
      <c r="D89" s="42" t="inlineStr">
        <is>
          <t>So sánh với hộ chiếu; gắn badge; fact khớp → verified; fact sai → conflict + DebugSession</t>
        </is>
      </c>
      <c r="E89" s="42" t="inlineStr">
        <is>
          <t>— (bước của người / không gọi năng lực)</t>
        </is>
      </c>
      <c r="F89" s="42" t="inlineStr">
        <is>
          <t>Hộ chiếu chip / Gỡ lỗi probe</t>
        </is>
      </c>
      <c r="G89" s="42" t="inlineStr"/>
    </row>
    <row r="90">
      <c r="A90" s="43" t="inlineStr">
        <is>
          <t>UC-B12</t>
        </is>
      </c>
      <c r="B90" s="43" t="n">
        <v>6</v>
      </c>
      <c r="C90" s="43" t="inlineStr">
        <is>
          <t>N</t>
        </is>
      </c>
      <c r="D90" s="43" t="inlineStr">
        <is>
          <t>Xác nhận quan sát (LED nháy) nếu kịch bản có</t>
        </is>
      </c>
      <c r="E90" s="43" t="inlineStr">
        <is>
          <t>target.observe (suy ra)</t>
        </is>
      </c>
      <c r="F90" s="43" t="inlineStr">
        <is>
          <t>Hộ chiếu chip / Gỡ lỗi probe</t>
        </is>
      </c>
      <c r="G90" s="43" t="inlineStr">
        <is>
          <t>G4</t>
        </is>
      </c>
    </row>
    <row r="91">
      <c r="A91" s="42" t="inlineStr">
        <is>
          <t>UC-B13</t>
        </is>
      </c>
      <c r="B91" s="42" t="n">
        <v>1</v>
      </c>
      <c r="C91" s="42" t="inlineStr">
        <is>
          <t>K</t>
        </is>
      </c>
      <c r="D91" s="42" t="inlineStr">
        <is>
          <t>Nhập phiên bản mới thành hộ chiếu riêng (không đụng bản ghim)</t>
        </is>
      </c>
      <c r="E91" s="42" t="inlineStr">
        <is>
          <t>— (bước của người / không gọi năng lực)</t>
        </is>
      </c>
      <c r="F91" s="42" t="inlineStr">
        <is>
          <t>Hộ chiếu chip</t>
        </is>
      </c>
      <c r="G91" s="42" t="inlineStr"/>
    </row>
    <row r="92">
      <c r="A92" s="43" t="inlineStr">
        <is>
          <t>UC-B13</t>
        </is>
      </c>
      <c r="B92" s="43" t="n">
        <v>2</v>
      </c>
      <c r="C92" s="43" t="inlineStr">
        <is>
          <t>K</t>
        </is>
      </c>
      <c r="D92" s="43" t="inlineStr">
        <is>
          <t>Diff: fact thêm/bớt/đổi; kg.impact cho fact đổi → CodeUnit stale, Feature cần tái kiểm</t>
        </is>
      </c>
      <c r="E92" s="43" t="inlineStr">
        <is>
          <t>kg.impact</t>
        </is>
      </c>
      <c r="F92" s="43" t="inlineStr">
        <is>
          <t>Hộ chiếu chip</t>
        </is>
      </c>
      <c r="G92" s="43" t="inlineStr"/>
    </row>
    <row r="93">
      <c r="A93" s="42" t="inlineStr">
        <is>
          <t>UC-B13</t>
        </is>
      </c>
      <c r="B93" s="42" t="n">
        <v>3</v>
      </c>
      <c r="C93" s="42" t="inlineStr">
        <is>
          <t>T</t>
        </is>
      </c>
      <c r="D93" s="42" t="inlineStr">
        <is>
          <t>Librarian tóm tắt rủi ro: 'CR1.SWRST đổi mô tả; 2 module trích dẫn'</t>
        </is>
      </c>
      <c r="E93" s="42" t="inlineStr">
        <is>
          <t>— (bước của người / không gọi năng lực)</t>
        </is>
      </c>
      <c r="F93" s="42" t="inlineStr">
        <is>
          <t>Hộ chiếu chip</t>
        </is>
      </c>
      <c r="G93" s="42" t="inlineStr"/>
    </row>
    <row r="94">
      <c r="A94" s="43" t="inlineStr">
        <is>
          <t>UC-B13</t>
        </is>
      </c>
      <c r="B94" s="43" t="n">
        <v>4</v>
      </c>
      <c r="C94" s="43" t="inlineStr">
        <is>
          <t>N</t>
        </is>
      </c>
      <c r="D94" s="43" t="inlineStr">
        <is>
          <t>Quyết định nâng ghim hay giữ</t>
        </is>
      </c>
      <c r="E94" s="43" t="inlineStr">
        <is>
          <t>— (bước của người / không gọi năng lực)</t>
        </is>
      </c>
      <c r="F94" s="43" t="inlineStr">
        <is>
          <t>Hộ chiếu chip</t>
        </is>
      </c>
      <c r="G94" s="43" t="inlineStr">
        <is>
          <t>G1</t>
        </is>
      </c>
    </row>
    <row r="95">
      <c r="A95" s="42" t="inlineStr">
        <is>
          <t>UC-B13</t>
        </is>
      </c>
      <c r="B95" s="42" t="n">
        <v>5</v>
      </c>
      <c r="C95" s="42" t="inlineStr">
        <is>
          <t>K</t>
        </is>
      </c>
      <c r="D95" s="42" t="inlineStr">
        <is>
          <t>Nếu nâng: cập nhật constraints.yaml pins; đưa Feature bị ảnh hưởng về failing để chạy lại P4</t>
        </is>
      </c>
      <c r="E95" s="42" t="inlineStr">
        <is>
          <t>extract.image_schematic (suy ra)</t>
        </is>
      </c>
      <c r="F95" s="42" t="inlineStr">
        <is>
          <t>Hộ chiếu chip</t>
        </is>
      </c>
      <c r="G95" s="42" t="inlineStr"/>
    </row>
    <row r="96">
      <c r="A96" s="43" t="inlineStr">
        <is>
          <t>UC-B14</t>
        </is>
      </c>
      <c r="B96" s="43" t="n">
        <v>1</v>
      </c>
      <c r="C96" s="43" t="inlineStr">
        <is>
          <t>T</t>
        </is>
      </c>
      <c r="D96" s="43" t="inlineStr">
        <is>
          <t>Hiểu câu hỏi → subject/predicate dự kiến (ví dụ 'tốc độ I2C1' → I2C1/CCR)</t>
        </is>
      </c>
      <c r="E96" s="43" t="inlineStr">
        <is>
          <t>chat.clarify (suy ra)</t>
        </is>
      </c>
      <c r="F96" s="43" t="inlineStr">
        <is>
          <t>Mọi màn hình (thanh tìm) / Trò chuyện</t>
        </is>
      </c>
      <c r="G96" s="43" t="inlineStr"/>
    </row>
    <row r="97">
      <c r="A97" s="42" t="inlineStr">
        <is>
          <t>UC-B14</t>
        </is>
      </c>
      <c r="B97" s="42" t="n">
        <v>2</v>
      </c>
      <c r="C97" s="42" t="inlineStr">
        <is>
          <t>K</t>
        </is>
      </c>
      <c r="D97" s="42" t="inlineStr">
        <is>
          <t>passport.query + kg.neighborhood; Graph-RAG lấy fact liên quan</t>
        </is>
      </c>
      <c r="E97" s="42" t="inlineStr">
        <is>
          <t>kg.neighborhood, passport.query</t>
        </is>
      </c>
      <c r="F97" s="42" t="inlineStr">
        <is>
          <t>Mọi màn hình (thanh tìm) / Trò chuyện</t>
        </is>
      </c>
      <c r="G97" s="42" t="inlineStr"/>
    </row>
    <row r="98">
      <c r="A98" s="43" t="inlineStr">
        <is>
          <t>UC-B14</t>
        </is>
      </c>
      <c r="B98" s="43" t="n">
        <v>3</v>
      </c>
      <c r="C98" s="43" t="inlineStr">
        <is>
          <t>T</t>
        </is>
      </c>
      <c r="D98" s="43" t="inlineStr">
        <is>
          <t>Soạn câu trả lời ngắn có trích dẫn [fact id · nguồn · trang]; nêu tầng và trạng thái (chưa duyệt → cảnh báo)</t>
        </is>
      </c>
      <c r="E98" s="43" t="inlineStr">
        <is>
          <t>extract.image_schematic (suy ra)</t>
        </is>
      </c>
      <c r="F98" s="43" t="inlineStr">
        <is>
          <t>Mọi màn hình (thanh tìm) / Trò chuyện</t>
        </is>
      </c>
      <c r="G98" s="43" t="inlineStr"/>
    </row>
    <row r="99">
      <c r="A99" s="42" t="inlineStr">
        <is>
          <t>UC-B14</t>
        </is>
      </c>
      <c r="B99" s="42" t="n">
        <v>4</v>
      </c>
      <c r="C99" s="42" t="inlineStr">
        <is>
          <t>K</t>
        </is>
      </c>
      <c r="D99" s="42" t="inlineStr">
        <is>
          <t>Ghi ledger; nếu người bấm 'đúng/sai' → phản hồi vào K7</t>
        </is>
      </c>
      <c r="E99" s="42" t="inlineStr">
        <is>
          <t>— (bước của người / không gọi năng lực)</t>
        </is>
      </c>
      <c r="F99" s="42" t="inlineStr">
        <is>
          <t>Mọi màn hình (thanh tìm) / Trò chuyện</t>
        </is>
      </c>
      <c r="G99" s="42" t="inlineStr"/>
    </row>
    <row r="100">
      <c r="A100" s="43" t="inlineStr">
        <is>
          <t>UC-C01</t>
        </is>
      </c>
      <c r="B100" s="43" t="n">
        <v>1</v>
      </c>
      <c r="C100" s="43" t="inlineStr">
        <is>
          <t>K</t>
        </is>
      </c>
      <c r="D100" s="43" t="inlineStr">
        <is>
          <t>Tập tài nguyên kế hoạch sẽ dùng ∩ tập đã USES; chân reserved/boot</t>
        </is>
      </c>
      <c r="E100" s="43" t="inlineStr">
        <is>
          <t>plan.create (suy ra)</t>
        </is>
      </c>
      <c r="F100" s="43" t="inlineStr">
        <is>
          <t>Hộ chiếu mạch / Kế hoạch</t>
        </is>
      </c>
      <c r="G100" s="43" t="inlineStr"/>
    </row>
    <row r="101">
      <c r="A101" s="42" t="inlineStr">
        <is>
          <t>UC-C01</t>
        </is>
      </c>
      <c r="B101" s="42" t="n">
        <v>2</v>
      </c>
      <c r="C101" s="42" t="inlineStr">
        <is>
          <t>T</t>
        </is>
      </c>
      <c r="D101" s="42" t="inlineStr">
        <is>
          <t>Cartographer đề xuất phương án (remap AF, đổi chân, đổi ngoại vi)</t>
        </is>
      </c>
      <c r="E101" s="42" t="inlineStr">
        <is>
          <t>— (bước của người / không gọi năng lực)</t>
        </is>
      </c>
      <c r="F101" s="42" t="inlineStr">
        <is>
          <t>Hộ chiếu mạch / Kế hoạch</t>
        </is>
      </c>
      <c r="G101" s="42" t="inlineStr"/>
    </row>
    <row r="102">
      <c r="A102" s="43" t="inlineStr">
        <is>
          <t>UC-C01</t>
        </is>
      </c>
      <c r="B102" s="43" t="n">
        <v>3</v>
      </c>
      <c r="C102" s="43" t="inlineStr">
        <is>
          <t>N</t>
        </is>
      </c>
      <c r="D102" s="43" t="inlineStr">
        <is>
          <t>Chọn phương án hoặc 'bỏ qua có lý do'</t>
        </is>
      </c>
      <c r="E102" s="43" t="inlineStr">
        <is>
          <t>— (bước của người / không gọi năng lực)</t>
        </is>
      </c>
      <c r="F102" s="43" t="inlineStr">
        <is>
          <t>Hộ chiếu mạch / Kế hoạch</t>
        </is>
      </c>
      <c r="G102" s="43" t="inlineStr">
        <is>
          <t>G1</t>
        </is>
      </c>
    </row>
    <row r="103">
      <c r="A103" s="42" t="inlineStr">
        <is>
          <t>UC-C01</t>
        </is>
      </c>
      <c r="B103" s="42" t="n">
        <v>4</v>
      </c>
      <c r="C103" s="42" t="inlineStr">
        <is>
          <t>K</t>
        </is>
      </c>
      <c r="D103" s="42" t="inlineStr">
        <is>
          <t>Ghi quyết định vào K6 (constraints) và ledger</t>
        </is>
      </c>
      <c r="E103" s="42" t="inlineStr">
        <is>
          <t>— (bước của người / không gọi năng lực)</t>
        </is>
      </c>
      <c r="F103" s="42" t="inlineStr">
        <is>
          <t>Hộ chiếu mạch / Kế hoạch</t>
        </is>
      </c>
      <c r="G103" s="42" t="inlineStr"/>
    </row>
    <row r="104">
      <c r="A104" s="43" t="inlineStr">
        <is>
          <t>UC-D01</t>
        </is>
      </c>
      <c r="B104" s="43" t="n">
        <v>1</v>
      </c>
      <c r="C104" s="43" t="inlineStr">
        <is>
          <t>N</t>
        </is>
      </c>
      <c r="D104" s="43" t="inlineStr">
        <is>
          <t>Ra lệnh: 'viết firmware đọc nhiệt độ BME280 qua I2C1, phát UART2 mỗi 500 ms, không float trong ISR' (hoặc lệnh lớn: 'làm toàn bộ firmware cho board này theo tài liệu')</t>
        </is>
      </c>
      <c r="E104" s="43" t="inlineStr">
        <is>
          <t>chat.parse_intent (suy ra)</t>
        </is>
      </c>
      <c r="F104" s="43" t="inlineStr">
        <is>
          <t>Trò chuyện / Tổng quan</t>
        </is>
      </c>
      <c r="G104" s="43" t="inlineStr">
        <is>
          <t>Lệnh</t>
        </is>
      </c>
    </row>
    <row r="105">
      <c r="A105" s="42" t="inlineStr">
        <is>
          <t>UC-D01</t>
        </is>
      </c>
      <c r="B105" s="42" t="n">
        <v>2</v>
      </c>
      <c r="C105" s="42" t="inlineStr">
        <is>
          <t>T</t>
        </is>
      </c>
      <c r="D105" s="42" t="inlineStr">
        <is>
          <t>Planner chuẩn hóa thành Feature (tiêu đề, kỳ vọng quan sát được, ràng buộc) và hỏi lại điểm mơ hồ (tối đa 3 câu)</t>
        </is>
      </c>
      <c r="E105" s="42" t="inlineStr">
        <is>
          <t>target.observe (suy ra)</t>
        </is>
      </c>
      <c r="F105" s="42" t="inlineStr">
        <is>
          <t>Trò chuyện / Tổng quan</t>
        </is>
      </c>
      <c r="G105" s="42" t="inlineStr"/>
    </row>
    <row r="106">
      <c r="A106" s="43" t="inlineStr">
        <is>
          <t>UC-D01</t>
        </is>
      </c>
      <c r="B106" s="43" t="n">
        <v>3</v>
      </c>
      <c r="C106" s="43" t="inlineStr">
        <is>
          <t>K</t>
        </is>
      </c>
      <c r="D106" s="43" t="inlineStr">
        <is>
          <t>Ghi FEATURES.json (failing) và STEP.md</t>
        </is>
      </c>
      <c r="E106" s="43" t="inlineStr">
        <is>
          <t>— (bước của người / không gọi năng lực)</t>
        </is>
      </c>
      <c r="F106" s="43" t="inlineStr">
        <is>
          <t>Trò chuyện / Tổng quan</t>
        </is>
      </c>
      <c r="G106" s="43" t="inlineStr"/>
    </row>
    <row r="107">
      <c r="A107" s="42" t="inlineStr">
        <is>
          <t>UC-D02</t>
        </is>
      </c>
      <c r="B107" s="42" t="n">
        <v>1</v>
      </c>
      <c r="C107" s="42" t="inlineStr">
        <is>
          <t>K</t>
        </is>
      </c>
      <c r="D107" s="42" t="inlineStr">
        <is>
          <t>Composer: ràng buộc + skill (≤3) + fact Graph-RAG 2 bước + STEP</t>
        </is>
      </c>
      <c r="E107" s="42" t="inlineStr">
        <is>
          <t>— (bước của người / không gọi năng lực)</t>
        </is>
      </c>
      <c r="F107" s="42" t="inlineStr">
        <is>
          <t>Kế hoạch &amp; mã</t>
        </is>
      </c>
      <c r="G107" s="42" t="inlineStr"/>
    </row>
    <row r="108">
      <c r="A108" s="43" t="inlineStr">
        <is>
          <t>UC-D02</t>
        </is>
      </c>
      <c r="B108" s="43" t="n">
        <v>2</v>
      </c>
      <c r="C108" s="43" t="inlineStr">
        <is>
          <t>T</t>
        </is>
      </c>
      <c r="D108" s="43" t="inlineStr">
        <is>
          <t>Planner sinh Plan{steps[], citations[], missing[]}</t>
        </is>
      </c>
      <c r="E108" s="43" t="inlineStr">
        <is>
          <t>— (bước của người / không gọi năng lực)</t>
        </is>
      </c>
      <c r="F108" s="43" t="inlineStr">
        <is>
          <t>Kế hoạch &amp; mã</t>
        </is>
      </c>
      <c r="G108" s="43" t="inlineStr"/>
    </row>
    <row r="109">
      <c r="A109" s="42" t="inlineStr">
        <is>
          <t>UC-D02</t>
        </is>
      </c>
      <c r="B109" s="42" t="n">
        <v>3</v>
      </c>
      <c r="C109" s="42" t="inlineStr">
        <is>
          <t>K</t>
        </is>
      </c>
      <c r="D109" s="42" t="inlineStr">
        <is>
          <t>Validator: schema + fact id tồn tại + UC-C01 xung đột</t>
        </is>
      </c>
      <c r="E109" s="42" t="inlineStr">
        <is>
          <t>board.check_pins (suy ra)</t>
        </is>
      </c>
      <c r="F109" s="42" t="inlineStr">
        <is>
          <t>Kế hoạch &amp; mã</t>
        </is>
      </c>
      <c r="G109" s="42" t="inlineStr"/>
    </row>
    <row r="110">
      <c r="A110" s="43" t="inlineStr">
        <is>
          <t>UC-D02</t>
        </is>
      </c>
      <c r="B110" s="43" t="n">
        <v>4</v>
      </c>
      <c r="C110" s="43" t="inlineStr">
        <is>
          <t>T</t>
        </is>
      </c>
      <c r="D110" s="43" t="inlineStr">
        <is>
          <t>Nếu missing → UC-B07; nếu ok → trình G1 với trích dẫn và cảnh báo</t>
        </is>
      </c>
      <c r="E110" s="43" t="inlineStr">
        <is>
          <t>extract.image_schematic (suy ra)</t>
        </is>
      </c>
      <c r="F110" s="43" t="inlineStr">
        <is>
          <t>Kế hoạch &amp; mã</t>
        </is>
      </c>
      <c r="G110" s="43" t="inlineStr"/>
    </row>
    <row r="111">
      <c r="A111" s="42" t="inlineStr">
        <is>
          <t>UC-D02</t>
        </is>
      </c>
      <c r="B111" s="42" t="n">
        <v>5</v>
      </c>
      <c r="C111" s="42" t="inlineStr">
        <is>
          <t>N</t>
        </is>
      </c>
      <c r="D111" s="42" t="inlineStr">
        <is>
          <t>Duyệt/sửa thứ tự/ràng buộc</t>
        </is>
      </c>
      <c r="E111" s="42" t="inlineStr">
        <is>
          <t>— (bước của người / không gọi năng lực)</t>
        </is>
      </c>
      <c r="F111" s="42" t="inlineStr">
        <is>
          <t>Kế hoạch &amp; mã</t>
        </is>
      </c>
      <c r="G111" s="42" t="inlineStr">
        <is>
          <t>G1</t>
        </is>
      </c>
    </row>
    <row r="112">
      <c r="A112" s="43" t="inlineStr">
        <is>
          <t>UC-D02</t>
        </is>
      </c>
      <c r="B112" s="43" t="n">
        <v>6</v>
      </c>
      <c r="C112" s="43" t="inlineStr">
        <is>
          <t>K</t>
        </is>
      </c>
      <c r="D112" s="43" t="inlineStr">
        <is>
          <t>Tách Feature con; ledger</t>
        </is>
      </c>
      <c r="E112" s="43" t="inlineStr">
        <is>
          <t>— (bước của người / không gọi năng lực)</t>
        </is>
      </c>
      <c r="F112" s="43" t="inlineStr">
        <is>
          <t>Kế hoạch &amp; mã</t>
        </is>
      </c>
      <c r="G112" s="43" t="inlineStr"/>
    </row>
    <row r="113">
      <c r="A113" s="42" t="inlineStr">
        <is>
          <t>UC-D03</t>
        </is>
      </c>
      <c r="B113" s="42" t="n">
        <v>1</v>
      </c>
      <c r="C113" s="42" t="inlineStr">
        <is>
          <t>T</t>
        </is>
      </c>
      <c r="D113" s="42" t="inlineStr">
        <is>
          <t>Coder sinh mã theo skill + fact; chú thích /* hkw:fact f_… */ cạnh mỗi hằng số</t>
        </is>
      </c>
      <c r="E113" s="42" t="inlineStr">
        <is>
          <t>code.generate_module (suy ra)</t>
        </is>
      </c>
      <c r="F113" s="42" t="inlineStr">
        <is>
          <t>Mã nguồn</t>
        </is>
      </c>
      <c r="G113" s="42" t="inlineStr"/>
    </row>
    <row r="114">
      <c r="A114" s="43" t="inlineStr">
        <is>
          <t>UC-D03</t>
        </is>
      </c>
      <c r="B114" s="43" t="n">
        <v>2</v>
      </c>
      <c r="C114" s="43" t="inlineStr">
        <is>
          <t>K</t>
        </is>
      </c>
      <c r="D114" s="43" t="inlineStr">
        <is>
          <t>Hook pre_write: constant-guard quét hằng số; quy ước repo; thư mục cho phép</t>
        </is>
      </c>
      <c r="E114" s="43" t="inlineStr">
        <is>
          <t>code.constant_guard (suy ra)</t>
        </is>
      </c>
      <c r="F114" s="43" t="inlineStr">
        <is>
          <t>Mã nguồn</t>
        </is>
      </c>
      <c r="G114" s="43" t="inlineStr"/>
    </row>
    <row r="115">
      <c r="A115" s="42" t="inlineStr">
        <is>
          <t>UC-D03</t>
        </is>
      </c>
      <c r="B115" s="42" t="n">
        <v>3</v>
      </c>
      <c r="C115" s="42" t="inlineStr">
        <is>
          <t>H</t>
        </is>
      </c>
      <c r="D115" s="42" t="inlineStr">
        <is>
          <t>build → size → static → host-test</t>
        </is>
      </c>
      <c r="E115" s="42" t="inlineStr">
        <is>
          <t>code.build (suy ra)</t>
        </is>
      </c>
      <c r="F115" s="42" t="inlineStr">
        <is>
          <t>Mã nguồn</t>
        </is>
      </c>
      <c r="G115" s="42" t="inlineStr"/>
    </row>
    <row r="116">
      <c r="A116" s="43" t="inlineStr">
        <is>
          <t>UC-D03</t>
        </is>
      </c>
      <c r="B116" s="43" t="n">
        <v>4</v>
      </c>
      <c r="C116" s="43" t="inlineStr">
        <is>
          <t>T</t>
        </is>
      </c>
      <c r="D116" s="43" t="inlineStr">
        <is>
          <t>Nếu lỗi: sửa theo ToolReport (≤ 3 vòng)</t>
        </is>
      </c>
      <c r="E116" s="43" t="inlineStr">
        <is>
          <t>— (bước của người / không gọi năng lực)</t>
        </is>
      </c>
      <c r="F116" s="43" t="inlineStr">
        <is>
          <t>Mã nguồn</t>
        </is>
      </c>
      <c r="G116" s="43" t="inlineStr"/>
    </row>
    <row r="117">
      <c r="A117" s="42" t="inlineStr">
        <is>
          <t>UC-D03</t>
        </is>
      </c>
      <c r="B117" s="42" t="n">
        <v>5</v>
      </c>
      <c r="C117" s="42" t="inlineStr">
        <is>
          <t>K</t>
        </is>
      </c>
      <c r="D117" s="42" t="inlineStr">
        <is>
          <t>Đăng ký CodeUnit với cites/uses; ledger</t>
        </is>
      </c>
      <c r="E117" s="42" t="inlineStr">
        <is>
          <t>— (bước của người / không gọi năng lực)</t>
        </is>
      </c>
      <c r="F117" s="42" t="inlineStr">
        <is>
          <t>Mã nguồn</t>
        </is>
      </c>
      <c r="G117" s="42" t="inlineStr"/>
    </row>
    <row r="118">
      <c r="A118" s="43" t="inlineStr">
        <is>
          <t>UC-D04</t>
        </is>
      </c>
      <c r="B118" s="43" t="n">
        <v>1</v>
      </c>
      <c r="C118" s="43" t="inlineStr">
        <is>
          <t>T</t>
        </is>
      </c>
      <c r="D118" s="43" t="inlineStr">
        <is>
          <t>Reviewer chấm theo checklist Pack (ISR, volatile, timeout, kích thước); không sửa mã</t>
        </is>
      </c>
      <c r="E118" s="43" t="inlineStr">
        <is>
          <t>code.review (suy ra)</t>
        </is>
      </c>
      <c r="F118" s="43" t="inlineStr">
        <is>
          <t>Kế hoạch &amp; mã</t>
        </is>
      </c>
      <c r="G118" s="43" t="inlineStr"/>
    </row>
    <row r="119">
      <c r="A119" s="42" t="inlineStr">
        <is>
          <t>UC-D04</t>
        </is>
      </c>
      <c r="B119" s="42" t="n">
        <v>2</v>
      </c>
      <c r="C119" s="42" t="inlineStr">
        <is>
          <t>K</t>
        </is>
      </c>
      <c r="D119" s="42" t="inlineStr">
        <is>
          <t>Trình G3: diff, rationale, citations, 4 ToolReport, Review</t>
        </is>
      </c>
      <c r="E119" s="42" t="inlineStr">
        <is>
          <t>code.review (suy ra)</t>
        </is>
      </c>
      <c r="F119" s="42" t="inlineStr">
        <is>
          <t>Kế hoạch &amp; mã</t>
        </is>
      </c>
      <c r="G119" s="42" t="inlineStr"/>
    </row>
    <row r="120">
      <c r="A120" s="43" t="inlineStr">
        <is>
          <t>UC-D04</t>
        </is>
      </c>
      <c r="B120" s="43" t="n">
        <v>3</v>
      </c>
      <c r="C120" s="43" t="inlineStr">
        <is>
          <t>N</t>
        </is>
      </c>
      <c r="D120" s="43" t="inlineStr">
        <is>
          <t>Duyệt &amp; merge / từ chối kèm lý do</t>
        </is>
      </c>
      <c r="E120" s="43" t="inlineStr">
        <is>
          <t>code.merge (suy ra)</t>
        </is>
      </c>
      <c r="F120" s="43" t="inlineStr">
        <is>
          <t>Kế hoạch &amp; mã</t>
        </is>
      </c>
      <c r="G120" s="43" t="inlineStr">
        <is>
          <t>G3</t>
        </is>
      </c>
    </row>
    <row r="121">
      <c r="A121" s="42" t="inlineStr">
        <is>
          <t>UC-D04</t>
        </is>
      </c>
      <c r="B121" s="42" t="n">
        <v>4</v>
      </c>
      <c r="C121" s="42" t="inlineStr">
        <is>
          <t>K</t>
        </is>
      </c>
      <c r="D121" s="42" t="inlineStr">
        <is>
          <t>Merge; commit; cập nhật đồ thị; hoặc ghi sổ lỗi và đưa lý do vào prompt phủ định cho vòng sau</t>
        </is>
      </c>
      <c r="E121" s="42" t="inlineStr">
        <is>
          <t>code.merge (suy ra)</t>
        </is>
      </c>
      <c r="F121" s="42" t="inlineStr">
        <is>
          <t>Kế hoạch &amp; mã</t>
        </is>
      </c>
      <c r="G121" s="42" t="inlineStr"/>
    </row>
    <row r="122">
      <c r="A122" s="43" t="inlineStr">
        <is>
          <t>UC-D05</t>
        </is>
      </c>
      <c r="B122" s="43" t="n">
        <v>1</v>
      </c>
      <c r="C122" s="43" t="inlineStr">
        <is>
          <t>K</t>
        </is>
      </c>
      <c r="D122" s="43" t="inlineStr">
        <is>
          <t>Khi lưu: quét hằng số; hover địa chỉ → giải nghĩa theo hộ chiếu</t>
        </is>
      </c>
      <c r="E122" s="43" t="inlineStr">
        <is>
          <t>— (bước của người / không gọi năng lực)</t>
        </is>
      </c>
      <c r="F122" s="43" t="inlineStr">
        <is>
          <t>Mã nguồn</t>
        </is>
      </c>
      <c r="G122" s="43" t="inlineStr"/>
    </row>
    <row r="123">
      <c r="A123" s="42" t="inlineStr">
        <is>
          <t>UC-D05</t>
        </is>
      </c>
      <c r="B123" s="42" t="n">
        <v>2</v>
      </c>
      <c r="C123" s="42" t="inlineStr">
        <is>
          <t>T</t>
        </is>
      </c>
      <c r="D123" s="42" t="inlineStr">
        <is>
          <t>Gợi ý fact id cho hằng số (một cú bấm để chèn chú thích)</t>
        </is>
      </c>
      <c r="E123" s="42" t="inlineStr">
        <is>
          <t>— (bước của người / không gọi năng lực)</t>
        </is>
      </c>
      <c r="F123" s="42" t="inlineStr">
        <is>
          <t>Mã nguồn</t>
        </is>
      </c>
      <c r="G123" s="42" t="inlineStr"/>
    </row>
    <row r="124">
      <c r="A124" s="43" t="inlineStr">
        <is>
          <t>UC-D05</t>
        </is>
      </c>
      <c r="B124" s="43" t="n">
        <v>3</v>
      </c>
      <c r="C124" s="43" t="inlineStr">
        <is>
          <t>N</t>
        </is>
      </c>
      <c r="D124" s="43" t="inlineStr">
        <is>
          <t>Chấp nhận/bỏ qua</t>
        </is>
      </c>
      <c r="E124" s="43" t="inlineStr">
        <is>
          <t>— (bước của người / không gọi năng lực)</t>
        </is>
      </c>
      <c r="F124" s="43" t="inlineStr">
        <is>
          <t>Mã nguồn</t>
        </is>
      </c>
      <c r="G124" s="43" t="inlineStr"/>
    </row>
    <row r="125">
      <c r="A125" s="42" t="inlineStr">
        <is>
          <t>UC-D06</t>
        </is>
      </c>
      <c r="B125" s="42" t="n">
        <v>1</v>
      </c>
      <c r="C125" s="42" t="inlineStr">
        <is>
          <t>N</t>
        </is>
      </c>
      <c r="D125" s="42" t="inlineStr">
        <is>
          <t>Chọn known-good (danh sách có ngày, Feature passing)</t>
        </is>
      </c>
      <c r="E125" s="42" t="inlineStr">
        <is>
          <t>project.rollback (suy ra)</t>
        </is>
      </c>
      <c r="F125" s="42" t="inlineStr">
        <is>
          <t>Tổng quan</t>
        </is>
      </c>
      <c r="G125" s="42" t="inlineStr"/>
    </row>
    <row r="126">
      <c r="A126" s="43" t="inlineStr">
        <is>
          <t>UC-D06</t>
        </is>
      </c>
      <c r="B126" s="43" t="n">
        <v>2</v>
      </c>
      <c r="C126" s="43" t="inlineStr">
        <is>
          <t>K</t>
        </is>
      </c>
      <c r="D126" s="43" t="inlineStr">
        <is>
          <t>Checkout tag; đặt Feature sau tag về failing</t>
        </is>
      </c>
      <c r="E126" s="43" t="inlineStr">
        <is>
          <t>— (bước của người / không gọi năng lực)</t>
        </is>
      </c>
      <c r="F126" s="43" t="inlineStr">
        <is>
          <t>Tổng quan</t>
        </is>
      </c>
      <c r="G126" s="43" t="inlineStr"/>
    </row>
    <row r="127">
      <c r="A127" s="42" t="inlineStr">
        <is>
          <t>UC-D06</t>
        </is>
      </c>
      <c r="B127" s="42" t="n">
        <v>3</v>
      </c>
      <c r="C127" s="42" t="inlineStr">
        <is>
          <t>H</t>
        </is>
      </c>
      <c r="D127" s="42" t="inlineStr">
        <is>
          <t>Build để xác nhận</t>
        </is>
      </c>
      <c r="E127" s="42" t="inlineStr">
        <is>
          <t>code.build (suy ra)</t>
        </is>
      </c>
      <c r="F127" s="42" t="inlineStr">
        <is>
          <t>Tổng quan</t>
        </is>
      </c>
      <c r="G127" s="42" t="inlineStr"/>
    </row>
    <row r="128">
      <c r="A128" s="43" t="inlineStr">
        <is>
          <t>UC-E01</t>
        </is>
      </c>
      <c r="B128" s="43" t="n">
        <v>1</v>
      </c>
      <c r="C128" s="43" t="inlineStr">
        <is>
          <t>T</t>
        </is>
      </c>
      <c r="D128" s="43" t="inlineStr">
        <is>
          <t>Tester đọc hộ chiếu: CPU, bộ nhớ, ngoại vi có địa chỉ; chọn nền: Renode (Cortex-M/RISC-V), simavr (AVR), hoặc tự xây khi không có</t>
        </is>
      </c>
      <c r="E128" s="43" t="inlineStr">
        <is>
          <t>sim.run (suy ra)</t>
        </is>
      </c>
      <c r="F128" s="43" t="inlineStr">
        <is>
          <t>Mô phỏng</t>
        </is>
      </c>
      <c r="G128" s="43" t="inlineStr"/>
    </row>
    <row r="129">
      <c r="A129" s="42" t="inlineStr">
        <is>
          <t>UC-E01</t>
        </is>
      </c>
      <c r="B129" s="42" t="n">
        <v>2</v>
      </c>
      <c r="C129" s="42" t="inlineStr">
        <is>
          <t>T</t>
        </is>
      </c>
      <c r="D129" s="42" t="inlineStr">
        <is>
          <t>Sinh mô tả nền tảng (.repl) từ fact: bộ nhớ, ngoại vi chuẩn (UART, GPIO, I2C, TIM) với địa chỉ/IRQ; đánh dấu ngoại vi chưa có mô hình</t>
        </is>
      </c>
      <c r="E129" s="42" t="inlineStr">
        <is>
          <t>— (bước của người / không gọi năng lực)</t>
        </is>
      </c>
      <c r="F129" s="42" t="inlineStr">
        <is>
          <t>Mô phỏng</t>
        </is>
      </c>
      <c r="G129" s="42" t="inlineStr"/>
    </row>
    <row r="130">
      <c r="A130" s="43" t="inlineStr">
        <is>
          <t>UC-E01</t>
        </is>
      </c>
      <c r="B130" s="43" t="n">
        <v>3</v>
      </c>
      <c r="C130" s="43" t="inlineStr">
        <is>
          <t>T</t>
        </is>
      </c>
      <c r="D130" s="43" t="inlineStr">
        <is>
          <t>Từ BoardPassport: nối ngoại vi ngoài bằng mock (BME280 mock trả id 0x60, dữ liệu theo công thức), LED trên PB3, UART2 ra console</t>
        </is>
      </c>
      <c r="E130" s="43" t="inlineStr">
        <is>
          <t>board.build_passport (suy ra)</t>
        </is>
      </c>
      <c r="F130" s="43" t="inlineStr">
        <is>
          <t>Mô phỏng</t>
        </is>
      </c>
      <c r="G130" s="43" t="inlineStr"/>
    </row>
    <row r="131">
      <c r="A131" s="42" t="inlineStr">
        <is>
          <t>UC-E01</t>
        </is>
      </c>
      <c r="B131" s="42" t="n">
        <v>4</v>
      </c>
      <c r="C131" s="42" t="inlineStr">
        <is>
          <t>H</t>
        </is>
      </c>
      <c r="D131" s="42" t="inlineStr">
        <is>
          <t>Chạy firmware 'hello' (UART in chuỗi + LED) trên mô phỏng</t>
        </is>
      </c>
      <c r="E131" s="42" t="inlineStr">
        <is>
          <t>sim.run (suy ra)</t>
        </is>
      </c>
      <c r="F131" s="42" t="inlineStr">
        <is>
          <t>Mô phỏng</t>
        </is>
      </c>
      <c r="G131" s="42" t="inlineStr"/>
    </row>
    <row r="132">
      <c r="A132" s="43" t="inlineStr">
        <is>
          <t>UC-E01</t>
        </is>
      </c>
      <c r="B132" s="43" t="n">
        <v>5</v>
      </c>
      <c r="C132" s="43" t="inlineStr">
        <is>
          <t>T</t>
        </is>
      </c>
      <c r="D132" s="43" t="inlineStr">
        <is>
          <t>Nếu thiếu mô hình ngoại vi quan trọng: đề xuất viết mock đơn giản (hành vi theo datasheet) → cần người duyệt tham số (G-FACT)</t>
        </is>
      </c>
      <c r="E132" s="43" t="inlineStr">
        <is>
          <t>kg.review_facts (suy ra)</t>
        </is>
      </c>
      <c r="F132" s="43" t="inlineStr">
        <is>
          <t>Mô phỏng</t>
        </is>
      </c>
      <c r="G132" s="43" t="inlineStr">
        <is>
          <t>G-FACT</t>
        </is>
      </c>
    </row>
    <row r="133">
      <c r="A133" s="42" t="inlineStr">
        <is>
          <t>UC-E01</t>
        </is>
      </c>
      <c r="B133" s="42" t="n">
        <v>6</v>
      </c>
      <c r="C133" s="42" t="inlineStr">
        <is>
          <t>K</t>
        </is>
      </c>
      <c r="D133" s="42" t="inlineStr">
        <is>
          <t>Lưu sim/ vào dự án; ghi K5 'mô hình mô phỏng dự án' với nguồn là fact đã dùng</t>
        </is>
      </c>
      <c r="E133" s="42" t="inlineStr">
        <is>
          <t>project.create (suy ra)</t>
        </is>
      </c>
      <c r="F133" s="42" t="inlineStr">
        <is>
          <t>Mô phỏng</t>
        </is>
      </c>
      <c r="G133" s="42" t="inlineStr"/>
    </row>
    <row r="134">
      <c r="A134" s="43" t="inlineStr">
        <is>
          <t>UC-E02</t>
        </is>
      </c>
      <c r="B134" s="43" t="n">
        <v>1</v>
      </c>
      <c r="C134" s="43" t="inlineStr">
        <is>
          <t>T</t>
        </is>
      </c>
      <c r="D134" s="43" t="inlineStr">
        <is>
          <t>Đề xuất mô hình (phương trình, tham số: khối lượng, chiều dài, hệ số ma sát) với nguồn (người cung cấp/đo)</t>
        </is>
      </c>
      <c r="E134" s="43" t="inlineStr">
        <is>
          <t>— (bước của người / không gọi năng lực)</t>
        </is>
      </c>
      <c r="F134" s="43" t="inlineStr">
        <is>
          <t>Mô phỏng</t>
        </is>
      </c>
      <c r="G134" s="43" t="inlineStr"/>
    </row>
    <row r="135">
      <c r="A135" s="42" t="inlineStr">
        <is>
          <t>UC-E02</t>
        </is>
      </c>
      <c r="B135" s="42" t="n">
        <v>2</v>
      </c>
      <c r="C135" s="42" t="inlineStr">
        <is>
          <t>N</t>
        </is>
      </c>
      <c r="D135" s="42" t="inlineStr">
        <is>
          <t>Cung cấp/duyệt tham số</t>
        </is>
      </c>
      <c r="E135" s="42" t="inlineStr">
        <is>
          <t>— (bước của người / không gọi năng lực)</t>
        </is>
      </c>
      <c r="F135" s="42" t="inlineStr">
        <is>
          <t>Mô phỏng</t>
        </is>
      </c>
      <c r="G135" s="42" t="inlineStr">
        <is>
          <t>G-FACT</t>
        </is>
      </c>
    </row>
    <row r="136">
      <c r="A136" s="43" t="inlineStr">
        <is>
          <t>UC-E02</t>
        </is>
      </c>
      <c r="B136" s="43" t="n">
        <v>3</v>
      </c>
      <c r="C136" s="43" t="inlineStr">
        <is>
          <t>T</t>
        </is>
      </c>
      <c r="D136" s="43" t="inlineStr">
        <is>
          <t>Kiểm mô hình bằng nghiệm giải tích/trường hợp đơn giản</t>
        </is>
      </c>
      <c r="E136" s="43" t="inlineStr">
        <is>
          <t>— (bước của người / không gọi năng lực)</t>
        </is>
      </c>
      <c r="F136" s="43" t="inlineStr">
        <is>
          <t>Mô phỏng</t>
        </is>
      </c>
      <c r="G136" s="43" t="inlineStr"/>
    </row>
    <row r="137">
      <c r="A137" s="42" t="inlineStr">
        <is>
          <t>UC-E02</t>
        </is>
      </c>
      <c r="B137" s="42" t="n">
        <v>4</v>
      </c>
      <c r="C137" s="42" t="inlineStr">
        <is>
          <t>K</t>
        </is>
      </c>
      <c r="D137" s="42" t="inlineStr">
        <is>
          <t>Lưu; gắn với kịch bản</t>
        </is>
      </c>
      <c r="E137" s="42" t="inlineStr">
        <is>
          <t>— (bước của người / không gọi năng lực)</t>
        </is>
      </c>
      <c r="F137" s="42" t="inlineStr">
        <is>
          <t>Mô phỏng</t>
        </is>
      </c>
      <c r="G137" s="42" t="inlineStr"/>
    </row>
    <row r="138">
      <c r="A138" s="43" t="inlineStr">
        <is>
          <t>UC-E03</t>
        </is>
      </c>
      <c r="B138" s="43" t="n">
        <v>1</v>
      </c>
      <c r="C138" s="43" t="inlineStr">
        <is>
          <t>T</t>
        </is>
      </c>
      <c r="D138" s="43" t="inlineStr">
        <is>
          <t>Từ kỳ vọng của Feature sinh bench/*.yaml (init, inject, expect)</t>
        </is>
      </c>
      <c r="E138" s="43" t="inlineStr">
        <is>
          <t>target.serial (suy ra)</t>
        </is>
      </c>
      <c r="F138" s="43" t="inlineStr">
        <is>
          <t>Mô phỏng</t>
        </is>
      </c>
      <c r="G138" s="43" t="inlineStr"/>
    </row>
    <row r="139">
      <c r="A139" s="42" t="inlineStr">
        <is>
          <t>UC-E03</t>
        </is>
      </c>
      <c r="B139" s="42" t="n">
        <v>2</v>
      </c>
      <c r="C139" s="42" t="inlineStr">
        <is>
          <t>H</t>
        </is>
      </c>
      <c r="D139" s="42" t="inlineStr">
        <is>
          <t>Chạy trên mô phỏng; bắt UART/GPIO/biến</t>
        </is>
      </c>
      <c r="E139" s="42" t="inlineStr">
        <is>
          <t>sim.run (suy ra)</t>
        </is>
      </c>
      <c r="F139" s="42" t="inlineStr">
        <is>
          <t>Mô phỏng</t>
        </is>
      </c>
      <c r="G139" s="42" t="inlineStr"/>
    </row>
    <row r="140">
      <c r="A140" s="43" t="inlineStr">
        <is>
          <t>UC-E03</t>
        </is>
      </c>
      <c r="B140" s="43" t="n">
        <v>3</v>
      </c>
      <c r="C140" s="43" t="inlineStr">
        <is>
          <t>K</t>
        </is>
      </c>
      <c r="D140" s="43" t="inlineStr">
        <is>
          <t>So với expect → ToolReport; lưu số đo</t>
        </is>
      </c>
      <c r="E140" s="43" t="inlineStr">
        <is>
          <t>target.serial (suy ra)</t>
        </is>
      </c>
      <c r="F140" s="43" t="inlineStr">
        <is>
          <t>Mô phỏng</t>
        </is>
      </c>
      <c r="G140" s="43" t="inlineStr"/>
    </row>
    <row r="141">
      <c r="A141" s="42" t="inlineStr">
        <is>
          <t>UC-E03</t>
        </is>
      </c>
      <c r="B141" s="42" t="n">
        <v>4</v>
      </c>
      <c r="C141" s="42" t="inlineStr">
        <is>
          <t>T</t>
        </is>
      </c>
      <c r="D141" s="42" t="inlineStr">
        <is>
          <t>Nếu lệch: đề xuất nguyên nhân (mã / mô hình / fact)</t>
        </is>
      </c>
      <c r="E141" s="42" t="inlineStr">
        <is>
          <t>— (bước của người / không gọi năng lực)</t>
        </is>
      </c>
      <c r="F141" s="42" t="inlineStr">
        <is>
          <t>Mô phỏng</t>
        </is>
      </c>
      <c r="G141" s="42" t="inlineStr"/>
    </row>
    <row r="142">
      <c r="A142" s="43" t="inlineStr">
        <is>
          <t>UC-E04</t>
        </is>
      </c>
      <c r="B142" s="43" t="n">
        <v>1</v>
      </c>
      <c r="C142" s="43" t="inlineStr">
        <is>
          <t>K</t>
        </is>
      </c>
      <c r="D142" s="43" t="inlineStr">
        <is>
          <t>Ghép kết quả theo chỉ số (ổn định, latency, góc dư)</t>
        </is>
      </c>
      <c r="E142" s="43" t="inlineStr">
        <is>
          <t>— (bước của người / không gọi năng lực)</t>
        </is>
      </c>
      <c r="F142" s="43" t="inlineStr">
        <is>
          <t>Mô phỏng</t>
        </is>
      </c>
      <c r="G142" s="43" t="inlineStr"/>
    </row>
    <row r="143">
      <c r="A143" s="42" t="inlineStr">
        <is>
          <t>UC-E04</t>
        </is>
      </c>
      <c r="B143" s="42" t="n">
        <v>2</v>
      </c>
      <c r="C143" s="42" t="inlineStr">
        <is>
          <t>T</t>
        </is>
      </c>
      <c r="D143" s="42" t="inlineStr">
        <is>
          <t>Giải thích lệch; đề xuất tham số mới (ví dụ ma sát)</t>
        </is>
      </c>
      <c r="E143" s="42" t="inlineStr">
        <is>
          <t>— (bước của người / không gọi năng lực)</t>
        </is>
      </c>
      <c r="F143" s="42" t="inlineStr">
        <is>
          <t>Mô phỏng</t>
        </is>
      </c>
      <c r="G143" s="42" t="inlineStr"/>
    </row>
    <row r="144">
      <c r="A144" s="43" t="inlineStr">
        <is>
          <t>UC-E04</t>
        </is>
      </c>
      <c r="B144" s="43" t="n">
        <v>3</v>
      </c>
      <c r="C144" s="43" t="inlineStr">
        <is>
          <t>N</t>
        </is>
      </c>
      <c r="D144" s="43" t="inlineStr">
        <is>
          <t>Duyệt cập nhật mô hình</t>
        </is>
      </c>
      <c r="E144" s="43" t="inlineStr">
        <is>
          <t>— (bước của người / không gọi năng lực)</t>
        </is>
      </c>
      <c r="F144" s="43" t="inlineStr">
        <is>
          <t>Mô phỏng</t>
        </is>
      </c>
      <c r="G144" s="43" t="inlineStr">
        <is>
          <t>G-FACT</t>
        </is>
      </c>
    </row>
    <row r="145">
      <c r="A145" s="42" t="inlineStr">
        <is>
          <t>UC-F01</t>
        </is>
      </c>
      <c r="B145" s="42" t="n">
        <v>1</v>
      </c>
      <c r="C145" s="42" t="inlineStr">
        <is>
          <t>K</t>
        </is>
      </c>
      <c r="D145" s="42" t="inlineStr">
        <is>
          <t>Tool nguy hiểm trả needs_permission và mở mục G-OPS: thao tác cụ thể, target, artifact hash, lý do</t>
        </is>
      </c>
      <c r="E145" s="42" t="inlineStr">
        <is>
          <t>policy.permit (suy ra)</t>
        </is>
      </c>
      <c r="F145" s="42" t="inlineStr">
        <is>
          <t>Hàng đợi / Chat / mọi màn hình</t>
        </is>
      </c>
      <c r="G145" s="42" t="inlineStr"/>
    </row>
    <row r="146">
      <c r="A146" s="43" t="inlineStr">
        <is>
          <t>UC-F01</t>
        </is>
      </c>
      <c r="B146" s="43" t="n">
        <v>2</v>
      </c>
      <c r="C146" s="43" t="inlineStr">
        <is>
          <t>N</t>
        </is>
      </c>
      <c r="D146" s="43" t="inlineStr">
        <is>
          <t>Cấp quyền cho lần này / cho phiên / từ chối</t>
        </is>
      </c>
      <c r="E146" s="43" t="inlineStr">
        <is>
          <t>policy.permit (suy ra)</t>
        </is>
      </c>
      <c r="F146" s="43" t="inlineStr">
        <is>
          <t>Hàng đợi / Chat / mọi màn hình</t>
        </is>
      </c>
      <c r="G146" s="43" t="inlineStr">
        <is>
          <t>G-OPS</t>
        </is>
      </c>
    </row>
    <row r="147">
      <c r="A147" s="42" t="inlineStr">
        <is>
          <t>UC-F01</t>
        </is>
      </c>
      <c r="B147" s="42" t="n">
        <v>3</v>
      </c>
      <c r="C147" s="42" t="inlineStr">
        <is>
          <t>K</t>
        </is>
      </c>
      <c r="D147" s="42" t="inlineStr">
        <is>
          <t>Ghi Permission (expires_at); thực thi; ledger</t>
        </is>
      </c>
      <c r="E147" s="42" t="inlineStr">
        <is>
          <t>— (bước của người / không gọi năng lực)</t>
        </is>
      </c>
      <c r="F147" s="42" t="inlineStr">
        <is>
          <t>Hàng đợi / Chat / mọi màn hình</t>
        </is>
      </c>
      <c r="G147" s="42" t="inlineStr"/>
    </row>
    <row r="148">
      <c r="A148" s="43" t="inlineStr">
        <is>
          <t>UC-F02</t>
        </is>
      </c>
      <c r="B148" s="43" t="n">
        <v>1</v>
      </c>
      <c r="C148" s="43" t="inlineStr">
        <is>
          <t>H</t>
        </is>
      </c>
      <c r="D148" s="43" t="inlineStr">
        <is>
          <t>Adapter theo ISA (probe-rs / avrdude / idf.py / west); verify sau nạp</t>
        </is>
      </c>
      <c r="E148" s="43" t="inlineStr">
        <is>
          <t>target.flash (suy ra)</t>
        </is>
      </c>
      <c r="F148" s="43" t="inlineStr">
        <is>
          <t>Log &amp; serial</t>
        </is>
      </c>
      <c r="G148" s="43" t="inlineStr"/>
    </row>
    <row r="149">
      <c r="A149" s="42" t="inlineStr">
        <is>
          <t>UC-F02</t>
        </is>
      </c>
      <c r="B149" s="42" t="n">
        <v>2</v>
      </c>
      <c r="C149" s="42" t="inlineStr">
        <is>
          <t>K</t>
        </is>
      </c>
      <c r="D149" s="42" t="inlineStr">
        <is>
          <t>Mở serial; ghi log JSONL</t>
        </is>
      </c>
      <c r="E149" s="42" t="inlineStr">
        <is>
          <t>target.serial (suy ra)</t>
        </is>
      </c>
      <c r="F149" s="42" t="inlineStr">
        <is>
          <t>Log &amp; serial</t>
        </is>
      </c>
      <c r="G149" s="42" t="inlineStr"/>
    </row>
    <row r="150">
      <c r="A150" s="43" t="inlineStr">
        <is>
          <t>UC-F03</t>
        </is>
      </c>
      <c r="B150" s="43" t="n">
        <v>1</v>
      </c>
      <c r="C150" s="43" t="inlineStr">
        <is>
          <t>H</t>
        </is>
      </c>
      <c r="D150" s="43" t="inlineStr">
        <is>
          <t>serial.expect theo kịch bản; ghi log</t>
        </is>
      </c>
      <c r="E150" s="43" t="inlineStr">
        <is>
          <t>target.serial (suy ra)</t>
        </is>
      </c>
      <c r="F150" s="43" t="inlineStr">
        <is>
          <t>Log &amp; serial</t>
        </is>
      </c>
      <c r="G150" s="43" t="inlineStr"/>
    </row>
    <row r="151">
      <c r="A151" s="42" t="inlineStr">
        <is>
          <t>UC-F03</t>
        </is>
      </c>
      <c r="B151" s="42" t="n">
        <v>2</v>
      </c>
      <c r="C151" s="42" t="inlineStr">
        <is>
          <t>T</t>
        </is>
      </c>
      <c r="D151" s="42" t="inlineStr">
        <is>
          <t>Tester so kết quả với kỳ vọng; trình bày cho người</t>
        </is>
      </c>
      <c r="E151" s="42" t="inlineStr">
        <is>
          <t>— (bước của người / không gọi năng lực)</t>
        </is>
      </c>
      <c r="F151" s="42" t="inlineStr">
        <is>
          <t>Log &amp; serial</t>
        </is>
      </c>
      <c r="G151" s="42" t="inlineStr"/>
    </row>
    <row r="152">
      <c r="A152" s="43" t="inlineStr">
        <is>
          <t>UC-F03</t>
        </is>
      </c>
      <c r="B152" s="43" t="n">
        <v>3</v>
      </c>
      <c r="C152" s="43" t="inlineStr">
        <is>
          <t>N</t>
        </is>
      </c>
      <c r="D152" s="43" t="inlineStr">
        <is>
          <t>Xác nhận quan sát (LED, chuyển động, số đo) hoặc từ chối</t>
        </is>
      </c>
      <c r="E152" s="43" t="inlineStr">
        <is>
          <t>target.observe (suy ra)</t>
        </is>
      </c>
      <c r="F152" s="43" t="inlineStr">
        <is>
          <t>Log &amp; serial</t>
        </is>
      </c>
      <c r="G152" s="43" t="inlineStr">
        <is>
          <t>G4</t>
        </is>
      </c>
    </row>
    <row r="153">
      <c r="A153" s="42" t="inlineStr">
        <is>
          <t>UC-F03</t>
        </is>
      </c>
      <c r="B153" s="42" t="n">
        <v>4</v>
      </c>
      <c r="C153" s="42" t="inlineStr">
        <is>
          <t>K</t>
        </is>
      </c>
      <c r="D153" s="42" t="inlineStr">
        <is>
          <t>passing + evidence; tag known-good</t>
        </is>
      </c>
      <c r="E153" s="42" t="inlineStr">
        <is>
          <t>project.rollback (suy ra)</t>
        </is>
      </c>
      <c r="F153" s="42" t="inlineStr">
        <is>
          <t>Log &amp; serial</t>
        </is>
      </c>
      <c r="G153" s="42" t="inlineStr"/>
    </row>
    <row r="154">
      <c r="A154" s="43" t="inlineStr">
        <is>
          <t>UC-F04</t>
        </is>
      </c>
      <c r="B154" s="43" t="n">
        <v>1</v>
      </c>
      <c r="C154" s="43" t="inlineStr">
        <is>
          <t>K</t>
        </is>
      </c>
      <c r="D154" s="43" t="inlineStr">
        <is>
          <t>GEditor tính thống kê toàn tệp (mẫu lặp, khoảng thời gian)</t>
        </is>
      </c>
      <c r="E154" s="43" t="inlineStr">
        <is>
          <t>— (bước của người / không gọi năng lực)</t>
        </is>
      </c>
      <c r="F154" s="43" t="inlineStr">
        <is>
          <t>Log &amp; serial</t>
        </is>
      </c>
      <c r="G154" s="43" t="inlineStr"/>
    </row>
    <row r="155">
      <c r="A155" s="42" t="inlineStr">
        <is>
          <t>UC-F04</t>
        </is>
      </c>
      <c r="B155" s="42" t="n">
        <v>2</v>
      </c>
      <c r="C155" s="42" t="inlineStr">
        <is>
          <t>K</t>
        </is>
      </c>
      <c r="D155" s="42" t="inlineStr">
        <is>
          <t>Lấy ngữ cảnh: fact thanh ghi liên quan, CodeUnit USES, DebugSession trước</t>
        </is>
      </c>
      <c r="E155" s="42" t="inlineStr">
        <is>
          <t>extract.image_schematic (suy ra)</t>
        </is>
      </c>
      <c r="F155" s="42" t="inlineStr">
        <is>
          <t>Log &amp; serial</t>
        </is>
      </c>
      <c r="G155" s="42" t="inlineStr"/>
    </row>
    <row r="156">
      <c r="A156" s="43" t="inlineStr">
        <is>
          <t>UC-F04</t>
        </is>
      </c>
      <c r="B156" s="43" t="n">
        <v>3</v>
      </c>
      <c r="C156" s="43" t="inlineStr">
        <is>
          <t>T</t>
        </is>
      </c>
      <c r="D156" s="43" t="inlineStr">
        <is>
          <t>Debugger: giả thuyết xếp hạng + thí nghiệm phân biệt</t>
        </is>
      </c>
      <c r="E156" s="43" t="inlineStr">
        <is>
          <t>debug.hypothesize (suy ra)</t>
        </is>
      </c>
      <c r="F156" s="43" t="inlineStr">
        <is>
          <t>Log &amp; serial</t>
        </is>
      </c>
      <c r="G156" s="43" t="inlineStr"/>
    </row>
    <row r="157">
      <c r="A157" s="42" t="inlineStr">
        <is>
          <t>UC-F04</t>
        </is>
      </c>
      <c r="B157" s="42" t="n">
        <v>4</v>
      </c>
      <c r="C157" s="42" t="inlineStr">
        <is>
          <t>N</t>
        </is>
      </c>
      <c r="D157" s="42" t="inlineStr">
        <is>
          <t>Chọn thí nghiệm / lưu DebugSession</t>
        </is>
      </c>
      <c r="E157" s="42" t="inlineStr">
        <is>
          <t>debug.experiment (suy ra)</t>
        </is>
      </c>
      <c r="F157" s="42" t="inlineStr">
        <is>
          <t>Log &amp; serial</t>
        </is>
      </c>
      <c r="G157" s="42" t="inlineStr"/>
    </row>
    <row r="158">
      <c r="A158" s="43" t="inlineStr">
        <is>
          <t>UC-F05</t>
        </is>
      </c>
      <c r="B158" s="43" t="n">
        <v>1</v>
      </c>
      <c r="C158" s="43" t="inlineStr">
        <is>
          <t>H</t>
        </is>
      </c>
      <c r="D158" s="43" t="inlineStr">
        <is>
          <t>connect/halt/read_memory/diagnose_fault/unwind (probe-rs/OpenOCD)</t>
        </is>
      </c>
      <c r="E158" s="43" t="inlineStr">
        <is>
          <t>target.probe_read (suy ra)</t>
        </is>
      </c>
      <c r="F158" s="43" t="inlineStr">
        <is>
          <t>Gỡ lỗi probe</t>
        </is>
      </c>
      <c r="G158" s="43" t="inlineStr"/>
    </row>
    <row r="159">
      <c r="A159" s="42" t="inlineStr">
        <is>
          <t>UC-F05</t>
        </is>
      </c>
      <c r="B159" s="42" t="n">
        <v>2</v>
      </c>
      <c r="C159" s="42" t="inlineStr">
        <is>
          <t>K</t>
        </is>
      </c>
      <c r="D159" s="42" t="inlineStr">
        <is>
          <t>Giải nghĩa thanh ghi theo hộ chiếu (SR1.AF=1)</t>
        </is>
      </c>
      <c r="E159" s="42" t="inlineStr">
        <is>
          <t>— (bước của người / không gọi năng lực)</t>
        </is>
      </c>
      <c r="F159" s="42" t="inlineStr">
        <is>
          <t>Gỡ lỗi probe</t>
        </is>
      </c>
      <c r="G159" s="42" t="inlineStr"/>
    </row>
    <row r="160">
      <c r="A160" s="43" t="inlineStr">
        <is>
          <t>UC-F05</t>
        </is>
      </c>
      <c r="B160" s="43" t="n">
        <v>3</v>
      </c>
      <c r="C160" s="43" t="inlineStr">
        <is>
          <t>T</t>
        </is>
      </c>
      <c r="D160" s="43" t="inlineStr">
        <is>
          <t>Cập nhật giả thuyết; đề xuất sửa → STEP mới (UC-D01)</t>
        </is>
      </c>
      <c r="E160" s="43" t="inlineStr">
        <is>
          <t>debug.hypothesize (suy ra)</t>
        </is>
      </c>
      <c r="F160" s="43" t="inlineStr">
        <is>
          <t>Gỡ lỗi probe</t>
        </is>
      </c>
      <c r="G160" s="43" t="inlineStr"/>
    </row>
    <row r="161">
      <c r="A161" s="42" t="inlineStr">
        <is>
          <t>UC-F05</t>
        </is>
      </c>
      <c r="B161" s="42" t="n">
        <v>4</v>
      </c>
      <c r="C161" s="42" t="inlineStr">
        <is>
          <t>K</t>
        </is>
      </c>
      <c r="D161" s="42" t="inlineStr">
        <is>
          <t>Lưu DebugSession gắn fact/mã/log</t>
        </is>
      </c>
      <c r="E161" s="42" t="inlineStr">
        <is>
          <t>debug.log_stats (suy ra)</t>
        </is>
      </c>
      <c r="F161" s="42" t="inlineStr">
        <is>
          <t>Gỡ lỗi probe</t>
        </is>
      </c>
      <c r="G161" s="42" t="inlineStr"/>
    </row>
    <row r="162">
      <c r="A162" s="43" t="inlineStr">
        <is>
          <t>UC-F06</t>
        </is>
      </c>
      <c r="B162" s="43" t="n">
        <v>1</v>
      </c>
      <c r="C162" s="43" t="inlineStr">
        <is>
          <t>H</t>
        </is>
      </c>
      <c r="D162" s="43" t="inlineStr">
        <is>
          <t>sigrok-cli decode I2C/SPI; đo dòng theo mốc GPIO</t>
        </is>
      </c>
      <c r="E162" s="43" t="inlineStr">
        <is>
          <t>— (bước của người / không gọi năng lực)</t>
        </is>
      </c>
      <c r="F162" s="43" t="inlineStr">
        <is>
          <t>Gỡ lỗi probe</t>
        </is>
      </c>
      <c r="G162" s="43" t="inlineStr"/>
    </row>
    <row r="163">
      <c r="A163" s="42" t="inlineStr">
        <is>
          <t>UC-F06</t>
        </is>
      </c>
      <c r="B163" s="42" t="n">
        <v>2</v>
      </c>
      <c r="C163" s="42" t="inlineStr">
        <is>
          <t>K</t>
        </is>
      </c>
      <c r="D163" s="42" t="inlineStr">
        <is>
          <t>Đồng bộ thời gian với log; lưu Measurement</t>
        </is>
      </c>
      <c r="E163" s="42" t="inlineStr">
        <is>
          <t>debug.log_stats (suy ra)</t>
        </is>
      </c>
      <c r="F163" s="42" t="inlineStr">
        <is>
          <t>Gỡ lỗi probe</t>
        </is>
      </c>
      <c r="G163" s="42" t="inlineStr"/>
    </row>
    <row r="164">
      <c r="A164" s="43" t="inlineStr">
        <is>
          <t>UC-F06</t>
        </is>
      </c>
      <c r="B164" s="43" t="n">
        <v>3</v>
      </c>
      <c r="C164" s="43" t="inlineStr">
        <is>
          <t>T</t>
        </is>
      </c>
      <c r="D164" s="43" t="inlineStr">
        <is>
          <t>Đối chiếu giao dịch với kỳ vọng</t>
        </is>
      </c>
      <c r="E164" s="43" t="inlineStr">
        <is>
          <t>— (bước của người / không gọi năng lực)</t>
        </is>
      </c>
      <c r="F164" s="43" t="inlineStr">
        <is>
          <t>Gỡ lỗi probe</t>
        </is>
      </c>
      <c r="G164" s="43" t="inlineStr"/>
    </row>
    <row r="165">
      <c r="A165" s="42" t="inlineStr">
        <is>
          <t>UC-G01</t>
        </is>
      </c>
      <c r="B165" s="42" t="n">
        <v>1</v>
      </c>
      <c r="C165" s="42" t="inlineStr">
        <is>
          <t>T</t>
        </is>
      </c>
      <c r="D165" s="42" t="inlineStr">
        <is>
          <t>Chạy từng tác vụ qua P2–P4 tự động (gate người thay bằng kỳ vọng quan sát tự động)</t>
        </is>
      </c>
      <c r="E165" s="42" t="inlineStr">
        <is>
          <t>target.observe (suy ra)</t>
        </is>
      </c>
      <c r="F165" s="42" t="inlineStr">
        <is>
          <t>Benchmark</t>
        </is>
      </c>
      <c r="G165" s="42" t="inlineStr"/>
    </row>
    <row r="166">
      <c r="A166" s="43" t="inlineStr">
        <is>
          <t>UC-G01</t>
        </is>
      </c>
      <c r="B166" s="43" t="n">
        <v>2</v>
      </c>
      <c r="C166" s="43" t="inlineStr">
        <is>
          <t>K</t>
        </is>
      </c>
      <c r="D166" s="43" t="inlineStr">
        <is>
          <t>Chấm CF/BF/BC; ghi token/thời gian</t>
        </is>
      </c>
      <c r="E166" s="43" t="inlineStr">
        <is>
          <t>— (bước của người / không gọi năng lực)</t>
        </is>
      </c>
      <c r="F166" s="43" t="inlineStr">
        <is>
          <t>Benchmark</t>
        </is>
      </c>
      <c r="G166" s="43" t="inlineStr"/>
    </row>
    <row r="167">
      <c r="A167" s="42" t="inlineStr">
        <is>
          <t>UC-G01</t>
        </is>
      </c>
      <c r="B167" s="42" t="n">
        <v>3</v>
      </c>
      <c r="C167" s="42" t="inlineStr">
        <is>
          <t>T</t>
        </is>
      </c>
      <c r="D167" s="42" t="inlineStr">
        <is>
          <t>Phân tích ca lỗi → đề xuất sửa skill (K5) chờ duyệt</t>
        </is>
      </c>
      <c r="E167" s="42" t="inlineStr">
        <is>
          <t>— (bước của người / không gọi năng lực)</t>
        </is>
      </c>
      <c r="F167" s="42" t="inlineStr">
        <is>
          <t>Benchmark</t>
        </is>
      </c>
      <c r="G167" s="42" t="inlineStr"/>
    </row>
    <row r="168">
      <c r="A168" s="43" t="inlineStr">
        <is>
          <t>UC-G02</t>
        </is>
      </c>
      <c r="B168" s="43" t="n">
        <v>1</v>
      </c>
      <c r="C168" s="43" t="inlineStr">
        <is>
          <t>K</t>
        </is>
      </c>
      <c r="D168" s="43" t="inlineStr">
        <is>
          <t>Đóng gói fact + con trỏ nguồn + skills + bench + badges; kiểm license</t>
        </is>
      </c>
      <c r="E168" s="43" t="inlineStr">
        <is>
          <t>registry.pack (suy ra)</t>
        </is>
      </c>
      <c r="F168" s="43" t="inlineStr">
        <is>
          <t>Registry</t>
        </is>
      </c>
      <c r="G168" s="43" t="inlineStr"/>
    </row>
    <row r="169">
      <c r="A169" s="42" t="inlineStr">
        <is>
          <t>UC-G02</t>
        </is>
      </c>
      <c r="B169" s="42" t="n">
        <v>2</v>
      </c>
      <c r="C169" s="42" t="inlineStr">
        <is>
          <t>N</t>
        </is>
      </c>
      <c r="D169" s="42" t="inlineStr">
        <is>
          <t>Duyệt; ký</t>
        </is>
      </c>
      <c r="E169" s="42" t="inlineStr">
        <is>
          <t>— (bước của người / không gọi năng lực)</t>
        </is>
      </c>
      <c r="F169" s="42" t="inlineStr">
        <is>
          <t>Registry</t>
        </is>
      </c>
      <c r="G169" s="42" t="inlineStr">
        <is>
          <t>G5</t>
        </is>
      </c>
    </row>
    <row r="170">
      <c r="A170" s="43" t="inlineStr">
        <is>
          <t>UC-G02</t>
        </is>
      </c>
      <c r="B170" s="43" t="n">
        <v>3</v>
      </c>
      <c r="C170" s="43" t="inlineStr">
        <is>
          <t>K</t>
        </is>
      </c>
      <c r="D170" s="43" t="inlineStr">
        <is>
          <t>Publish; index</t>
        </is>
      </c>
      <c r="E170" s="43" t="inlineStr">
        <is>
          <t>— (bước của người / không gọi năng lực)</t>
        </is>
      </c>
      <c r="F170" s="43" t="inlineStr">
        <is>
          <t>Registry</t>
        </is>
      </c>
      <c r="G170" s="43" t="inlineStr"/>
    </row>
    <row r="171">
      <c r="A171" s="42" t="inlineStr">
        <is>
          <t>UC-G03</t>
        </is>
      </c>
      <c r="B171" s="42" t="n">
        <v>1</v>
      </c>
      <c r="C171" s="42" t="inlineStr">
        <is>
          <t>N</t>
        </is>
      </c>
      <c r="D171" s="42" t="inlineStr">
        <is>
          <t>Xem huy hiệu, benchmark, chữ ký; chọn phiên bản</t>
        </is>
      </c>
      <c r="E171" s="42" t="inlineStr">
        <is>
          <t>bench.run (suy ra)</t>
        </is>
      </c>
      <c r="F171" s="42" t="inlineStr">
        <is>
          <t>Registry</t>
        </is>
      </c>
      <c r="G171" s="42" t="inlineStr">
        <is>
          <t>G-SRC</t>
        </is>
      </c>
    </row>
    <row r="172">
      <c r="A172" s="43" t="inlineStr">
        <is>
          <t>UC-G03</t>
        </is>
      </c>
      <c r="B172" s="43" t="n">
        <v>2</v>
      </c>
      <c r="C172" s="43" t="inlineStr">
        <is>
          <t>K</t>
        </is>
      </c>
      <c r="D172" s="43" t="inlineStr">
        <is>
          <t>Kiểm chữ ký; nạp; ghim</t>
        </is>
      </c>
      <c r="E172" s="43" t="inlineStr">
        <is>
          <t>target.flash (suy ra)</t>
        </is>
      </c>
      <c r="F172" s="43" t="inlineStr">
        <is>
          <t>Registry</t>
        </is>
      </c>
      <c r="G172" s="43" t="inlineStr"/>
    </row>
    <row r="173">
      <c r="A173" s="42" t="inlineStr">
        <is>
          <t>UC-G04</t>
        </is>
      </c>
      <c r="B173" s="42" t="n">
        <v>1</v>
      </c>
      <c r="C173" s="42" t="inlineStr">
        <is>
          <t>K</t>
        </is>
      </c>
      <c r="D173" s="42" t="inlineStr">
        <is>
          <t>Tổng hợp gate, lượt gọi, ToolReport, Feature, benchmark</t>
        </is>
      </c>
      <c r="E173" s="42" t="inlineStr">
        <is>
          <t>bench.run (suy ra)</t>
        </is>
      </c>
      <c r="F173" s="42" t="inlineStr">
        <is>
          <t>Môi trường &amp; báo cáo</t>
        </is>
      </c>
      <c r="G173" s="42" t="inlineStr"/>
    </row>
    <row r="174">
      <c r="A174" s="43" t="inlineStr">
        <is>
          <t>UC-G04</t>
        </is>
      </c>
      <c r="B174" s="43" t="n">
        <v>2</v>
      </c>
      <c r="C174" s="43" t="inlineStr">
        <is>
          <t>K</t>
        </is>
      </c>
      <c r="D174" s="43" t="inlineStr">
        <is>
          <t>Sinh tài liệu có mục Nguồn</t>
        </is>
      </c>
      <c r="E174" s="43" t="inlineStr">
        <is>
          <t>— (bước của người / không gọi năng lực)</t>
        </is>
      </c>
      <c r="F174" s="43" t="inlineStr">
        <is>
          <t>Môi trường &amp; báo cáo</t>
        </is>
      </c>
      <c r="G174" s="43" t="inlineStr"/>
    </row>
    <row r="175">
      <c r="A175" s="42" t="inlineStr">
        <is>
          <t>UC-G04</t>
        </is>
      </c>
      <c r="B175" s="42" t="n">
        <v>3</v>
      </c>
      <c r="C175" s="42" t="inlineStr">
        <is>
          <t>N</t>
        </is>
      </c>
      <c r="D175" s="42" t="inlineStr">
        <is>
          <t>Duyệt</t>
        </is>
      </c>
      <c r="E175" s="42" t="inlineStr">
        <is>
          <t>— (bước của người / không gọi năng lực)</t>
        </is>
      </c>
      <c r="F175" s="42" t="inlineStr">
        <is>
          <t>Môi trường &amp; báo cáo</t>
        </is>
      </c>
      <c r="G175" s="42" t="inlineStr">
        <is>
          <t>G5</t>
        </is>
      </c>
    </row>
    <row r="176">
      <c r="A176" s="43" t="inlineStr">
        <is>
          <t>UC-H01</t>
        </is>
      </c>
      <c r="B176" s="43" t="n">
        <v>1</v>
      </c>
      <c r="C176" s="43" t="inlineStr">
        <is>
          <t>N</t>
        </is>
      </c>
      <c r="D176" s="43" t="inlineStr">
        <is>
          <t>Một câu lệnh, có thể là lệnh lớn bao trùm nhiều UC ('từ zip này dựng tri thức, môi trường, mô phỏng rồi viết firmware')</t>
        </is>
      </c>
      <c r="E176" s="43" t="inlineStr">
        <is>
          <t>archive.unpack (suy ra)</t>
        </is>
      </c>
      <c r="F176" s="43" t="inlineStr">
        <is>
          <t>Trò chuyện</t>
        </is>
      </c>
      <c r="G176" s="43" t="inlineStr">
        <is>
          <t>Lệnh</t>
        </is>
      </c>
    </row>
    <row r="177">
      <c r="A177" s="42" t="inlineStr">
        <is>
          <t>UC-H01</t>
        </is>
      </c>
      <c r="B177" s="42" t="n">
        <v>2</v>
      </c>
      <c r="C177" s="42" t="inlineStr">
        <is>
          <t>T</t>
        </is>
      </c>
      <c r="D177" s="42" t="inlineStr">
        <is>
          <t>Router phân loại ý định → vai trò; lệnh lớn được tách thành chuỗi UC và chạy theo chính sách A3</t>
        </is>
      </c>
      <c r="E177" s="42" t="inlineStr">
        <is>
          <t>ingest.classify (suy ra)</t>
        </is>
      </c>
      <c r="F177" s="42" t="inlineStr">
        <is>
          <t>Trò chuyện</t>
        </is>
      </c>
      <c r="G177" s="42" t="inlineStr"/>
    </row>
    <row r="178">
      <c r="A178" s="43" t="inlineStr">
        <is>
          <t>UC-H01</t>
        </is>
      </c>
      <c r="B178" s="43" t="n">
        <v>3</v>
      </c>
      <c r="C178" s="43" t="inlineStr">
        <is>
          <t>T</t>
        </is>
      </c>
      <c r="D178" s="43" t="inlineStr">
        <is>
          <t>Vai trò trả lời; nếu cần hành động nguy hiểm → G-OPS; nếu thiếu tri thức → UC-B07</t>
        </is>
      </c>
      <c r="E178" s="43" t="inlineStr">
        <is>
          <t>policy.permit (suy ra)</t>
        </is>
      </c>
      <c r="F178" s="43" t="inlineStr">
        <is>
          <t>Trò chuyện</t>
        </is>
      </c>
      <c r="G178" s="43" t="inlineStr"/>
    </row>
    <row r="179">
      <c r="A179" s="42" t="inlineStr">
        <is>
          <t>UC-H01</t>
        </is>
      </c>
      <c r="B179" s="42" t="n">
        <v>4</v>
      </c>
      <c r="C179" s="42" t="inlineStr">
        <is>
          <t>K</t>
        </is>
      </c>
      <c r="D179" s="42" t="inlineStr">
        <is>
          <t>Ledger; panel 'hành động đã làm'</t>
        </is>
      </c>
      <c r="E179" s="42" t="inlineStr">
        <is>
          <t>— (bước của người / không gọi năng lực)</t>
        </is>
      </c>
      <c r="F179" s="42" t="inlineStr">
        <is>
          <t>Trò chuyện</t>
        </is>
      </c>
      <c r="G179" s="42" t="inlineStr"/>
    </row>
    <row r="180">
      <c r="A180" s="43" t="inlineStr">
        <is>
          <t>UC-H02</t>
        </is>
      </c>
      <c r="B180" s="43" t="n">
        <v>1</v>
      </c>
      <c r="C180" s="43" t="inlineStr">
        <is>
          <t>T</t>
        </is>
      </c>
      <c r="D180" s="43" t="inlineStr">
        <is>
          <t>Liệt kê fact cần cho tác vụ; kiểm tồn tại và trạng thái (reviewed?)</t>
        </is>
      </c>
      <c r="E180" s="43" t="inlineStr">
        <is>
          <t>code.review (suy ra)</t>
        </is>
      </c>
      <c r="F180" s="43" t="inlineStr">
        <is>
          <t>Trò chuyện</t>
        </is>
      </c>
      <c r="G180" s="43" t="inlineStr"/>
    </row>
    <row r="181">
      <c r="A181" s="42" t="inlineStr">
        <is>
          <t>UC-H02</t>
        </is>
      </c>
      <c r="B181" s="42" t="n">
        <v>2</v>
      </c>
      <c r="C181" s="42" t="inlineStr">
        <is>
          <t>T</t>
        </is>
      </c>
      <c r="D181" s="42" t="inlineStr">
        <is>
          <t>Nếu thiếu/chưa duyệt → nêu rõ và dừng chờ</t>
        </is>
      </c>
      <c r="E181" s="42" t="inlineStr">
        <is>
          <t>— (bước của người / không gọi năng lực)</t>
        </is>
      </c>
      <c r="F181" s="42" t="inlineStr">
        <is>
          <t>Trò chuyện</t>
        </is>
      </c>
      <c r="G181" s="42" t="inlineStr"/>
    </row>
    <row r="182">
      <c r="A182" s="43" t="inlineStr">
        <is>
          <t>UC-H03</t>
        </is>
      </c>
      <c r="B182" s="43" t="n">
        <v>1</v>
      </c>
      <c r="C182" s="43" t="inlineStr">
        <is>
          <t>K</t>
        </is>
      </c>
      <c r="D182" s="43" t="inlineStr">
        <is>
          <t>Thử ứng viên kế tiếp theo fallback_on</t>
        </is>
      </c>
      <c r="E182" s="43" t="inlineStr">
        <is>
          <t>— (bước của người / không gọi năng lực)</t>
        </is>
      </c>
      <c r="F182" s="43" t="inlineStr">
        <is>
          <t>Mô hình &amp; chi phí</t>
        </is>
      </c>
      <c r="G182" s="43" t="inlineStr"/>
    </row>
    <row r="183">
      <c r="A183" s="42" t="inlineStr">
        <is>
          <t>UC-H03</t>
        </is>
      </c>
      <c r="B183" s="42" t="n">
        <v>2</v>
      </c>
      <c r="C183" s="42" t="inlineStr">
        <is>
          <t>K</t>
        </is>
      </c>
      <c r="D183" s="42" t="inlineStr">
        <is>
          <t>Nếu vượt ngân sách ngày → mở mục hỏi người</t>
        </is>
      </c>
      <c r="E183" s="42" t="inlineStr">
        <is>
          <t>chat.clarify (suy ra)</t>
        </is>
      </c>
      <c r="F183" s="42" t="inlineStr">
        <is>
          <t>Mô hình &amp; chi phí</t>
        </is>
      </c>
      <c r="G183" s="42" t="inlineStr"/>
    </row>
    <row r="184">
      <c r="A184" s="43" t="inlineStr">
        <is>
          <t>UC-H03</t>
        </is>
      </c>
      <c r="B184" s="43" t="n">
        <v>3</v>
      </c>
      <c r="C184" s="43" t="inlineStr">
        <is>
          <t>N</t>
        </is>
      </c>
      <c r="D184" s="43" t="inlineStr">
        <is>
          <t>Tăng ngân sách / chuyển cục bộ / dừng</t>
        </is>
      </c>
      <c r="E184" s="43" t="inlineStr">
        <is>
          <t>— (bước của người / không gọi năng lực)</t>
        </is>
      </c>
      <c r="F184" s="43" t="inlineStr">
        <is>
          <t>Mô hình &amp; chi phí</t>
        </is>
      </c>
      <c r="G184" s="43" t="inlineStr"/>
    </row>
    <row r="185">
      <c r="A185" s="42" t="inlineStr">
        <is>
          <t>UC-H04</t>
        </is>
      </c>
      <c r="B185" s="42" t="n">
        <v>1</v>
      </c>
      <c r="C185" s="42" t="inlineStr">
        <is>
          <t>T</t>
        </is>
      </c>
      <c r="D185" s="42" t="inlineStr">
        <is>
          <t>Trả lời rõ 'không có trong hộ chiếu' và đề nghị tìm/nạp</t>
        </is>
      </c>
      <c r="E185" s="42" t="inlineStr">
        <is>
          <t>target.flash (suy ra)</t>
        </is>
      </c>
      <c r="F185" s="42" t="inlineStr">
        <is>
          <t>Trò chuyện</t>
        </is>
      </c>
      <c r="G185" s="42" t="inlineStr"/>
    </row>
    <row r="186">
      <c r="A186" s="43" t="inlineStr">
        <is>
          <t>UC-H04</t>
        </is>
      </c>
      <c r="B186" s="43" t="n">
        <v>2</v>
      </c>
      <c r="C186" s="43" t="inlineStr">
        <is>
          <t>K</t>
        </is>
      </c>
      <c r="D186" s="43" t="inlineStr">
        <is>
          <t>stop_reason refusal → fallback theo chính sách; ghi ledger</t>
        </is>
      </c>
      <c r="E186" s="43" t="inlineStr">
        <is>
          <t>— (bước của người / không gọi năng lực)</t>
        </is>
      </c>
      <c r="F186" s="43" t="inlineStr">
        <is>
          <t>Trò chuyện</t>
        </is>
      </c>
      <c r="G186" s="43" t="inlineStr"/>
    </row>
    <row r="187">
      <c r="A187" s="42" t="inlineStr">
        <is>
          <t>UC-I01</t>
        </is>
      </c>
      <c r="B187" s="42" t="n">
        <v>1</v>
      </c>
      <c r="C187" s="42" t="inlineStr">
        <is>
          <t>N</t>
        </is>
      </c>
      <c r="D187" s="42" t="inlineStr">
        <is>
          <t>Ra lệnh: 'phân tích yêu cầu cho robot từ README' (hoặc tự chạy sau nhập zip)</t>
        </is>
      </c>
      <c r="E187" s="42" t="inlineStr">
        <is>
          <t>archive.unpack (suy ra)</t>
        </is>
      </c>
      <c r="F187" s="42" t="inlineStr">
        <is>
          <t>Yêu cầu &amp; kiến trúc</t>
        </is>
      </c>
      <c r="G187" s="42" t="inlineStr">
        <is>
          <t>Lệnh</t>
        </is>
      </c>
    </row>
    <row r="188">
      <c r="A188" s="43" t="inlineStr">
        <is>
          <t>UC-I01</t>
        </is>
      </c>
      <c r="B188" s="43" t="n">
        <v>2</v>
      </c>
      <c r="C188" s="43" t="inlineStr">
        <is>
          <t>T</t>
        </is>
      </c>
      <c r="D188" s="43" t="inlineStr">
        <is>
          <t>req.elicit: gom câu yêu cầu từ README/tài liệu/ảnh/chat; nêu gaps</t>
        </is>
      </c>
      <c r="E188" s="43" t="inlineStr">
        <is>
          <t>req.elicit</t>
        </is>
      </c>
      <c r="F188" s="43" t="inlineStr">
        <is>
          <t>Yêu cầu &amp; kiến trúc</t>
        </is>
      </c>
      <c r="G188" s="43" t="inlineStr">
        <is>
          <t>req.elicit</t>
        </is>
      </c>
    </row>
    <row r="189">
      <c r="A189" s="42" t="inlineStr">
        <is>
          <t>UC-I01</t>
        </is>
      </c>
      <c r="B189" s="42" t="n">
        <v>3</v>
      </c>
      <c r="C189" s="42" t="inlineStr">
        <is>
          <t>T</t>
        </is>
      </c>
      <c r="D189" s="42" t="inlineStr">
        <is>
          <t>req.classify: FR/NFR/HW/SAFETY/RT, câu đo được, mã UR/FR</t>
        </is>
      </c>
      <c r="E189" s="42" t="inlineStr">
        <is>
          <t>req.classify</t>
        </is>
      </c>
      <c r="F189" s="42" t="inlineStr">
        <is>
          <t>Yêu cầu &amp; kiến trúc</t>
        </is>
      </c>
      <c r="G189" s="42" t="inlineStr">
        <is>
          <t>req.classify</t>
        </is>
      </c>
    </row>
    <row r="190">
      <c r="A190" s="43" t="inlineStr">
        <is>
          <t>UC-I01</t>
        </is>
      </c>
      <c r="B190" s="43" t="n">
        <v>4</v>
      </c>
      <c r="C190" s="43" t="inlineStr">
        <is>
          <t>K</t>
        </is>
      </c>
      <c r="D190" s="43" t="inlineStr">
        <is>
          <t>req.ground_hw: so ngưỡng với fact (tần số, RAM, ADC, bus); thiếu fact → kg.request</t>
        </is>
      </c>
      <c r="E190" s="43" t="inlineStr">
        <is>
          <t>kg.request, req.ground_hw</t>
        </is>
      </c>
      <c r="F190" s="43" t="inlineStr">
        <is>
          <t>Yêu cầu &amp; kiến trúc</t>
        </is>
      </c>
      <c r="G190" s="43" t="inlineStr">
        <is>
          <t>req.ground_hw</t>
        </is>
      </c>
    </row>
    <row r="191">
      <c r="A191" s="42" t="inlineStr">
        <is>
          <t>UC-I01</t>
        </is>
      </c>
      <c r="B191" s="42" t="n">
        <v>5</v>
      </c>
      <c r="C191" s="42" t="inlineStr">
        <is>
          <t>T</t>
        </is>
      </c>
      <c r="D191" s="42" t="inlineStr">
        <is>
          <t>req.detect_conflict + req.prioritize; mâu thuẫn không tự giải → một câu hỏi gộp</t>
        </is>
      </c>
      <c r="E191" s="42" t="inlineStr">
        <is>
          <t>req.detect_conflict, req.prioritize</t>
        </is>
      </c>
      <c r="F191" s="42" t="inlineStr">
        <is>
          <t>Yêu cầu &amp; kiến trúc</t>
        </is>
      </c>
      <c r="G191" s="42" t="inlineStr">
        <is>
          <t>T1*</t>
        </is>
      </c>
    </row>
    <row r="192">
      <c r="A192" s="43" t="inlineStr">
        <is>
          <t>UC-I01</t>
        </is>
      </c>
      <c r="B192" s="43" t="n">
        <v>6</v>
      </c>
      <c r="C192" s="43" t="inlineStr">
        <is>
          <t>N</t>
        </is>
      </c>
      <c r="D192" s="43" t="inlineStr">
        <is>
          <t>Trả lời câu hỏi gộp (hoặc mặc định sau timeout)</t>
        </is>
      </c>
      <c r="E192" s="43" t="inlineStr">
        <is>
          <t>chat.clarify (suy ra)</t>
        </is>
      </c>
      <c r="F192" s="43" t="inlineStr">
        <is>
          <t>Yêu cầu &amp; kiến trúc</t>
        </is>
      </c>
      <c r="G192" s="43" t="inlineStr">
        <is>
          <t>D3</t>
        </is>
      </c>
    </row>
    <row r="193">
      <c r="A193" s="42" t="inlineStr">
        <is>
          <t>UC-I01</t>
        </is>
      </c>
      <c r="B193" s="42" t="n">
        <v>7</v>
      </c>
      <c r="C193" s="42" t="inlineStr">
        <is>
          <t>T</t>
        </is>
      </c>
      <c r="D193" s="42" t="inlineStr">
        <is>
          <t>req.acceptance sinh Given–When–Then; ghi bảng requirement; chat.report_back</t>
        </is>
      </c>
      <c r="E193" s="42" t="inlineStr">
        <is>
          <t>chat.report_back, req.acceptance</t>
        </is>
      </c>
      <c r="F193" s="42" t="inlineStr">
        <is>
          <t>Yêu cầu &amp; kiến trúc</t>
        </is>
      </c>
      <c r="G193" s="42" t="inlineStr">
        <is>
          <t>req.acceptance</t>
        </is>
      </c>
    </row>
    <row r="194">
      <c r="A194" s="43" t="inlineStr">
        <is>
          <t>UC-I02</t>
        </is>
      </c>
      <c r="B194" s="43" t="n">
        <v>1</v>
      </c>
      <c r="C194" s="43" t="inlineStr">
        <is>
          <t>T</t>
        </is>
      </c>
      <c r="D194" s="43" t="inlineStr">
        <is>
          <t>arch.style_select theo NFR/RT và fact tài nguyên (quy tắc tiền kiểm + lý do)</t>
        </is>
      </c>
      <c r="E194" s="43" t="inlineStr">
        <is>
          <t>arch.style_select</t>
        </is>
      </c>
      <c r="F194" s="43" t="inlineStr">
        <is>
          <t>Yêu cầu &amp; kiến trúc</t>
        </is>
      </c>
      <c r="G194" s="43" t="inlineStr">
        <is>
          <t>T1*</t>
        </is>
      </c>
    </row>
    <row r="195">
      <c r="A195" s="42" t="inlineStr">
        <is>
          <t>UC-I02</t>
        </is>
      </c>
      <c r="B195" s="42" t="n">
        <v>2</v>
      </c>
      <c r="C195" s="42" t="inlineStr">
        <is>
          <t>T</t>
        </is>
      </c>
      <c r="D195" s="42" t="inlineStr">
        <is>
          <t>arch.decompose → module theo lớp; mỗi FR có module</t>
        </is>
      </c>
      <c r="E195" s="42" t="inlineStr">
        <is>
          <t>arch.decompose</t>
        </is>
      </c>
      <c r="F195" s="42" t="inlineStr">
        <is>
          <t>Yêu cầu &amp; kiến trúc</t>
        </is>
      </c>
      <c r="G195" s="42" t="inlineStr">
        <is>
          <t>arch.decompose</t>
        </is>
      </c>
    </row>
    <row r="196">
      <c r="A196" s="43" t="inlineStr">
        <is>
          <t>UC-I02</t>
        </is>
      </c>
      <c r="B196" s="43" t="n">
        <v>3</v>
      </c>
      <c r="C196" s="43" t="inlineStr">
        <is>
          <t>K</t>
        </is>
      </c>
      <c r="D196" s="43" t="inlineStr">
        <is>
          <t>arch.map_hw + board.check_pins; xung đột → board.propose_fix</t>
        </is>
      </c>
      <c r="E196" s="43" t="inlineStr">
        <is>
          <t>arch.map_hw, board.check_pins, board.propose_fix</t>
        </is>
      </c>
      <c r="F196" s="43" t="inlineStr">
        <is>
          <t>Yêu cầu &amp; kiến trúc</t>
        </is>
      </c>
      <c r="G196" s="43" t="inlineStr">
        <is>
          <t>arch.map_hw</t>
        </is>
      </c>
    </row>
    <row r="197">
      <c r="A197" s="42" t="inlineStr">
        <is>
          <t>UC-I02</t>
        </is>
      </c>
      <c r="B197" s="42" t="n">
        <v>4</v>
      </c>
      <c r="C197" s="42" t="inlineStr">
        <is>
          <t>T</t>
        </is>
      </c>
      <c r="D197" s="42" t="inlineStr">
        <is>
          <t>arch.memory_budget + arch.timing_budget (RMS)</t>
        </is>
      </c>
      <c r="E197" s="42" t="inlineStr">
        <is>
          <t>arch.memory_budget, arch.timing_budget</t>
        </is>
      </c>
      <c r="F197" s="42" t="inlineStr">
        <is>
          <t>Yêu cầu &amp; kiến trúc</t>
        </is>
      </c>
      <c r="G197" s="42" t="inlineStr">
        <is>
          <t>arch.memory_budget</t>
        </is>
      </c>
    </row>
    <row r="198">
      <c r="A198" s="43" t="inlineStr">
        <is>
          <t>UC-I02</t>
        </is>
      </c>
      <c r="B198" s="43" t="n">
        <v>5</v>
      </c>
      <c r="C198" s="43" t="inlineStr">
        <is>
          <t>T</t>
        </is>
      </c>
      <c r="D198" s="43" t="inlineStr">
        <is>
          <t>arch.interface_spec + arch.state_machine cho module có FSM</t>
        </is>
      </c>
      <c r="E198" s="43" t="inlineStr">
        <is>
          <t>arch.interface_spec, arch.state_machine</t>
        </is>
      </c>
      <c r="F198" s="43" t="inlineStr">
        <is>
          <t>Yêu cầu &amp; kiến trúc</t>
        </is>
      </c>
      <c r="G198" s="43" t="inlineStr"/>
    </row>
    <row r="199">
      <c r="A199" s="42" t="inlineStr">
        <is>
          <t>UC-I02</t>
        </is>
      </c>
      <c r="B199" s="42" t="n">
        <v>6</v>
      </c>
      <c r="C199" s="42" t="inlineStr">
        <is>
          <t>T</t>
        </is>
      </c>
      <c r="D199" s="42" t="inlineStr">
        <is>
          <t>arch.adr ghi quyết định có trích dẫn; arch.review theo checklist</t>
        </is>
      </c>
      <c r="E199" s="42" t="inlineStr">
        <is>
          <t>arch.adr, arch.review</t>
        </is>
      </c>
      <c r="F199" s="42" t="inlineStr">
        <is>
          <t>Yêu cầu &amp; kiến trúc</t>
        </is>
      </c>
      <c r="G199" s="42" t="inlineStr">
        <is>
          <t>arch.adr</t>
        </is>
      </c>
    </row>
    <row r="200">
      <c r="A200" s="43" t="inlineStr">
        <is>
          <t>UC-I02</t>
        </is>
      </c>
      <c r="B200" s="43" t="n">
        <v>7</v>
      </c>
      <c r="C200" s="43" t="inlineStr">
        <is>
          <t>N</t>
        </is>
      </c>
      <c r="D200" s="43" t="inlineStr">
        <is>
          <t>Duyệt nếu đổi kiến trúc dự án đã có (G1) hoặc chọn phương án cuối khi arch.compare</t>
        </is>
      </c>
      <c r="E200" s="43" t="inlineStr">
        <is>
          <t>arch.compare</t>
        </is>
      </c>
      <c r="F200" s="43" t="inlineStr">
        <is>
          <t>Yêu cầu &amp; kiến trúc</t>
        </is>
      </c>
      <c r="G200" s="43" t="inlineStr">
        <is>
          <t>G1 tự động ≥ A2</t>
        </is>
      </c>
    </row>
    <row r="201">
      <c r="A201" s="42" t="inlineStr">
        <is>
          <t>UC-I02</t>
        </is>
      </c>
      <c r="B201" s="42" t="n">
        <v>8</v>
      </c>
      <c r="C201" s="42" t="inlineStr">
        <is>
          <t>T</t>
        </is>
      </c>
      <c r="D201" s="42" t="inlineStr">
        <is>
          <t>arch.to_plan → Feature; diagram.architecture/pinmap; chat.report_back</t>
        </is>
      </c>
      <c r="E201" s="42" t="inlineStr">
        <is>
          <t>arch.to_plan, chat.report_back, diagram.architecture</t>
        </is>
      </c>
      <c r="F201" s="42" t="inlineStr">
        <is>
          <t>Yêu cầu &amp; kiến trúc</t>
        </is>
      </c>
      <c r="G201" s="42" t="inlineStr">
        <is>
          <t>arch.to_plan</t>
        </is>
      </c>
    </row>
    <row r="202">
      <c r="A202" s="43" t="inlineStr">
        <is>
          <t>UC-I03</t>
        </is>
      </c>
      <c r="B202" s="43" t="n">
        <v>1</v>
      </c>
      <c r="C202" s="43" t="inlineStr">
        <is>
          <t>N</t>
        </is>
      </c>
      <c r="D202" s="43" t="inlineStr">
        <is>
          <t>Ra lệnh 'vẽ sơ đồ trạng thái module motor' (hoặc tự chạy trong P7)</t>
        </is>
      </c>
      <c r="E202" s="43" t="inlineStr">
        <is>
          <t>chat.parse_intent (suy ra)</t>
        </is>
      </c>
      <c r="F202" s="43" t="inlineStr">
        <is>
          <t>Lược đồ</t>
        </is>
      </c>
      <c r="G202" s="43" t="inlineStr">
        <is>
          <t>Lệnh</t>
        </is>
      </c>
    </row>
    <row r="203">
      <c r="A203" s="42" t="inlineStr">
        <is>
          <t>UC-I03</t>
        </is>
      </c>
      <c r="B203" s="42" t="n">
        <v>2</v>
      </c>
      <c r="C203" s="42" t="inlineStr">
        <is>
          <t>T</t>
        </is>
      </c>
      <c r="D203" s="42" t="inlineStr">
        <is>
          <t>Chọn generator theo kind; sinh mã lược đồ với node_ids = định danh mô hình</t>
        </is>
      </c>
      <c r="E203" s="42" t="inlineStr">
        <is>
          <t>diagram.state</t>
        </is>
      </c>
      <c r="F203" s="42" t="inlineStr">
        <is>
          <t>Lược đồ</t>
        </is>
      </c>
      <c r="G203" s="42" t="inlineStr">
        <is>
          <t>diagram.state</t>
        </is>
      </c>
    </row>
    <row r="204">
      <c r="A204" s="43" t="inlineStr">
        <is>
          <t>UC-I03</t>
        </is>
      </c>
      <c r="B204" s="43" t="n">
        <v>3</v>
      </c>
      <c r="C204" s="43" t="inlineStr">
        <is>
          <t>K</t>
        </is>
      </c>
      <c r="D204" s="43" t="inlineStr">
        <is>
          <t>diagram.lint (cú pháp, mồ côi, tên khớp mô hình)</t>
        </is>
      </c>
      <c r="E204" s="43" t="inlineStr">
        <is>
          <t>diagram.lint</t>
        </is>
      </c>
      <c r="F204" s="43" t="inlineStr">
        <is>
          <t>Lược đồ</t>
        </is>
      </c>
      <c r="G204" s="43" t="inlineStr">
        <is>
          <t>diagram.lint</t>
        </is>
      </c>
    </row>
    <row r="205">
      <c r="A205" s="42" t="inlineStr">
        <is>
          <t>UC-I03</t>
        </is>
      </c>
      <c r="B205" s="42" t="n">
        <v>4</v>
      </c>
      <c r="C205" s="42" t="inlineStr">
        <is>
          <t>H</t>
        </is>
      </c>
      <c r="D205" s="42" t="inlineStr">
        <is>
          <t>diagram.render trong sandbox (mmdc/plantuml/dot/d2/wavedrom) hoặc GEditor render</t>
        </is>
      </c>
      <c r="E205" s="42" t="inlineStr">
        <is>
          <t>diagram.render</t>
        </is>
      </c>
      <c r="F205" s="42" t="inlineStr">
        <is>
          <t>Lược đồ</t>
        </is>
      </c>
      <c r="G205" s="42" t="inlineStr">
        <is>
          <t>diagram.render</t>
        </is>
      </c>
    </row>
    <row r="206">
      <c r="A206" s="43" t="inlineStr">
        <is>
          <t>UC-I03</t>
        </is>
      </c>
      <c r="B206" s="43" t="n">
        <v>5</v>
      </c>
      <c r="C206" s="43" t="inlineStr">
        <is>
          <t>N</t>
        </is>
      </c>
      <c r="D206" s="43" t="inlineStr">
        <is>
          <t>Xem/sửa mã lược đồ trong DiagramView; sửa → lint/render lại</t>
        </is>
      </c>
      <c r="E206" s="43" t="inlineStr">
        <is>
          <t>— (bước của người / không gọi năng lực)</t>
        </is>
      </c>
      <c r="F206" s="43" t="inlineStr">
        <is>
          <t>Lược đồ</t>
        </is>
      </c>
      <c r="G206" s="43" t="inlineStr"/>
    </row>
    <row r="207">
      <c r="A207" s="42" t="inlineStr">
        <is>
          <t>UC-I03</t>
        </is>
      </c>
      <c r="B207" s="42" t="n">
        <v>6</v>
      </c>
      <c r="C207" s="42" t="inlineStr">
        <is>
          <t>T</t>
        </is>
      </c>
      <c r="D207" s="42" t="inlineStr">
        <is>
          <t>diagram.sync check ↔ mã/kiến trúc; lệch nhỏ tự cập nhật, lệch lớn hỏi</t>
        </is>
      </c>
      <c r="E207" s="42" t="inlineStr">
        <is>
          <t>diagram.sync</t>
        </is>
      </c>
      <c r="F207" s="42" t="inlineStr">
        <is>
          <t>Lược đồ</t>
        </is>
      </c>
      <c r="G207" s="42" t="inlineStr">
        <is>
          <t>T1*</t>
        </is>
      </c>
    </row>
    <row r="208">
      <c r="A208" s="43" t="inlineStr">
        <is>
          <t>UC-I04</t>
        </is>
      </c>
      <c r="B208" s="43" t="n">
        <v>1</v>
      </c>
      <c r="C208" s="43" t="inlineStr">
        <is>
          <t>N</t>
        </is>
      </c>
      <c r="D208" s="43" t="inlineStr">
        <is>
          <t>Ra lệnh 'viết SRS cho dự án'</t>
        </is>
      </c>
      <c r="E208" s="43" t="inlineStr">
        <is>
          <t>project.create (suy ra)</t>
        </is>
      </c>
      <c r="F208" s="43" t="inlineStr">
        <is>
          <t>Tài liệu</t>
        </is>
      </c>
      <c r="G208" s="43" t="inlineStr">
        <is>
          <t>Lệnh</t>
        </is>
      </c>
    </row>
    <row r="209">
      <c r="A209" s="42" t="inlineStr">
        <is>
          <t>UC-I04</t>
        </is>
      </c>
      <c r="B209" s="42" t="n">
        <v>2</v>
      </c>
      <c r="C209" s="42" t="inlineStr">
        <is>
          <t>T</t>
        </is>
      </c>
      <c r="D209" s="42" t="inlineStr">
        <is>
          <t>doc.generate: mục lục chuẩn theo loại; mỗi mục lấy tri thức nguồn; writer viết có citations</t>
        </is>
      </c>
      <c r="E209" s="42" t="inlineStr">
        <is>
          <t>doc.generate</t>
        </is>
      </c>
      <c r="F209" s="42" t="inlineStr">
        <is>
          <t>Tài liệu</t>
        </is>
      </c>
      <c r="G209" s="42" t="inlineStr">
        <is>
          <t>doc.generate</t>
        </is>
      </c>
    </row>
    <row r="210">
      <c r="A210" s="43" t="inlineStr">
        <is>
          <t>UC-I04</t>
        </is>
      </c>
      <c r="B210" s="43" t="n">
        <v>3</v>
      </c>
      <c r="C210" s="43" t="inlineStr">
        <is>
          <t>T</t>
        </is>
      </c>
      <c r="D210" s="43" t="inlineStr">
        <is>
          <t>doc.embed_diagram cho hình chuẩn (kiến trúc, chân, trạng thái)</t>
        </is>
      </c>
      <c r="E210" s="43" t="inlineStr">
        <is>
          <t>doc.embed_diagram</t>
        </is>
      </c>
      <c r="F210" s="43" t="inlineStr">
        <is>
          <t>Tài liệu</t>
        </is>
      </c>
      <c r="G210" s="43" t="inlineStr">
        <is>
          <t>doc.embed_diagram</t>
        </is>
      </c>
    </row>
    <row r="211">
      <c r="A211" s="42" t="inlineStr">
        <is>
          <t>UC-I04</t>
        </is>
      </c>
      <c r="B211" s="42" t="n">
        <v>4</v>
      </c>
      <c r="C211" s="42" t="inlineStr">
        <is>
          <t>K</t>
        </is>
      </c>
      <c r="D211" s="42" t="inlineStr">
        <is>
          <t>doc.style_check: tiếng Việt, thuật ngữ, khẳng định có nguồn, định dạng</t>
        </is>
      </c>
      <c r="E211" s="42" t="inlineStr">
        <is>
          <t>doc.style_check</t>
        </is>
      </c>
      <c r="F211" s="42" t="inlineStr">
        <is>
          <t>Tài liệu</t>
        </is>
      </c>
      <c r="G211" s="42" t="inlineStr">
        <is>
          <t>doc.style_check</t>
        </is>
      </c>
    </row>
    <row r="212">
      <c r="A212" s="43" t="inlineStr">
        <is>
          <t>UC-I04</t>
        </is>
      </c>
      <c r="B212" s="43" t="n">
        <v>5</v>
      </c>
      <c r="C212" s="43" t="inlineStr">
        <is>
          <t>T</t>
        </is>
      </c>
      <c r="D212" s="43" t="inlineStr">
        <is>
          <t>Sửa mục có issue (≤ 2 vòng); dựng docx; lưu DocArtifact; báo cáo</t>
        </is>
      </c>
      <c r="E212" s="43" t="inlineStr">
        <is>
          <t>report.progress (suy ra)</t>
        </is>
      </c>
      <c r="F212" s="43" t="inlineStr">
        <is>
          <t>Tài liệu</t>
        </is>
      </c>
      <c r="G212" s="43" t="inlineStr"/>
    </row>
    <row r="213">
      <c r="A213" s="42" t="inlineStr">
        <is>
          <t>UC-I05</t>
        </is>
      </c>
      <c r="B213" s="42" t="n">
        <v>1</v>
      </c>
      <c r="C213" s="42" t="inlineStr">
        <is>
          <t>N</t>
        </is>
      </c>
      <c r="D213" s="42" t="inlineStr">
        <is>
          <t>Sửa yêu cầu (hoặc fact đổi qua UC-B13)</t>
        </is>
      </c>
      <c r="E213" s="42" t="inlineStr">
        <is>
          <t>— (bước của người / không gọi năng lực)</t>
        </is>
      </c>
      <c r="F213" s="42" t="inlineStr">
        <is>
          <t>Yêu cầu &amp; kiến trúc</t>
        </is>
      </c>
      <c r="G213" s="42" t="inlineStr">
        <is>
          <t>Lệnh</t>
        </is>
      </c>
    </row>
    <row r="214">
      <c r="A214" s="43" t="inlineStr">
        <is>
          <t>UC-I05</t>
        </is>
      </c>
      <c r="B214" s="43" t="n">
        <v>2</v>
      </c>
      <c r="C214" s="43" t="inlineStr">
        <is>
          <t>K</t>
        </is>
      </c>
      <c r="D214" s="43" t="inlineStr">
        <is>
          <t>req.change_impact + kg.impact → danh sách hiện vật</t>
        </is>
      </c>
      <c r="E214" s="43" t="inlineStr">
        <is>
          <t>kg.impact, req.change_impact</t>
        </is>
      </c>
      <c r="F214" s="43" t="inlineStr">
        <is>
          <t>Yêu cầu &amp; kiến trúc</t>
        </is>
      </c>
      <c r="G214" s="43" t="inlineStr">
        <is>
          <t>req.change_impact</t>
        </is>
      </c>
    </row>
    <row r="215">
      <c r="A215" s="42" t="inlineStr">
        <is>
          <t>UC-I05</t>
        </is>
      </c>
      <c r="B215" s="42" t="n">
        <v>3</v>
      </c>
      <c r="C215" s="42" t="inlineStr">
        <is>
          <t>T</t>
        </is>
      </c>
      <c r="D215" s="42" t="inlineStr">
        <is>
          <t>doc.sync/diagram.sync: mục nhỏ tự cập nhật, lớn hỏi</t>
        </is>
      </c>
      <c r="E215" s="42" t="inlineStr">
        <is>
          <t>diagram.sync, doc.sync</t>
        </is>
      </c>
      <c r="F215" s="42" t="inlineStr">
        <is>
          <t>Yêu cầu &amp; kiến trúc</t>
        </is>
      </c>
      <c r="G215" s="42" t="inlineStr">
        <is>
          <t>T1*</t>
        </is>
      </c>
    </row>
    <row r="216">
      <c r="A216" s="43" t="inlineStr">
        <is>
          <t>UC-I05</t>
        </is>
      </c>
      <c r="B216" s="43" t="n">
        <v>4</v>
      </c>
      <c r="C216" s="43" t="inlineStr">
        <is>
          <t>K</t>
        </is>
      </c>
      <c r="D216" s="43" t="inlineStr">
        <is>
          <t>Feature liên quan → failing; view.impact_map; báo cáo</t>
        </is>
      </c>
      <c r="E216" s="43" t="inlineStr">
        <is>
          <t>view.impact_map</t>
        </is>
      </c>
      <c r="F216" s="43" t="inlineStr">
        <is>
          <t>Yêu cầu &amp; kiến trúc</t>
        </is>
      </c>
      <c r="G216" s="43" t="inlineStr"/>
    </row>
    <row r="217">
      <c r="A217" s="42" t="inlineStr">
        <is>
          <t>UC-J01</t>
        </is>
      </c>
      <c r="B217" s="42" t="n">
        <v>1</v>
      </c>
      <c r="C217" s="42" t="inlineStr">
        <is>
          <t>N</t>
        </is>
      </c>
      <c r="D217" s="42" t="inlineStr">
        <is>
          <t>Mở bản đồ / ra lệnh</t>
        </is>
      </c>
      <c r="E217" s="42" t="inlineStr">
        <is>
          <t>chat.parse_intent (suy ra)</t>
        </is>
      </c>
      <c r="F217" s="42" t="inlineStr">
        <is>
          <t>Bản đồ tri thức &amp; hỏi đáp</t>
        </is>
      </c>
      <c r="G217" s="42" t="inlineStr">
        <is>
          <t>Lệnh</t>
        </is>
      </c>
    </row>
    <row r="218">
      <c r="A218" s="43" t="inlineStr">
        <is>
          <t>UC-J01</t>
        </is>
      </c>
      <c r="B218" s="43" t="n">
        <v>2</v>
      </c>
      <c r="C218" s="43" t="inlineStr">
        <is>
          <t>K</t>
        </is>
      </c>
      <c r="D218" s="43" t="inlineStr">
        <is>
          <t>view.kg_map: dựng, tô màu tier/status/lớp, gom cụm &gt; 5.000 nút</t>
        </is>
      </c>
      <c r="E218" s="43" t="inlineStr">
        <is>
          <t>view.kg_map</t>
        </is>
      </c>
      <c r="F218" s="43" t="inlineStr">
        <is>
          <t>Bản đồ tri thức &amp; hỏi đáp</t>
        </is>
      </c>
      <c r="G218" s="43" t="inlineStr">
        <is>
          <t>view.kg_map</t>
        </is>
      </c>
    </row>
    <row r="219">
      <c r="A219" s="42" t="inlineStr">
        <is>
          <t>UC-J01</t>
        </is>
      </c>
      <c r="B219" s="42" t="n">
        <v>3</v>
      </c>
      <c r="C219" s="42" t="inlineStr">
        <is>
          <t>N</t>
        </is>
      </c>
      <c r="D219" s="42" t="inlineStr">
        <is>
          <t>Nhấp nút → view.kg_focus; nhấp fact → view.provenance mở PDF trang/bbox</t>
        </is>
      </c>
      <c r="E219" s="42" t="inlineStr">
        <is>
          <t>view.kg_focus, view.provenance</t>
        </is>
      </c>
      <c r="F219" s="42" t="inlineStr">
        <is>
          <t>Bản đồ tri thức &amp; hỏi đáp</t>
        </is>
      </c>
      <c r="G219" s="42" t="inlineStr"/>
    </row>
    <row r="220">
      <c r="A220" s="43" t="inlineStr">
        <is>
          <t>UC-J01</t>
        </is>
      </c>
      <c r="B220" s="43" t="n">
        <v>4</v>
      </c>
      <c r="C220" s="43" t="inlineStr">
        <is>
          <t>K</t>
        </is>
      </c>
      <c r="D220" s="43" t="inlineStr">
        <is>
          <t>view.coverage_map / view.impact_map theo yêu cầu</t>
        </is>
      </c>
      <c r="E220" s="43" t="inlineStr">
        <is>
          <t>view.coverage_map, view.impact_map</t>
        </is>
      </c>
      <c r="F220" s="43" t="inlineStr">
        <is>
          <t>Bản đồ tri thức &amp; hỏi đáp</t>
        </is>
      </c>
      <c r="G220" s="43" t="inlineStr"/>
    </row>
    <row r="221">
      <c r="A221" s="42" t="inlineStr">
        <is>
          <t>UC-J01</t>
        </is>
      </c>
      <c r="B221" s="42" t="n">
        <v>5</v>
      </c>
      <c r="C221" s="42" t="inlineStr">
        <is>
          <t>N</t>
        </is>
      </c>
      <c r="D221" s="42" t="inlineStr">
        <is>
          <t>Xuất Mermaid/DOT để chèn tài liệu</t>
        </is>
      </c>
      <c r="E221" s="42" t="inlineStr">
        <is>
          <t>view.export_map</t>
        </is>
      </c>
      <c r="F221" s="42" t="inlineStr">
        <is>
          <t>Bản đồ tri thức &amp; hỏi đáp</t>
        </is>
      </c>
      <c r="G221" s="42" t="inlineStr">
        <is>
          <t>view.export_map</t>
        </is>
      </c>
    </row>
    <row r="222">
      <c r="A222" s="43" t="inlineStr">
        <is>
          <t>UC-J02</t>
        </is>
      </c>
      <c r="B222" s="43" t="n">
        <v>1</v>
      </c>
      <c r="C222" s="43" t="inlineStr">
        <is>
          <t>N</t>
        </is>
      </c>
      <c r="D222" s="43" t="inlineStr">
        <is>
          <t>Hỏi 'địa chỉ I2C BME280 và điều kiện chọn?'</t>
        </is>
      </c>
      <c r="E222" s="43" t="inlineStr">
        <is>
          <t>chat.clarify (suy ra)</t>
        </is>
      </c>
      <c r="F222" s="43" t="inlineStr">
        <is>
          <t>Bản đồ tri thức &amp; hỏi đáp</t>
        </is>
      </c>
      <c r="G222" s="43" t="inlineStr">
        <is>
          <t>Lệnh</t>
        </is>
      </c>
    </row>
    <row r="223">
      <c r="A223" s="42" t="inlineStr">
        <is>
          <t>UC-J02</t>
        </is>
      </c>
      <c r="B223" s="42" t="n">
        <v>2</v>
      </c>
      <c r="C223" s="42" t="inlineStr">
        <is>
          <t>K</t>
        </is>
      </c>
      <c r="D223" s="42" t="inlineStr">
        <is>
          <t>RagIndex.retrieve lai (FTS5 + vector + lan tỏa KG)</t>
        </is>
      </c>
      <c r="E223" s="42" t="inlineStr">
        <is>
          <t>memory.retrieve</t>
        </is>
      </c>
      <c r="F223" s="42" t="inlineStr">
        <is>
          <t>Bản đồ tri thức &amp; hỏi đáp</t>
        </is>
      </c>
      <c r="G223" s="42" t="inlineStr">
        <is>
          <t>memory.retrieve</t>
        </is>
      </c>
    </row>
    <row r="224">
      <c r="A224" s="43" t="inlineStr">
        <is>
          <t>UC-J02</t>
        </is>
      </c>
      <c r="B224" s="43" t="n">
        <v>3</v>
      </c>
      <c r="C224" s="43" t="inlineStr">
        <is>
          <t>T</t>
        </is>
      </c>
      <c r="D224" s="43" t="inlineStr">
        <is>
          <t>writer trả lời chỉ từ chunk, mỗi câu [n]; không đủ điểm → chat.decline</t>
        </is>
      </c>
      <c r="E224" s="43" t="inlineStr">
        <is>
          <t>chat.decline, view.rag_ask</t>
        </is>
      </c>
      <c r="F224" s="43" t="inlineStr">
        <is>
          <t>Bản đồ tri thức &amp; hỏi đáp</t>
        </is>
      </c>
      <c r="G224" s="43" t="inlineStr">
        <is>
          <t>view.rag_ask</t>
        </is>
      </c>
    </row>
    <row r="225">
      <c r="A225" s="42" t="inlineStr">
        <is>
          <t>UC-J02</t>
        </is>
      </c>
      <c r="B225" s="42" t="n">
        <v>4</v>
      </c>
      <c r="C225" s="42" t="inlineStr">
        <is>
          <t>N</t>
        </is>
      </c>
      <c r="D225" s="42" t="inlineStr">
        <is>
          <t>Nhấp [n] → mở nguồn; 'Vì sao' → view.rag_trace; 'So sánh nguồn' → view.rag_compare</t>
        </is>
      </c>
      <c r="E225" s="42" t="inlineStr">
        <is>
          <t>view.rag_compare, view.rag_trace</t>
        </is>
      </c>
      <c r="F225" s="42" t="inlineStr">
        <is>
          <t>Bản đồ tri thức &amp; hỏi đáp</t>
        </is>
      </c>
      <c r="G225" s="42" t="inlineStr"/>
    </row>
    <row r="226">
      <c r="A226" s="43" t="inlineStr">
        <is>
          <t>UC-J03</t>
        </is>
      </c>
      <c r="B226" s="43" t="n">
        <v>1</v>
      </c>
      <c r="C226" s="43" t="inlineStr">
        <is>
          <t>H</t>
        </is>
      </c>
      <c r="D226" s="43" t="inlineStr">
        <is>
          <t>event.discover.changed khi cắm/rút (hotplug)</t>
        </is>
      </c>
      <c r="E226" s="43" t="inlineStr">
        <is>
          <t>— (bước của người / không gọi năng lực)</t>
        </is>
      </c>
      <c r="F226" s="43" t="inlineStr">
        <is>
          <t>Dò board</t>
        </is>
      </c>
      <c r="G226" s="43" t="inlineStr"/>
    </row>
    <row r="227">
      <c r="A227" s="42" t="inlineStr">
        <is>
          <t>UC-J03</t>
        </is>
      </c>
      <c r="B227" s="42" t="n">
        <v>2</v>
      </c>
      <c r="C227" s="42" t="inlineStr">
        <is>
          <t>K</t>
        </is>
      </c>
      <c r="D227" s="42" t="inlineStr">
        <is>
          <t>discover.ports + discover.probe (VID/PID, probe-rs list)</t>
        </is>
      </c>
      <c r="E227" s="42" t="inlineStr">
        <is>
          <t>discover.ports, discover.probe</t>
        </is>
      </c>
      <c r="F227" s="42" t="inlineStr">
        <is>
          <t>Dò board</t>
        </is>
      </c>
      <c r="G227" s="42" t="inlineStr">
        <is>
          <t>discover.ports</t>
        </is>
      </c>
    </row>
    <row r="228">
      <c r="A228" s="43" t="inlineStr">
        <is>
          <t>UC-J03</t>
        </is>
      </c>
      <c r="B228" s="43" t="n">
        <v>3</v>
      </c>
      <c r="C228" s="43" t="inlineStr">
        <is>
          <t>H</t>
        </is>
      </c>
      <c r="D228" s="43" t="inlineStr">
        <is>
          <t>discover.chip_id qua probe theo họ; đối chiếu hộ chiếu</t>
        </is>
      </c>
      <c r="E228" s="43" t="inlineStr">
        <is>
          <t>discover.chip_id</t>
        </is>
      </c>
      <c r="F228" s="43" t="inlineStr">
        <is>
          <t>Dò board</t>
        </is>
      </c>
      <c r="G228" s="43" t="inlineStr">
        <is>
          <t>discover.chip_id</t>
        </is>
      </c>
    </row>
    <row r="229">
      <c r="A229" s="42" t="inlineStr">
        <is>
          <t>UC-J03</t>
        </is>
      </c>
      <c r="B229" s="42" t="n">
        <v>4</v>
      </c>
      <c r="C229" s="42" t="inlineStr">
        <is>
          <t>K</t>
        </is>
      </c>
      <c r="D229" s="42" t="inlineStr">
        <is>
          <t>discover.firmware_probe (banner) + discover.power (VDD)</t>
        </is>
      </c>
      <c r="E229" s="42" t="inlineStr">
        <is>
          <t>discover.firmware_probe, discover.power</t>
        </is>
      </c>
      <c r="F229" s="42" t="inlineStr">
        <is>
          <t>Dò board</t>
        </is>
      </c>
      <c r="G229" s="42" t="inlineStr"/>
    </row>
    <row r="230">
      <c r="A230" s="43" t="inlineStr">
        <is>
          <t>UC-J03</t>
        </is>
      </c>
      <c r="B230" s="43" t="n">
        <v>5</v>
      </c>
      <c r="C230" s="43" t="inlineStr">
        <is>
          <t>K</t>
        </is>
      </c>
      <c r="D230" s="43" t="inlineStr">
        <is>
          <t>discover.auto_setup ghi target.yaml (sao lưu cũ); board lab từ autonomy.yaml</t>
        </is>
      </c>
      <c r="E230" s="43" t="inlineStr">
        <is>
          <t>discover.auto_setup</t>
        </is>
      </c>
      <c r="F230" s="43" t="inlineStr">
        <is>
          <t>Dò board</t>
        </is>
      </c>
      <c r="G230" s="43" t="inlineStr">
        <is>
          <t>discover.auto_setup</t>
        </is>
      </c>
    </row>
    <row r="231">
      <c r="A231" s="42" t="inlineStr">
        <is>
          <t>UC-J03</t>
        </is>
      </c>
      <c r="B231" s="42" t="n">
        <v>6</v>
      </c>
      <c r="C231" s="42" t="inlineStr">
        <is>
          <t>T</t>
        </is>
      </c>
      <c r="D231" s="42" t="inlineStr">
        <is>
          <t>Thông báo ngắn trong chat/thanh trạng thái</t>
        </is>
      </c>
      <c r="E231" s="42" t="inlineStr">
        <is>
          <t>— (bước của người / không gọi năng lực)</t>
        </is>
      </c>
      <c r="F231" s="42" t="inlineStr">
        <is>
          <t>Dò board</t>
        </is>
      </c>
      <c r="G231" s="42" t="inlineStr"/>
    </row>
    <row r="232">
      <c r="A232" s="43" t="inlineStr">
        <is>
          <t>UC-J04</t>
        </is>
      </c>
      <c r="B232" s="43" t="n">
        <v>1</v>
      </c>
      <c r="C232" s="43" t="inlineStr">
        <is>
          <t>T</t>
        </is>
      </c>
      <c r="D232" s="43" t="inlineStr">
        <is>
          <t>Chọn thang nấc theo kind; limit từ fact (swd_max_khz, uart_max_baud) hoặc mặc định ISA</t>
        </is>
      </c>
      <c r="E232" s="43" t="inlineStr">
        <is>
          <t>discover.link_speed</t>
        </is>
      </c>
      <c r="F232" s="43" t="inlineStr">
        <is>
          <t>Dò board</t>
        </is>
      </c>
      <c r="G232" s="43" t="inlineStr">
        <is>
          <t>discover.link_speed</t>
        </is>
      </c>
    </row>
    <row r="233">
      <c r="A233" s="42" t="inlineStr">
        <is>
          <t>UC-J04</t>
        </is>
      </c>
      <c r="B233" s="42" t="n">
        <v>2</v>
      </c>
      <c r="C233" s="42" t="inlineStr">
        <is>
          <t>H</t>
        </is>
      </c>
      <c r="D233" s="42" t="inlineStr">
        <is>
          <t>Thử từng nấc 1.000 khung (echo/IDCODE/ID ngoại vi); đo lỗi</t>
        </is>
      </c>
      <c r="E233" s="42" t="inlineStr">
        <is>
          <t>— (bước của người / không gọi năng lực)</t>
        </is>
      </c>
      <c r="F233" s="42" t="inlineStr">
        <is>
          <t>Dò board</t>
        </is>
      </c>
      <c r="G233" s="42" t="inlineStr"/>
    </row>
    <row r="234">
      <c r="A234" s="43" t="inlineStr">
        <is>
          <t>UC-J04</t>
        </is>
      </c>
      <c r="B234" s="43" t="n">
        <v>3</v>
      </c>
      <c r="C234" s="43" t="inlineStr">
        <is>
          <t>T</t>
        </is>
      </c>
      <c r="D234" s="43" t="inlineStr">
        <is>
          <t>Chọn nấc cao nhất lỗi 0; nấc vượt limit → ASK</t>
        </is>
      </c>
      <c r="E234" s="43" t="inlineStr">
        <is>
          <t>— (bước của người / không gọi năng lực)</t>
        </is>
      </c>
      <c r="F234" s="43" t="inlineStr">
        <is>
          <t>Dò board</t>
        </is>
      </c>
      <c r="G234" s="43" t="inlineStr">
        <is>
          <t>T1</t>
        </is>
      </c>
    </row>
    <row r="235">
      <c r="A235" s="42" t="inlineStr">
        <is>
          <t>UC-J04</t>
        </is>
      </c>
      <c r="B235" s="42" t="n">
        <v>4</v>
      </c>
      <c r="C235" s="42" t="inlineStr">
        <is>
          <t>K</t>
        </is>
      </c>
      <c r="D235" s="42" t="inlineStr">
        <is>
          <t>Ghi target.yaml; báo cáo</t>
        </is>
      </c>
      <c r="E235" s="42" t="inlineStr">
        <is>
          <t>report.progress (suy ra)</t>
        </is>
      </c>
      <c r="F235" s="42" t="inlineStr">
        <is>
          <t>Dò board</t>
        </is>
      </c>
      <c r="G235" s="42" t="inlineStr"/>
    </row>
    <row r="236">
      <c r="A236" s="43" t="inlineStr">
        <is>
          <t>UC-J05</t>
        </is>
      </c>
      <c r="B236" s="43" t="n">
        <v>1</v>
      </c>
      <c r="C236" s="43" t="inlineStr">
        <is>
          <t>K</t>
        </is>
      </c>
      <c r="D236" s="43" t="inlineStr">
        <is>
          <t>discover.bus_scan i2c/spi trên board lab (firmware kiểm định)</t>
        </is>
      </c>
      <c r="E236" s="43" t="inlineStr">
        <is>
          <t>discover.bus_scan</t>
        </is>
      </c>
      <c r="F236" s="43" t="inlineStr">
        <is>
          <t>Dò board</t>
        </is>
      </c>
      <c r="G236" s="43" t="inlineStr">
        <is>
          <t>discover.bus_scan</t>
        </is>
      </c>
    </row>
    <row r="237">
      <c r="A237" s="42" t="inlineStr">
        <is>
          <t>UC-J05</t>
        </is>
      </c>
      <c r="B237" s="42" t="n">
        <v>2</v>
      </c>
      <c r="C237" s="42" t="inlineStr">
        <is>
          <t>T</t>
        </is>
      </c>
      <c r="D237" s="42" t="inlineStr">
        <is>
          <t>extract.image_board nếu có ảnh</t>
        </is>
      </c>
      <c r="E237" s="42" t="inlineStr">
        <is>
          <t>extract.image_board</t>
        </is>
      </c>
      <c r="F237" s="42" t="inlineStr">
        <is>
          <t>Dò board</t>
        </is>
      </c>
      <c r="G237" s="42" t="inlineStr"/>
    </row>
    <row r="238">
      <c r="A238" s="43" t="inlineStr">
        <is>
          <t>UC-J05</t>
        </is>
      </c>
      <c r="B238" s="43" t="n">
        <v>3</v>
      </c>
      <c r="C238" s="43" t="inlineStr">
        <is>
          <t>T</t>
        </is>
      </c>
      <c r="D238" s="43" t="inlineStr">
        <is>
          <t>discover.board_match tính điểm với registry/templates/BOM</t>
        </is>
      </c>
      <c r="E238" s="43" t="inlineStr">
        <is>
          <t>discover.board_match</t>
        </is>
      </c>
      <c r="F238" s="43" t="inlineStr">
        <is>
          <t>Dò board</t>
        </is>
      </c>
      <c r="G238" s="43" t="inlineStr">
        <is>
          <t>discover.board_match</t>
        </is>
      </c>
    </row>
    <row r="239">
      <c r="A239" s="42" t="inlineStr">
        <is>
          <t>UC-J05</t>
        </is>
      </c>
      <c r="B239" s="42" t="n">
        <v>4</v>
      </c>
      <c r="C239" s="42" t="inlineStr">
        <is>
          <t>N</t>
        </is>
      </c>
      <c r="D239" s="42" t="inlineStr">
        <is>
          <t>Chọn nếu ứng viên điểm gần nhau (một câu hỏi gộp)</t>
        </is>
      </c>
      <c r="E239" s="42" t="inlineStr">
        <is>
          <t>chat.clarify (suy ra)</t>
        </is>
      </c>
      <c r="F239" s="42" t="inlineStr">
        <is>
          <t>Dò board</t>
        </is>
      </c>
      <c r="G239" s="42" t="inlineStr">
        <is>
          <t>T1*</t>
        </is>
      </c>
    </row>
    <row r="240">
      <c r="A240" s="43" t="inlineStr">
        <is>
          <t>UC-K01</t>
        </is>
      </c>
      <c r="B240" s="43" t="n">
        <v>1</v>
      </c>
      <c r="C240" s="43" t="inlineStr">
        <is>
          <t>T</t>
        </is>
      </c>
      <c r="D240" s="43" t="inlineStr">
        <is>
          <t>tool.need: nhận diện nhu cầu, viết ToolSpec (vào/ra/effects/deps/acceptance); tool.search tái dùng nếu có</t>
        </is>
      </c>
      <c r="E240" s="43" t="inlineStr">
        <is>
          <t>tool.need, tool.search</t>
        </is>
      </c>
      <c r="F240" s="43" t="inlineStr">
        <is>
          <t>Công cụ tự tạo</t>
        </is>
      </c>
      <c r="G240" s="43" t="inlineStr">
        <is>
          <t>tool.need</t>
        </is>
      </c>
    </row>
    <row r="241">
      <c r="A241" s="42" t="inlineStr">
        <is>
          <t>UC-K01</t>
        </is>
      </c>
      <c r="B241" s="42" t="n">
        <v>2</v>
      </c>
      <c r="C241" s="42" t="inlineStr">
        <is>
          <t>T</t>
        </is>
      </c>
      <c r="D241" s="42" t="inlineStr">
        <is>
          <t>tool.write: coder sinh tool.py + test; kiểm tĩnh import theo effects</t>
        </is>
      </c>
      <c r="E241" s="42" t="inlineStr">
        <is>
          <t>tool.write</t>
        </is>
      </c>
      <c r="F241" s="42" t="inlineStr">
        <is>
          <t>Công cụ tự tạo</t>
        </is>
      </c>
      <c r="G241" s="42" t="inlineStr">
        <is>
          <t>tool.write</t>
        </is>
      </c>
    </row>
    <row r="242">
      <c r="A242" s="43" t="inlineStr">
        <is>
          <t>UC-K01</t>
        </is>
      </c>
      <c r="B242" s="43" t="n">
        <v>3</v>
      </c>
      <c r="C242" s="43" t="inlineStr">
        <is>
          <t>K</t>
        </is>
      </c>
      <c r="D242" s="43" t="inlineStr">
        <is>
          <t>tool.test trong sandbox: pytest + giám sát hiệu ứng thực tế ⊆ khai báo</t>
        </is>
      </c>
      <c r="E242" s="43" t="inlineStr">
        <is>
          <t>tool.test</t>
        </is>
      </c>
      <c r="F242" s="43" t="inlineStr">
        <is>
          <t>Công cụ tự tạo</t>
        </is>
      </c>
      <c r="G242" s="43" t="inlineStr">
        <is>
          <t>tool.test</t>
        </is>
      </c>
    </row>
    <row r="243">
      <c r="A243" s="42" t="inlineStr">
        <is>
          <t>UC-K01</t>
        </is>
      </c>
      <c r="B243" s="42" t="n">
        <v>4</v>
      </c>
      <c r="C243" s="42" t="inlineStr">
        <is>
          <t>T</t>
        </is>
      </c>
      <c r="D243" s="42" t="inlineStr">
        <is>
          <t>Thất bại → tool.repair ≤ 3 vòng</t>
        </is>
      </c>
      <c r="E243" s="42" t="inlineStr">
        <is>
          <t>tool.repair</t>
        </is>
      </c>
      <c r="F243" s="42" t="inlineStr">
        <is>
          <t>Công cụ tự tạo</t>
        </is>
      </c>
      <c r="G243" s="42" t="inlineStr">
        <is>
          <t>tool.repair</t>
        </is>
      </c>
    </row>
    <row r="244">
      <c r="A244" s="43" t="inlineStr">
        <is>
          <t>UC-K01</t>
        </is>
      </c>
      <c r="B244" s="43" t="n">
        <v>5</v>
      </c>
      <c r="C244" s="43" t="inlineStr">
        <is>
          <t>K</t>
        </is>
      </c>
      <c r="D244" s="43" t="inlineStr">
        <is>
          <t>tool.register: khai báo Capability user.&lt;name&gt; (risk từ effects, tier, undo); nạp nóng registry</t>
        </is>
      </c>
      <c r="E244" s="43" t="inlineStr">
        <is>
          <t>tool.register</t>
        </is>
      </c>
      <c r="F244" s="43" t="inlineStr">
        <is>
          <t>Công cụ tự tạo</t>
        </is>
      </c>
      <c r="G244" s="43" t="inlineStr">
        <is>
          <t>tool.register</t>
        </is>
      </c>
    </row>
    <row r="245">
      <c r="A245" s="42" t="inlineStr">
        <is>
          <t>UC-K01</t>
        </is>
      </c>
      <c r="B245" s="42" t="n">
        <v>6</v>
      </c>
      <c r="C245" s="42" t="inlineStr">
        <is>
          <t>K</t>
        </is>
      </c>
      <c r="D245" s="42" t="inlineStr">
        <is>
          <t>tool.run trong chuỗi: policy G-TOOL (TOOL-01…05) → sandbox theo effects → kết quả → ledger</t>
        </is>
      </c>
      <c r="E245" s="42" t="inlineStr">
        <is>
          <t>tool.run</t>
        </is>
      </c>
      <c r="F245" s="42" t="inlineStr">
        <is>
          <t>Công cụ tự tạo</t>
        </is>
      </c>
      <c r="G245" s="42" t="inlineStr">
        <is>
          <t>G-TOOL</t>
        </is>
      </c>
    </row>
    <row r="246">
      <c r="A246" s="43" t="inlineStr">
        <is>
          <t>UC-K01</t>
        </is>
      </c>
      <c r="B246" s="43" t="n">
        <v>7</v>
      </c>
      <c r="C246" s="43" t="inlineStr">
        <is>
          <t>N</t>
        </is>
      </c>
      <c r="D246" s="43" t="inlineStr">
        <is>
          <t>Chỉ khi hiệu ứng hệ thống/phần cứng ngoài lab hoặc chưa đủ lịch sử: duyệt/từ chối; xem mã và test trong ToolForge</t>
        </is>
      </c>
      <c r="E246" s="43" t="inlineStr">
        <is>
          <t>chat.decline (suy ra)</t>
        </is>
      </c>
      <c r="F246" s="43" t="inlineStr">
        <is>
          <t>Công cụ tự tạo</t>
        </is>
      </c>
      <c r="G246" s="43" t="inlineStr">
        <is>
          <t>TOOL-05/TOOL-99</t>
        </is>
      </c>
    </row>
    <row r="247">
      <c r="A247" s="42" t="inlineStr">
        <is>
          <t>UC-K01</t>
        </is>
      </c>
      <c r="B247" s="42" t="n">
        <v>8</v>
      </c>
      <c r="C247" s="42" t="inlineStr">
        <is>
          <t>T</t>
        </is>
      </c>
      <c r="D247" s="42" t="inlineStr">
        <is>
          <t>Sau ≥ 3 lần ok: tool.promote đề xuất gói kind=tool → Pack owner duyệt → năng lực chính thức; hoặc tool.deprecate</t>
        </is>
      </c>
      <c r="E247" s="42" t="inlineStr">
        <is>
          <t>tool.deprecate, tool.promote</t>
        </is>
      </c>
      <c r="F247" s="42" t="inlineStr">
        <is>
          <t>Công cụ tự tạo</t>
        </is>
      </c>
      <c r="G247" s="42" t="inlineStr">
        <is>
          <t>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2026-09-05T15:34:50Z</dcterms:created>
  <dcterms:modified xmlns:dcterms="http://purl.org/dc/terms/" xmlns:xsi="http://www.w3.org/2001/XMLSchema-instance" xsi:type="dcterms:W3CDTF">2026-09-05T22:56:14Z</dcterms:modified>
  <cp:revision>0</cp:revision>
</cp:coreProperties>
</file>