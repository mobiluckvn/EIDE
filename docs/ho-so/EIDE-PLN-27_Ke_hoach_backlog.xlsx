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 Hướng dẫn" sheetId="1" state="visible" r:id="rId3"/>
    <sheet name="1. Mốc" sheetId="2" state="visible" r:id="rId4"/>
    <sheet name="2. Backlog" sheetId="3" state="visible" r:id="rId5"/>
    <sheet name="3. Truy vết hợp nhất" sheetId="4" state="visible" r:id="rId6"/>
    <sheet name="4. Phân công Người–AI" sheetId="5" state="visible" r:id="rId7"/>
    <sheet name="5. Thống k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<sst xmlns="http://schemas.openxmlformats.org/spreadsheetml/2006/main" count="2854" uniqueCount="996">
  <si>
    <t xml:space="preserve">EIDE-PLN-27 — KẾ HOẠCH PHÁT TRIỂN VÀ BACKLOG THEO MỐC (v1.0)</t>
  </si>
  <si>
    <t xml:space="preserve">Đề án tốt nghiệp Thạc sĩ ngành Kỹ thuật Điện tử — PTIT · Học viên: Vũ Trí Công · Người hướng dẫn: TS. Nguyễn Trung Hiếu · 05/09/2026</t>
  </si>
  <si>
    <t xml:space="preserve">Sheet 1 Mốc: phạm vi, tiêu chí xong, số việc (công thức). Sheet 2 Backlog: một dòng cho mỗi việc (hạ tầng, năng lực, UI, tài liệu, test) với mốc, ưu tiên, ước lượng, phụ thuộc, ai làm (người/AI), tài liệu tham chiếu, trạng thái. Sheet 3 Truy vết hợp nhất: UR → FR/năng lực → thiết kế → TC → màn hình. Sheet 4 Phân công Người–AI: theo loại việc. Sheet 5 Thống kê (công thức).</t>
  </si>
  <si>
    <t xml:space="preserve">Quy ước: ước lượng theo ngày công có AI hỗ trợ (tác tử coder viết phần lớn mã dưới sự duyệt của người); 'AI làm' = tác tử làm trọn, 'AI làm/người duyệt' = AI viết người review, 'Người' = quyết định/thiết kế/kiểm phần cứng.</t>
  </si>
  <si>
    <t xml:space="preserve">Cột Trạng thái có danh sách chọn (Chưa · Đang · Xong · Bỏ). Lọc theo Mốc để lấy backlog của sprint.</t>
  </si>
  <si>
    <t xml:space="preserve">Mốc</t>
  </si>
  <si>
    <t xml:space="preserve">Phạm vi</t>
  </si>
  <si>
    <t xml:space="preserve">Tiêu chí xong</t>
  </si>
  <si>
    <t xml:space="preserve">Số việc</t>
  </si>
  <si>
    <t xml:space="preserve">Ngày ước lượng</t>
  </si>
  <si>
    <t xml:space="preserve">Đã xong</t>
  </si>
  <si>
    <t xml:space="preserve">Tiến độ</t>
  </si>
  <si>
    <t xml:space="preserve">M0</t>
  </si>
  <si>
    <t xml:space="preserve">Khung: schema, store, KG, SVD/ATDF, gateway, CLI — ĐÃ XONG (hkw-core)</t>
  </si>
  <si>
    <t xml:space="preserve">24 test đạt; 640 chip seed; 100/100 truy vấn</t>
  </si>
  <si>
    <t xml:space="preserve">M1</t>
  </si>
  <si>
    <t xml:space="preserve">Lõi tác tử: registry năng lực, chính sách, orchestrator, ngữ cảnh, bộ nhớ, tool.*, extract PDF/ảnh/zip, RAG, plugin chat cơ bản, prompt</t>
  </si>
  <si>
    <t xml:space="preserve">Kịch bản Z-01…Z-10 chạy; ≤ 5 bấm với sim; TC M1 đạt</t>
  </si>
  <si>
    <t xml:space="preserve">M2</t>
  </si>
  <si>
    <t xml:space="preserve">Mạch, kiến trúc, mã/merge tự động, lược đồ, tài liệu, dò board, target, sim, benchmark, installer, panel còn lại</t>
  </si>
  <si>
    <t xml:space="preserve">Kịch bản chuẩn 17 bước đầu-cuối trên Nucleo + Uno với 2 mô hình; tài liệu SRS/SAD sinh tự động</t>
  </si>
  <si>
    <t xml:space="preserve">M3</t>
  </si>
  <si>
    <t xml:space="preserve">Quan sát: log lớn, probe, debug, sync lược đồ/tài liệu, measure</t>
  </si>
  <si>
    <t xml:space="preserve">Kịch bản C log ≥ 1 GB; HardFault chẩn đoán đúng ≥ 80%</t>
  </si>
  <si>
    <t xml:space="preserve">M4</t>
  </si>
  <si>
    <t xml:space="preserve">Registry lớp, template, gói công cụ, ký, publish</t>
  </si>
  <si>
    <t xml:space="preserve">≥ 500 gói hạt giống + 20 kiểm định; tool.promote hoạt động</t>
  </si>
  <si>
    <t xml:space="preserve">M5</t>
  </si>
  <si>
    <t xml:space="preserve">Mở rộng: PIC, chế độ cục bộ, đa người dùng, sigrok, Windows/Linux UI</t>
  </si>
  <si>
    <t xml:space="preserve">Theo nhu cầu</t>
  </si>
  <si>
    <t xml:space="preserve">Mã việc</t>
  </si>
  <si>
    <t xml:space="preserve">Loại</t>
  </si>
  <si>
    <t xml:space="preserve">Việc</t>
  </si>
  <si>
    <t xml:space="preserve">Ưu tiên</t>
  </si>
  <si>
    <t xml:space="preserve">Ước lượng (ngày)</t>
  </si>
  <si>
    <t xml:space="preserve">Phụ thuộc</t>
  </si>
  <si>
    <t xml:space="preserve">Ai làm</t>
  </si>
  <si>
    <t xml:space="preserve">Tài liệu tham chiếu</t>
  </si>
  <si>
    <t xml:space="preserve">Năng lực</t>
  </si>
  <si>
    <t xml:space="preserve">Trạng thái</t>
  </si>
  <si>
    <t xml:space="preserve">WI-001</t>
  </si>
  <si>
    <t xml:space="preserve">Hạ tầng</t>
  </si>
  <si>
    <t xml:space="preserve">Đổi tên kho hkw-core → eide; alias import; .hkw → .eide symlink</t>
  </si>
  <si>
    <t xml:space="preserve">M</t>
  </si>
  <si>
    <t xml:space="preserve">AI làm/người duyệt</t>
  </si>
  <si>
    <t xml:space="preserve">DEP-26, CON-28</t>
  </si>
  <si>
    <t xml:space="preserve">Chưa</t>
  </si>
  <si>
    <t xml:space="preserve">WI-002</t>
  </si>
  <si>
    <t xml:space="preserve">Migration 0002_m1 (bảng policy/runtime) + eide migrate</t>
  </si>
  <si>
    <t xml:space="preserve">DDD-14 §5</t>
  </si>
  <si>
    <t xml:space="preserve">WI-003</t>
  </si>
  <si>
    <t xml:space="preserve">Capability Registry + Router (nạp capabilities/*.yaml, invoke, grounding, ledger, undo)</t>
  </si>
  <si>
    <t xml:space="preserve">SDD-04 §4.0, CDS-12</t>
  </si>
  <si>
    <t xml:space="preserve">WI-004</t>
  </si>
  <si>
    <t xml:space="preserve">PolicyGate + rules.yaml + autonomy.yaml + UndoService + decision_log</t>
  </si>
  <si>
    <t xml:space="preserve">POL-17</t>
  </si>
  <si>
    <t xml:space="preserve">WI-005</t>
  </si>
  <si>
    <t xml:space="preserve">Orchestrator (intent, ground, defaults, clarify, chain, runner, report) + chains/*.yaml</t>
  </si>
  <si>
    <t xml:space="preserve">WI-003, WI-004</t>
  </si>
  <si>
    <t xml:space="preserve">DPS-09, PRS-16</t>
  </si>
  <si>
    <t xml:space="preserve">WI-006</t>
  </si>
  <si>
    <t xml:space="preserve">Composer + Compressor (ContextBundle, Graph-RAG 2 bước, ngân sách, cache marks)</t>
  </si>
  <si>
    <t xml:space="preserve">CXD-10</t>
  </si>
  <si>
    <t xml:space="preserve">WI-007</t>
  </si>
  <si>
    <t xml:space="preserve">Memory: WorkingMemory/Session/ErrorLedger/Preference; PROGRESS/FEATURES sinh tự động; resume</t>
  </si>
  <si>
    <t xml:space="preserve">MEM-11</t>
  </si>
  <si>
    <t xml:space="preserve">WI-008</t>
  </si>
  <si>
    <t xml:space="preserve">Ledger chuỗi hash + bộ lọc bí mật + api/errors.json</t>
  </si>
  <si>
    <t xml:space="preserve">API-15 §6–7, SEC-25</t>
  </si>
  <si>
    <t xml:space="preserve">WI-009</t>
  </si>
  <si>
    <t xml:space="preserve">Sandbox (tiến trình con, giới hạn, giám sát hiệu ứng, audit hook)</t>
  </si>
  <si>
    <t xml:space="preserve">SEC-25 §2</t>
  </si>
  <si>
    <t xml:space="preserve">WI-010</t>
  </si>
  <si>
    <t xml:space="preserve">JSON-RPC server + OpenRPC + REST nội bộ + CLI eide "&lt;lệnh&gt;"</t>
  </si>
  <si>
    <t xml:space="preserve">WI-003, WI-005</t>
  </si>
  <si>
    <t xml:space="preserve">API-15</t>
  </si>
  <si>
    <t xml:space="preserve">WI-011</t>
  </si>
  <si>
    <t xml:space="preserve">MCP server sinh tool từ registry (caps_*, chat_command, 12 tool nhanh)</t>
  </si>
  <si>
    <t xml:space="preserve">API-15 §3</t>
  </si>
  <si>
    <t xml:space="preserve">WI-012</t>
  </si>
  <si>
    <t xml:space="preserve">RagIndex (chunk, embedding qua Gateway, FTS5, gắn IRI, truy hồi lai)</t>
  </si>
  <si>
    <t xml:space="preserve">KAD-07 §6.9, CDS view.rag_index</t>
  </si>
  <si>
    <t xml:space="preserve">WI-013</t>
  </si>
  <si>
    <t xml:space="preserve">Prompt 9 vai trò + roles/models.yaml + 50 câu lệnh + test L2b</t>
  </si>
  <si>
    <t xml:space="preserve">PRS-16</t>
  </si>
  <si>
    <t xml:space="preserve">WI-014</t>
  </si>
  <si>
    <t xml:space="preserve">Migration 0004_m2 (module, hw_map, adr, doc_artifact, discovery, measurement)</t>
  </si>
  <si>
    <t xml:space="preserve">DDD-14</t>
  </si>
  <si>
    <t xml:space="preserve">WI-015</t>
  </si>
  <si>
    <t xml:space="preserve">Bộ render lược đồ (mmdc/plantuml/dot/d2/wavedrom) trong sandbox + lint</t>
  </si>
  <si>
    <t xml:space="preserve">CDS diagram.render</t>
  </si>
  <si>
    <t xml:space="preserve">WI-016</t>
  </si>
  <si>
    <t xml:space="preserve">Mẫu docx Python (port eaa_doc) + style_check</t>
  </si>
  <si>
    <t xml:space="preserve">CDS doc.generate</t>
  </si>
  <si>
    <t xml:space="preserve">WI-017</t>
  </si>
  <si>
    <t xml:space="preserve">Adapter target theo ISA (probe-rs, openocd, avrdude, esptool) + serial daemon</t>
  </si>
  <si>
    <t xml:space="preserve">TGT-19</t>
  </si>
  <si>
    <t xml:space="preserve">WI-018</t>
  </si>
  <si>
    <t xml:space="preserve">Discovery (ports/probe/chip_id/link_speed/auto_setup) + bảng VID/PID + id_tables</t>
  </si>
  <si>
    <t xml:space="preserve">TGT-19 §4–6</t>
  </si>
  <si>
    <t xml:space="preserve">WI-019</t>
  </si>
  <si>
    <t xml:space="preserve">Sim: Renode .repl từ hộ chiếu + mock BME280/MPU6050/A4988 + plant robot + kịch bản</t>
  </si>
  <si>
    <t xml:space="preserve">SIM-20</t>
  </si>
  <si>
    <t xml:space="preserve">WI-020</t>
  </si>
  <si>
    <t xml:space="preserve">ToolForge: tool.need/search/write/test/run/register/repair (+ G-TOOL)</t>
  </si>
  <si>
    <t xml:space="preserve">WI-003, WI-004, WI-009</t>
  </si>
  <si>
    <t xml:space="preserve">CDS-12 tập 3 tool.*</t>
  </si>
  <si>
    <t xml:space="preserve">WI-021</t>
  </si>
  <si>
    <t xml:space="preserve">Plugin GEditor: RpcClient sinh từ openrpc + ChatPanel + AutonomyBar + QueuePanel</t>
  </si>
  <si>
    <t xml:space="preserve">AI làm/người duyệt (Swift)</t>
  </si>
  <si>
    <t xml:space="preserve">GPI-23, UXD-13</t>
  </si>
  <si>
    <t xml:space="preserve">WI-022</t>
  </si>
  <si>
    <t xml:space="preserve">Plugin GEditor: KnowledgeMap/RagAsk/ReqArch/DiagramView/Doc/Discovery/ToolForge panels</t>
  </si>
  <si>
    <t xml:space="preserve">UXD-13</t>
  </si>
  <si>
    <t xml:space="preserve">WI-023</t>
  </si>
  <si>
    <t xml:space="preserve">Plugin GEditor: LogAssist/Debug/Sim panels + providers</t>
  </si>
  <si>
    <t xml:space="preserve">UXD-13, GPI-23</t>
  </si>
  <si>
    <t xml:space="preserve">WI-024</t>
  </si>
  <si>
    <t xml:space="preserve">Registry lớp: index.json, pack/sign/publish/pull, template K5′ balancing-robot</t>
  </si>
  <si>
    <t xml:space="preserve">PKG-22</t>
  </si>
  <si>
    <t xml:space="preserve">WI-025</t>
  </si>
  <si>
    <t xml:space="preserve">Installer + daemon launchd/systemd + CI (test/contract/dialog/hil/release/docs)</t>
  </si>
  <si>
    <t xml:space="preserve">DEP-26</t>
  </si>
  <si>
    <t xml:space="preserve">WI-026</t>
  </si>
  <si>
    <t xml:space="preserve">Bộ benchmark 20 tác vụ + firmware kiểm định + runner board</t>
  </si>
  <si>
    <t xml:space="preserve">BEN-21</t>
  </si>
  <si>
    <t xml:space="preserve">WI-027</t>
  </si>
  <si>
    <t xml:space="preserve">PROJECT-03 project.list — Liệt kê dự án trong workspace với ngày, board, tiến độ</t>
  </si>
  <si>
    <t xml:space="preserve">AI làm</t>
  </si>
  <si>
    <t xml:space="preserve">CDS-12 tập 3</t>
  </si>
  <si>
    <t xml:space="preserve">project.list</t>
  </si>
  <si>
    <t xml:space="preserve">WI-028</t>
  </si>
  <si>
    <t xml:space="preserve">PROJECT-04 project.clone — Nhân bản dự án thành dự án mới (giữ tri thức, bỏ ledger)</t>
  </si>
  <si>
    <t xml:space="preserve">project.clone</t>
  </si>
  <si>
    <t xml:space="preserve">WI-029</t>
  </si>
  <si>
    <t xml:space="preserve">PROJECT-05 project.archive — Lưu trữ/đóng dự án (không xóa)</t>
  </si>
  <si>
    <t xml:space="preserve">project.archive</t>
  </si>
  <si>
    <t xml:space="preserve">WI-030</t>
  </si>
  <si>
    <t xml:space="preserve">PROJECT-06 project.set_target — Đặt/suy ra ISA, chip, board; ghim phiên bản hộ chiếu</t>
  </si>
  <si>
    <t xml:space="preserve">project.set_target</t>
  </si>
  <si>
    <t xml:space="preserve">WI-031</t>
  </si>
  <si>
    <t xml:space="preserve">PROJECT-07 project.rollback — Về known-good gần nhất hoặc tag chỉ định</t>
  </si>
  <si>
    <t xml:space="preserve">project.rollback</t>
  </si>
  <si>
    <t xml:space="preserve">WI-032</t>
  </si>
  <si>
    <t xml:space="preserve">PROJECT-08 project.status — Tổng hợp tiến độ, feature, gate mở, chi phí</t>
  </si>
  <si>
    <t xml:space="preserve">project.status</t>
  </si>
  <si>
    <t xml:space="preserve">WI-033</t>
  </si>
  <si>
    <t xml:space="preserve">PROJECT-09 project.preferences — Ghi/đọc tùy chọn đã học từ câu trả lời của kỹ sư</t>
  </si>
  <si>
    <t xml:space="preserve">project.preferences</t>
  </si>
  <si>
    <t xml:space="preserve">WI-034</t>
  </si>
  <si>
    <t xml:space="preserve">MEMORY-01 memory.compose — Ghép ngữ cảnh 7 lớp K1–K7 theo vai trò và tác vụ; kiểm ngân sách token</t>
  </si>
  <si>
    <t xml:space="preserve">CDS-12 tập 6</t>
  </si>
  <si>
    <t xml:space="preserve">memory.compose</t>
  </si>
  <si>
    <t xml:space="preserve">WI-035</t>
  </si>
  <si>
    <t xml:space="preserve">MEMORY-02 memory.compress — Nén ngữ cảnh: tóm tắt lịch sử, lọc log theo mẫu, rút gọn fact</t>
  </si>
  <si>
    <t xml:space="preserve">memory.compress</t>
  </si>
  <si>
    <t xml:space="preserve">WI-036</t>
  </si>
  <si>
    <t xml:space="preserve">MEMORY-03 memory.retrieve — Truy hồi Graph-RAG: lan tỏa 2 bước từ subject rồi lấy văn bản</t>
  </si>
  <si>
    <t xml:space="preserve">memory.retrieve</t>
  </si>
  <si>
    <t xml:space="preserve">WI-037</t>
  </si>
  <si>
    <t xml:space="preserve">MEMORY-04 memory.progress — Ghi/đọc PROGRESS.md, FEATURES.json (harness dài hạn)</t>
  </si>
  <si>
    <t xml:space="preserve">memory.progress</t>
  </si>
  <si>
    <t xml:space="preserve">WI-038</t>
  </si>
  <si>
    <t xml:space="preserve">MEMORY-06 memory.error_ledger — Sổ lỗi: ghi lỗi ảo giác/từ chối; đưa vào prompt phủ định</t>
  </si>
  <si>
    <t xml:space="preserve">memory.error_ledger</t>
  </si>
  <si>
    <t xml:space="preserve">WI-039</t>
  </si>
  <si>
    <t xml:space="preserve">MEMORY-07 memory.forget — Xóa mềm/hết hạn ngữ cảnh tạm, cache; không xóa fact</t>
  </si>
  <si>
    <t xml:space="preserve">memory.forget</t>
  </si>
  <si>
    <t xml:space="preserve">WI-040</t>
  </si>
  <si>
    <t xml:space="preserve">MEMORY-08 memory.summarize_session — Tóm tắt phiên: đã làm gì, chờ gì, bước tiếp</t>
  </si>
  <si>
    <t xml:space="preserve">memory.summarize_session</t>
  </si>
  <si>
    <t xml:space="preserve">WI-041</t>
  </si>
  <si>
    <t xml:space="preserve">ARCHIVE-03 archive.extract_one — Lấy một tệp bên trong theo đường dẫn/mẫu</t>
  </si>
  <si>
    <t xml:space="preserve">CDS-12 tập 2</t>
  </si>
  <si>
    <t xml:space="preserve">archive.extract_one</t>
  </si>
  <si>
    <t xml:space="preserve">WI-042</t>
  </si>
  <si>
    <t xml:space="preserve">ARCHIVE-04 archive.query — Tìm bên trong kho nén theo tên/kiểu/nội dung (grep, chữ ký)</t>
  </si>
  <si>
    <t xml:space="preserve">archive.query</t>
  </si>
  <si>
    <t xml:space="preserve">WI-043</t>
  </si>
  <si>
    <t xml:space="preserve">ARCHIVE-07 ingest.index_text — Lập chỉ mục văn bản (BM25) cho tài liệu ngữ cảnh không sinh fact</t>
  </si>
  <si>
    <t xml:space="preserve">ingest.index_text</t>
  </si>
  <si>
    <t xml:space="preserve">WI-044</t>
  </si>
  <si>
    <t xml:space="preserve">SEARCH-01 search.registry — Tìm gói/hộ chiếu/mẫu tham chiếu trong registry</t>
  </si>
  <si>
    <t xml:space="preserve">S</t>
  </si>
  <si>
    <t xml:space="preserve">search.registry</t>
  </si>
  <si>
    <t xml:space="preserve">WI-045</t>
  </si>
  <si>
    <t xml:space="preserve">SEARCH-02 search.vendor — Tìm trong kho hãng theo mẫu URL đã biết (CMSIS pack, Microchip pack, S</t>
  </si>
  <si>
    <t xml:space="preserve">search.vendor</t>
  </si>
  <si>
    <t xml:space="preserve">WI-046</t>
  </si>
  <si>
    <t xml:space="preserve">SEARCH-03 search.docs_mcp — Hỏi docs MCP của hãng (Espressif, Nordic) → đoạn trích + URL + ngày</t>
  </si>
  <si>
    <t xml:space="preserve">search.docs_mcp</t>
  </si>
  <si>
    <t xml:space="preserve">WI-047</t>
  </si>
  <si>
    <t xml:space="preserve">SEARCH-04 search.web — Tìm web nhiều nguồn (datasheet, SVD, repo, errata, forum); ưu tiên tên</t>
  </si>
  <si>
    <t xml:space="preserve">search.web</t>
  </si>
  <si>
    <t xml:space="preserve">WI-048</t>
  </si>
  <si>
    <t xml:space="preserve">SEARCH-05 search.rank — Xếp hạng ứng viên theo tầng dự kiến, tên miền, hash/license, khớp mã l</t>
  </si>
  <si>
    <t xml:space="preserve">search.rank</t>
  </si>
  <si>
    <t xml:space="preserve">WI-049</t>
  </si>
  <si>
    <t xml:space="preserve">SEARCH-06 search.fetch — Tải ứng viên (giới hạn dung lượng), hash, phát hiện license</t>
  </si>
  <si>
    <t xml:space="preserve">search.fetch</t>
  </si>
  <si>
    <t xml:space="preserve">WI-050</t>
  </si>
  <si>
    <t xml:space="preserve">SEARCH-07 search.verify_match — Tóm tắt tài liệu vừa tải và kiểm có đúng linh kiện/phiên bản không</t>
  </si>
  <si>
    <t xml:space="preserve">search.verify_match</t>
  </si>
  <si>
    <t xml:space="preserve">WI-051</t>
  </si>
  <si>
    <t xml:space="preserve">SEARCH-08 search.missing — Từ tác vụ, liệt kê tri thức còn thiếu và tạo yêu cầu (sufficiency chec</t>
  </si>
  <si>
    <t xml:space="preserve">search.missing</t>
  </si>
  <si>
    <t xml:space="preserve">WI-052</t>
  </si>
  <si>
    <t xml:space="preserve">SEARCH-09 search.reference_projects — Tìm mẫu dự án tham chiếu cho một ý tưởng (robot cân bằng…) trong regis</t>
  </si>
  <si>
    <t xml:space="preserve">search.reference_projects</t>
  </si>
  <si>
    <t xml:space="preserve">WI-053</t>
  </si>
  <si>
    <t xml:space="preserve">EXTRACT-03 extract.edc — EDC/.PIC → hộ chiếu</t>
  </si>
  <si>
    <t xml:space="preserve">extract.edc</t>
  </si>
  <si>
    <t xml:space="preserve">WI-054</t>
  </si>
  <si>
    <t xml:space="preserve">EXTRACT-04 extract.header_c — Header C chính hãng → địa chỉ/bit (đối chiếu SVD)</t>
  </si>
  <si>
    <t xml:space="preserve">extract.header_c</t>
  </si>
  <si>
    <t xml:space="preserve">WI-055</t>
  </si>
  <si>
    <t xml:space="preserve">EXTRACT-05 extract.dt_binding — Devicetree binding YAML → thuộc tính bắt buộc</t>
  </si>
  <si>
    <t xml:space="preserve">extract.dt_binding</t>
  </si>
  <si>
    <t xml:space="preserve">WI-056</t>
  </si>
  <si>
    <t xml:space="preserve">EXTRACT-06 extract.pdf_layout — Bố cục PDF: chương, bảng, hình, bbox (Docling/pdfplumber)</t>
  </si>
  <si>
    <t xml:space="preserve">extract.pdf_layout</t>
  </si>
  <si>
    <t xml:space="preserve">WI-057</t>
  </si>
  <si>
    <t xml:space="preserve">EXTRACT-07 extract.pdf_register_map — Bảng thanh ghi/bit-field từ PDF → fact có trang/bbox</t>
  </si>
  <si>
    <t xml:space="preserve">extract.pdf_register_map</t>
  </si>
  <si>
    <t xml:space="preserve">WI-058</t>
  </si>
  <si>
    <t xml:space="preserve">EXTRACT-08 extract.pdf_electrical — Thông số điện, timing, nhiệt → fact (tầng bạc, luôn cần duyệt)</t>
  </si>
  <si>
    <t xml:space="preserve">extract.pdf_electrical</t>
  </si>
  <si>
    <t xml:space="preserve">WI-059</t>
  </si>
  <si>
    <t xml:space="preserve">EXTRACT-09 extract.pdf_pinout — Pinout/package từ bảng hoặc hình → pin function</t>
  </si>
  <si>
    <t xml:space="preserve">extract.pdf_pinout</t>
  </si>
  <si>
    <t xml:space="preserve">WI-060</t>
  </si>
  <si>
    <t xml:space="preserve">EXTRACT-10 extract.pdf_errata — Errata → overlay K2′ với điều kiện áp dụng</t>
  </si>
  <si>
    <t xml:space="preserve">extract.pdf_errata</t>
  </si>
  <si>
    <t xml:space="preserve">WI-061</t>
  </si>
  <si>
    <t xml:space="preserve">EXTRACT-11 extract.pdf_formula — Công thức/thuật toán (ví dụ bù nhiệt BME280) → skill dự án có trích dẫ</t>
  </si>
  <si>
    <t xml:space="preserve">extract.pdf_formula</t>
  </si>
  <si>
    <t xml:space="preserve">WI-062</t>
  </si>
  <si>
    <t xml:space="preserve">EXTRACT-12 extract.ocr — OCR PDF scan/ảnh chữ; giảm confidence 0,1</t>
  </si>
  <si>
    <t xml:space="preserve">extract.ocr</t>
  </si>
  <si>
    <t xml:space="preserve">WI-063</t>
  </si>
  <si>
    <t xml:space="preserve">EXTRACT-13 extract.image_schematic — Ảnh schematic → net/linh kiện đề xuất (thị giác) kèm ảnh cắt</t>
  </si>
  <si>
    <t xml:space="preserve">extract.image_schematic</t>
  </si>
  <si>
    <t xml:space="preserve">WI-064</t>
  </si>
  <si>
    <t xml:space="preserve">EXTRACT-14 extract.image_board — Ảnh board → nhãn chip/linh kiện, vị trí, cổng</t>
  </si>
  <si>
    <t xml:space="preserve">extract.image_board</t>
  </si>
  <si>
    <t xml:space="preserve">WI-065</t>
  </si>
  <si>
    <t xml:space="preserve">EXTRACT-15 extract.image_scope — Ảnh màn hình oscilloscope/LA → giá trị đo, kết luận sơ bộ</t>
  </si>
  <si>
    <t xml:space="preserve">extract.image_scope</t>
  </si>
  <si>
    <t xml:space="preserve">WI-066</t>
  </si>
  <si>
    <t xml:space="preserve">EXTRACT-16 extract.kicad_netlist — kicad-cli → net/pin/part</t>
  </si>
  <si>
    <t xml:space="preserve">extract.kicad_netlist</t>
  </si>
  <si>
    <t xml:space="preserve">WI-067</t>
  </si>
  <si>
    <t xml:space="preserve">EXTRACT-17 extract.bom — Trích BOM từ schematic (KiCad/PDF/Excel/README) → bảng ref, MPN, giá t</t>
  </si>
  <si>
    <t xml:space="preserve">extract.bom</t>
  </si>
  <si>
    <t xml:space="preserve">WI-068</t>
  </si>
  <si>
    <t xml:space="preserve">EXTRACT-18 extract.bom_enrich — Với mỗi MPN trong BOM: tìm hộ chiếu/datasheet (search.*) và gắn</t>
  </si>
  <si>
    <t xml:space="preserve">extract.bom_enrich</t>
  </si>
  <si>
    <t xml:space="preserve">WI-069</t>
  </si>
  <si>
    <t xml:space="preserve">EXTRACT-19 extract.office — DOCX/XLSX/HTML/MD → văn bản, bảng có vị trí</t>
  </si>
  <si>
    <t xml:space="preserve">extract.office</t>
  </si>
  <si>
    <t xml:space="preserve">WI-070</t>
  </si>
  <si>
    <t xml:space="preserve">EXTRACT-20 extract.readme_goal — Suy ra mục tiêu dự án, danh sách tính năng từ README/ghi chú</t>
  </si>
  <si>
    <t xml:space="preserve">extract.readme_goal</t>
  </si>
  <si>
    <t xml:space="preserve">WI-071</t>
  </si>
  <si>
    <t xml:space="preserve">EXTRACT-21 extract.code_constants — Quét mã sẵn có: hằng số địa chỉ/bit → ánh xạ fact; danh sách không ngu</t>
  </si>
  <si>
    <t xml:space="preserve">extract.code_constants</t>
  </si>
  <si>
    <t xml:space="preserve">WI-072</t>
  </si>
  <si>
    <t xml:space="preserve">PASSPORT-04 passport.diff — So hai phiên bản hộ chiếu: fact thêm/bớt/đổi</t>
  </si>
  <si>
    <t xml:space="preserve">passport.diff</t>
  </si>
  <si>
    <t xml:space="preserve">WI-073</t>
  </si>
  <si>
    <t xml:space="preserve">PASSPORT-05 passport.upgrade — Nâng ghim sang phiên bản mới; impact; đưa feature về failing</t>
  </si>
  <si>
    <t xml:space="preserve">passport.upgrade</t>
  </si>
  <si>
    <t xml:space="preserve">WI-074</t>
  </si>
  <si>
    <t xml:space="preserve">PASSPORT-06 passport.verify_on_board — Sinh firmware ID/GPIO/UART, nạp, so, gắn huy hiệu</t>
  </si>
  <si>
    <t xml:space="preserve">passport.verify_on_board</t>
  </si>
  <si>
    <t xml:space="preserve">WI-075</t>
  </si>
  <si>
    <t xml:space="preserve">PASSPORT-07 passport.export — Xuất hộ chiếu YAML/JSON có nguồn</t>
  </si>
  <si>
    <t xml:space="preserve">passport.export</t>
  </si>
  <si>
    <t xml:space="preserve">WI-076</t>
  </si>
  <si>
    <t xml:space="preserve">PASSPORT-08 passport.resolve_address — Địa chỉ/hex → tên ngoại vi/thanh ghi (cho hover, .map)</t>
  </si>
  <si>
    <t xml:space="preserve">passport.resolve_address</t>
  </si>
  <si>
    <t xml:space="preserve">WI-077</t>
  </si>
  <si>
    <t xml:space="preserve">KG-05 kg.review_facts — Duyệt fact theo nhóm (tự theo chính sách hoặc người)</t>
  </si>
  <si>
    <t xml:space="preserve">kg.review_facts</t>
  </si>
  <si>
    <t xml:space="preserve">WI-078</t>
  </si>
  <si>
    <t xml:space="preserve">KG-06 kg.resolve_conflict — Chọn fact hiện hành / cả hai theo điều kiện</t>
  </si>
  <si>
    <t xml:space="preserve">kg.resolve_conflict</t>
  </si>
  <si>
    <t xml:space="preserve">WI-079</t>
  </si>
  <si>
    <t xml:space="preserve">KG-08 kg.request — Tạo yêu cầu nhận tri thức</t>
  </si>
  <si>
    <t xml:space="preserve">kg.request</t>
  </si>
  <si>
    <t xml:space="preserve">WI-080</t>
  </si>
  <si>
    <t xml:space="preserve">KG-09 kg.evidence — Bằng chứng gắn với feature/fact (log hash, số đo, badge)</t>
  </si>
  <si>
    <t xml:space="preserve">kg.evidence</t>
  </si>
  <si>
    <t xml:space="preserve">WI-081</t>
  </si>
  <si>
    <t xml:space="preserve">BOARD-01 board.build_passport — Dựng BoardPassport từ netlist/ảnh/BOM; suy ra bus/địa chỉ/pull-up</t>
  </si>
  <si>
    <t xml:space="preserve">board.build_passport</t>
  </si>
  <si>
    <t xml:space="preserve">WI-082</t>
  </si>
  <si>
    <t xml:space="preserve">BOARD-02 board.check_pins — Xung đột chân/AF, reserved/boot, trùng địa chỉ bus</t>
  </si>
  <si>
    <t xml:space="preserve">board.check_pins</t>
  </si>
  <si>
    <t xml:space="preserve">WI-083</t>
  </si>
  <si>
    <t xml:space="preserve">BOARD-03 board.constraints — Sinh ràng buộc điện/bus cho Coder</t>
  </si>
  <si>
    <t xml:space="preserve">board.constraints</t>
  </si>
  <si>
    <t xml:space="preserve">WI-084</t>
  </si>
  <si>
    <t xml:space="preserve">BOARD-04 board.propose_fix — Đề xuất phương án cho xung đột (remap AF, đổi chân)</t>
  </si>
  <si>
    <t xml:space="preserve">board.propose_fix</t>
  </si>
  <si>
    <t xml:space="preserve">WI-085</t>
  </si>
  <si>
    <t xml:space="preserve">BOARD-05 board.mark_lab — Đánh dấu board là lab (không cơ cấu chấp hành) để tự nạp</t>
  </si>
  <si>
    <t xml:space="preserve">board.mark_lab</t>
  </si>
  <si>
    <t xml:space="preserve">WI-086</t>
  </si>
  <si>
    <t xml:space="preserve">ENV-01 env.detect — Nhận diện HĐH, kiến trúc máy, cổng USB/serial, probe đang nối</t>
  </si>
  <si>
    <t xml:space="preserve">env.detect</t>
  </si>
  <si>
    <t xml:space="preserve">WI-087</t>
  </si>
  <si>
    <t xml:space="preserve">ENV-03 env.install — Cài công cụ mở từ danh sách tin cậy (brew/apt/pip/cargo/tải chính hãng</t>
  </si>
  <si>
    <t xml:space="preserve">env.install</t>
  </si>
  <si>
    <t xml:space="preserve">WI-088</t>
  </si>
  <si>
    <t xml:space="preserve">ENV-04 env.guide_install — Hướng dẫn cài tay công cụ đóng/có license</t>
  </si>
  <si>
    <t xml:space="preserve">env.guide_install</t>
  </si>
  <si>
    <t xml:space="preserve">WI-089</t>
  </si>
  <si>
    <t xml:space="preserve">ENV-05 env.lock — Khóa phiên bản (tools.lock) và phát hiện trôi</t>
  </si>
  <si>
    <t xml:space="preserve">env.lock</t>
  </si>
  <si>
    <t xml:space="preserve">WI-090</t>
  </si>
  <si>
    <t xml:space="preserve">ENV-06 env.install_pack — Cài Platform Pack (skill, adapter, manifest) cho ISA</t>
  </si>
  <si>
    <t xml:space="preserve">env.install_pack</t>
  </si>
  <si>
    <t xml:space="preserve">WI-091</t>
  </si>
  <si>
    <t xml:space="preserve">ENV-07 env.sandbox — Chạy extractor/lệnh trong sandbox giới hạn CPU/RAM/thời gian/đường dẫn</t>
  </si>
  <si>
    <t xml:space="preserve">env.sandbox</t>
  </si>
  <si>
    <t xml:space="preserve">WI-092</t>
  </si>
  <si>
    <t xml:space="preserve">PLAN-01 plan.define_feature — Chuẩn hóa yêu cầu → Feature có kỳ vọng quan sát được, ràng buộc</t>
  </si>
  <si>
    <t xml:space="preserve">CDS-12 tập 1</t>
  </si>
  <si>
    <t xml:space="preserve">plan.define_feature</t>
  </si>
  <si>
    <t xml:space="preserve">WI-093</t>
  </si>
  <si>
    <t xml:space="preserve">PLAN-02 plan.decompose — Tách mục tiêu lớn thành module/feature theo kiến trúc (driver → HAL → </t>
  </si>
  <si>
    <t xml:space="preserve">plan.decompose</t>
  </si>
  <si>
    <t xml:space="preserve">WI-094</t>
  </si>
  <si>
    <t xml:space="preserve">PLAN-03 plan.create — Kế hoạch từng bước có trích dẫn fact; missing[]</t>
  </si>
  <si>
    <t xml:space="preserve">plan.create</t>
  </si>
  <si>
    <t xml:space="preserve">WI-095</t>
  </si>
  <si>
    <t xml:space="preserve">PLAN-04 plan.order — Sắp thứ tự phụ thuộc giữa module (clock → GPIO → I2C → cảm biến → app)</t>
  </si>
  <si>
    <t xml:space="preserve">plan.order</t>
  </si>
  <si>
    <t xml:space="preserve">WI-096</t>
  </si>
  <si>
    <t xml:space="preserve">PLAN-05 plan.estimate — Ước lượng token/chi phí/thời gian; so ngân sách</t>
  </si>
  <si>
    <t xml:space="preserve">plan.estimate</t>
  </si>
  <si>
    <t xml:space="preserve">WI-097</t>
  </si>
  <si>
    <t xml:space="preserve">PLAN-06 plan.replan — Lập lại khi thất bại/thiếu tri thức/xung đột</t>
  </si>
  <si>
    <t xml:space="preserve">plan.replan</t>
  </si>
  <si>
    <t xml:space="preserve">WI-098</t>
  </si>
  <si>
    <t xml:space="preserve">PLAN-07 plan.sufficiency — Tự đánh giá đủ thông tin trước khi làm</t>
  </si>
  <si>
    <t xml:space="preserve">plan.sufficiency</t>
  </si>
  <si>
    <t xml:space="preserve">WI-099</t>
  </si>
  <si>
    <t xml:space="preserve">CODE-01 code.generate_module — Sinh một module theo STEP + skill + fact; hkw:fact cho hằng số</t>
  </si>
  <si>
    <t xml:space="preserve">code.generate_module</t>
  </si>
  <si>
    <t xml:space="preserve">WI-100</t>
  </si>
  <si>
    <t xml:space="preserve">CODE-02 code.modify — Sửa mã có sẵn theo yêu cầu/finding</t>
  </si>
  <si>
    <t xml:space="preserve">code.modify</t>
  </si>
  <si>
    <t xml:space="preserve">WI-101</t>
  </si>
  <si>
    <t xml:space="preserve">CODE-03 code.integrate — Tích hợp module: wiring, init order, cấu hình build, kiểm tương thích </t>
  </si>
  <si>
    <t xml:space="preserve">code.integrate</t>
  </si>
  <si>
    <t xml:space="preserve">WI-102</t>
  </si>
  <si>
    <t xml:space="preserve">CODE-04 code.constant_guard — Hook: mọi hằng số phần cứng phải trỏ fact reviewed/verified</t>
  </si>
  <si>
    <t xml:space="preserve">code.constant_guard</t>
  </si>
  <si>
    <t xml:space="preserve">WI-103</t>
  </si>
  <si>
    <t xml:space="preserve">CODE-05 code.build — Biên dịch theo Pack; phân loại lỗi</t>
  </si>
  <si>
    <t xml:space="preserve">code.build</t>
  </si>
  <si>
    <t xml:space="preserve">WI-104</t>
  </si>
  <si>
    <t xml:space="preserve">CODE-06 code.size — Kiểm Flash/RAM so ràng buộc; phân tích .map</t>
  </si>
  <si>
    <t xml:space="preserve">code.size</t>
  </si>
  <si>
    <t xml:space="preserve">WI-105</t>
  </si>
  <si>
    <t xml:space="preserve">CODE-07 code.static — cppcheck/clang-tidy + quy tắc Pack (delay, malloc, float trong ISR)</t>
  </si>
  <si>
    <t xml:space="preserve">code.static</t>
  </si>
  <si>
    <t xml:space="preserve">WI-106</t>
  </si>
  <si>
    <t xml:space="preserve">CODE-08 code.test_host — Kiểm thử trên máy chủ với mock ngoại vi (ctypes)</t>
  </si>
  <si>
    <t xml:space="preserve">code.test_host</t>
  </si>
  <si>
    <t xml:space="preserve">WI-107</t>
  </si>
  <si>
    <t xml:space="preserve">CODE-09 code.generate_tests — Sinh unit test/kịch bản từ kỳ vọng Feature</t>
  </si>
  <si>
    <t xml:space="preserve">code.generate_tests</t>
  </si>
  <si>
    <t xml:space="preserve">WI-108</t>
  </si>
  <si>
    <t xml:space="preserve">CODE-10 code.self_repair — Tự sửa theo ToolReport ≤ 3 vòng</t>
  </si>
  <si>
    <t xml:space="preserve">code.self_repair</t>
  </si>
  <si>
    <t xml:space="preserve">WI-109</t>
  </si>
  <si>
    <t xml:space="preserve">CODE-11 code.review — Reviewer khác hãng chấm checklist</t>
  </si>
  <si>
    <t xml:space="preserve">code.review</t>
  </si>
  <si>
    <t xml:space="preserve">WI-110</t>
  </si>
  <si>
    <t xml:space="preserve">CODE-12 code.merge — Merge vào auto/ với commit truy vết; cửa sổ hoàn tác</t>
  </si>
  <si>
    <t xml:space="preserve">code.merge</t>
  </si>
  <si>
    <t xml:space="preserve">WI-111</t>
  </si>
  <si>
    <t xml:space="preserve">CODE-13 code.revert — Hoàn tác merge</t>
  </si>
  <si>
    <t xml:space="preserve">code.revert</t>
  </si>
  <si>
    <t xml:space="preserve">WI-112</t>
  </si>
  <si>
    <t xml:space="preserve">CODE-14 code.annotate — Gợi ý/chèn hkw:fact cho mã người viết</t>
  </si>
  <si>
    <t xml:space="preserve">code.annotate</t>
  </si>
  <si>
    <t xml:space="preserve">WI-113</t>
  </si>
  <si>
    <t xml:space="preserve">CODE-15 code.docs — Sinh tài liệu mã/README module có trích dẫn</t>
  </si>
  <si>
    <t xml:space="preserve">code.docs</t>
  </si>
  <si>
    <t xml:space="preserve">WI-114</t>
  </si>
  <si>
    <t xml:space="preserve">CODE-16 code.refactor — Tái cấu trúc theo quy ước repo, không đổi hành vi (kiểm bằng test)</t>
  </si>
  <si>
    <t xml:space="preserve">code.refactor</t>
  </si>
  <si>
    <t xml:space="preserve">WI-115</t>
  </si>
  <si>
    <t xml:space="preserve">SIM-01 sim.build_platform — Sinh mô tả nền tảng (Renode .repl / simavr / tự xây) từ hộ chiếu</t>
  </si>
  <si>
    <t xml:space="preserve">CDS-12 tập 4</t>
  </si>
  <si>
    <t xml:space="preserve">sim.build_platform</t>
  </si>
  <si>
    <t xml:space="preserve">WI-116</t>
  </si>
  <si>
    <t xml:space="preserve">SIM-02 sim.mock_peripheral — Mock ngoại vi ngoài theo datasheet (id, dữ liệu theo công thức)</t>
  </si>
  <si>
    <t xml:space="preserve">sim.mock_peripheral</t>
  </si>
  <si>
    <t xml:space="preserve">WI-117</t>
  </si>
  <si>
    <t xml:space="preserve">SIM-03 sim.model_plant — Mô hình động lực học (robot 2 bánh) với tham số có nguồn/tạm</t>
  </si>
  <si>
    <t xml:space="preserve">sim.model_plant</t>
  </si>
  <si>
    <t xml:space="preserve">WI-118</t>
  </si>
  <si>
    <t xml:space="preserve">SIM-04 sim.scenario — Sinh kịch bản từ kỳ vọng Feature (init, inject, expect)</t>
  </si>
  <si>
    <t xml:space="preserve">sim.scenario</t>
  </si>
  <si>
    <t xml:space="preserve">WI-119</t>
  </si>
  <si>
    <t xml:space="preserve">SIM-05 sim.run — Chạy firmware trên mô phỏng; bắt UART/GPIO/biến</t>
  </si>
  <si>
    <t xml:space="preserve">sim.run</t>
  </si>
  <si>
    <t xml:space="preserve">WI-120</t>
  </si>
  <si>
    <t xml:space="preserve">SIM-06 sim.sweep — Quét tham số (PID, tốc độ bus) trên mô phỏng</t>
  </si>
  <si>
    <t xml:space="preserve">sim.sweep</t>
  </si>
  <si>
    <t xml:space="preserve">WI-121</t>
  </si>
  <si>
    <t xml:space="preserve">SIM-07 sim.compare_hil — So kết quả SIL/HIL; đề xuất cập nhật mô hình</t>
  </si>
  <si>
    <t xml:space="preserve">sim.compare_hil</t>
  </si>
  <si>
    <t xml:space="preserve">WI-122</t>
  </si>
  <si>
    <t xml:space="preserve">TARGET-01 target.detect — Phát hiện board/probe/cổng serial; đọc ID</t>
  </si>
  <si>
    <t xml:space="preserve">target.detect</t>
  </si>
  <si>
    <t xml:space="preserve">WI-123</t>
  </si>
  <si>
    <t xml:space="preserve">TARGET-02 target.flash — Nạp + verify qua adapter ISA</t>
  </si>
  <si>
    <t xml:space="preserve">target.flash</t>
  </si>
  <si>
    <t xml:space="preserve">WI-124</t>
  </si>
  <si>
    <t xml:space="preserve">TARGET-03 target.reset — Reset board</t>
  </si>
  <si>
    <t xml:space="preserve">target.reset</t>
  </si>
  <si>
    <t xml:space="preserve">WI-125</t>
  </si>
  <si>
    <t xml:space="preserve">TARGET-04 target.serial — Mở/đọc/ghi/expect serial đa cổng; ghi JSONL</t>
  </si>
  <si>
    <t xml:space="preserve">target.serial</t>
  </si>
  <si>
    <t xml:space="preserve">WI-126</t>
  </si>
  <si>
    <t xml:space="preserve">TARGET-05 target.probe_read — halt/step/read_memory/read_registers/breakpoint (đọc)</t>
  </si>
  <si>
    <t xml:space="preserve">target.probe_read</t>
  </si>
  <si>
    <t xml:space="preserve">WI-127</t>
  </si>
  <si>
    <t xml:space="preserve">TARGET-06 target.probe_write — write_memory/RTT write</t>
  </si>
  <si>
    <t xml:space="preserve">target.probe_write</t>
  </si>
  <si>
    <t xml:space="preserve">WI-128</t>
  </si>
  <si>
    <t xml:space="preserve">TARGET-07 target.erase_fuse — Xóa flash toàn bộ, ghi fuse/option byte</t>
  </si>
  <si>
    <t xml:space="preserve">target.erase_fuse</t>
  </si>
  <si>
    <t xml:space="preserve">WI-129</t>
  </si>
  <si>
    <t xml:space="preserve">TARGET-08 target.diagnose_fault — Đọc thanh ghi lỗi, unwind stack, ánh xạ dòng mã</t>
  </si>
  <si>
    <t xml:space="preserve">target.diagnose_fault</t>
  </si>
  <si>
    <t xml:space="preserve">WI-130</t>
  </si>
  <si>
    <t xml:space="preserve">TARGET-09 target.observe — Chạy kỳ vọng quan sát bằng máy (serial expect, probe, LA, camera)</t>
  </si>
  <si>
    <t xml:space="preserve">target.observe</t>
  </si>
  <si>
    <t xml:space="preserve">WI-131</t>
  </si>
  <si>
    <t xml:space="preserve">DEBUG-01 debug.log_stats — Thống kê log lớn (GEditor): mẫu lặp, khoảng thời gian, mức</t>
  </si>
  <si>
    <t xml:space="preserve">debug.log_stats</t>
  </si>
  <si>
    <t xml:space="preserve">WI-132</t>
  </si>
  <si>
    <t xml:space="preserve">DEBUG-02 debug.ask_at — Hỏi tại dòng: ngữ cảnh = vùng log + stats + hộ chiếu + mã liên quan</t>
  </si>
  <si>
    <t xml:space="preserve">debug.ask_at</t>
  </si>
  <si>
    <t xml:space="preserve">WI-133</t>
  </si>
  <si>
    <t xml:space="preserve">DEBUG-03 debug.hypothesize — Giả thuyết xếp hạng + thí nghiệm phân biệt</t>
  </si>
  <si>
    <t xml:space="preserve">debug.hypothesize</t>
  </si>
  <si>
    <t xml:space="preserve">WI-134</t>
  </si>
  <si>
    <t xml:space="preserve">DEBUG-04 debug.experiment — Chạy thí nghiệm (probe/test firmware) theo chính sách</t>
  </si>
  <si>
    <t xml:space="preserve">debug.experiment</t>
  </si>
  <si>
    <t xml:space="preserve">WI-135</t>
  </si>
  <si>
    <t xml:space="preserve">DEBUG-05 debug.save_session — Lưu DebugSession gắn fact/mã/log; ghi sổ lỗi</t>
  </si>
  <si>
    <t xml:space="preserve">debug.save_session</t>
  </si>
  <si>
    <t xml:space="preserve">WI-136</t>
  </si>
  <si>
    <t xml:space="preserve">DEBUG-06 debug.propose_fix — Đề xuất sửa: mã (→ STEP), ràng buộc (→ K6), phần cứng (→ người)</t>
  </si>
  <si>
    <t xml:space="preserve">debug.propose_fix</t>
  </si>
  <si>
    <t xml:space="preserve">WI-137</t>
  </si>
  <si>
    <t xml:space="preserve">MEASURE-01 measure.capture_signal — sigrok: bắt và decode I2C/SPI/UART</t>
  </si>
  <si>
    <t xml:space="preserve">measure.capture_signal</t>
  </si>
  <si>
    <t xml:space="preserve">WI-138</t>
  </si>
  <si>
    <t xml:space="preserve">MEASURE-02 measure.power — INA2xx/PPK2: dòng/năng lượng theo mốc GPIO</t>
  </si>
  <si>
    <t xml:space="preserve">measure.power</t>
  </si>
  <si>
    <t xml:space="preserve">WI-139</t>
  </si>
  <si>
    <t xml:space="preserve">MEASURE-03 measure.sync — Đồng bộ thời gian log ↔ waveform ↔ số đo</t>
  </si>
  <si>
    <t xml:space="preserve">measure.sync</t>
  </si>
  <si>
    <t xml:space="preserve">WI-140</t>
  </si>
  <si>
    <t xml:space="preserve">BENCH-01 bench.run — Chạy bộ tác vụ CF/BF/BC theo mô hình/skill</t>
  </si>
  <si>
    <t xml:space="preserve">bench.run</t>
  </si>
  <si>
    <t xml:space="preserve">WI-141</t>
  </si>
  <si>
    <t xml:space="preserve">BENCH-02 bench.badge — Gắn huy hiệu verified/bench cho gói</t>
  </si>
  <si>
    <t xml:space="preserve">bench.badge</t>
  </si>
  <si>
    <t xml:space="preserve">WI-142</t>
  </si>
  <si>
    <t xml:space="preserve">BENCH-03 bench.suggest_skill_fix — Từ ca lỗi đề xuất sửa skill (chờ Pack owner)</t>
  </si>
  <si>
    <t xml:space="preserve">bench.suggest_skill_fix</t>
  </si>
  <si>
    <t xml:space="preserve">WI-143</t>
  </si>
  <si>
    <t xml:space="preserve">REGISTRY-01 registry.search — Tìm gói theo id/mpn/từ khóa</t>
  </si>
  <si>
    <t xml:space="preserve">CDS-12 tập 5</t>
  </si>
  <si>
    <t xml:space="preserve">registry.search</t>
  </si>
  <si>
    <t xml:space="preserve">WI-144</t>
  </si>
  <si>
    <t xml:space="preserve">REGISTRY-02 registry.pull — Kiểm chữ ký; nạp gói vào store; ghim</t>
  </si>
  <si>
    <t xml:space="preserve">registry.pull</t>
  </si>
  <si>
    <t xml:space="preserve">WI-145</t>
  </si>
  <si>
    <t xml:space="preserve">REGISTRY-03 registry.pack — Đóng gói .hkp (fact + con trỏ nguồn, skill, bench, badge); kiểm licens</t>
  </si>
  <si>
    <t xml:space="preserve">registry.pack</t>
  </si>
  <si>
    <t xml:space="preserve">WI-146</t>
  </si>
  <si>
    <t xml:space="preserve">REGISTRY-04 registry.publish — Ký và phát hành (nội bộ tự động; công khai hỏi)</t>
  </si>
  <si>
    <t xml:space="preserve">registry.publish</t>
  </si>
  <si>
    <t xml:space="preserve">WI-147</t>
  </si>
  <si>
    <t xml:space="preserve">REPORT-01 report.progress — Báo cáo tiến độ/ngày: việc tự làm, chờ người, chi phí</t>
  </si>
  <si>
    <t xml:space="preserve">report.progress</t>
  </si>
  <si>
    <t xml:space="preserve">WI-148</t>
  </si>
  <si>
    <t xml:space="preserve">REPORT-02 report.export — docx/pdf/md có mục Nguồn</t>
  </si>
  <si>
    <t xml:space="preserve">report.export</t>
  </si>
  <si>
    <t xml:space="preserve">WI-149</t>
  </si>
  <si>
    <t xml:space="preserve">REPORT-03 report.human_ai_matrix — Ma trận Người–AI từ ledger</t>
  </si>
  <si>
    <t xml:space="preserve">report.human_ai_matrix</t>
  </si>
  <si>
    <t xml:space="preserve">WI-150</t>
  </si>
  <si>
    <t xml:space="preserve">REPORT-04 report.explain — Giải thích một quyết định/mã (rationale có trích dẫn)</t>
  </si>
  <si>
    <t xml:space="preserve">report.explain</t>
  </si>
  <si>
    <t xml:space="preserve">WI-151</t>
  </si>
  <si>
    <t xml:space="preserve">POLICY-01 policy.decide — Hàm quyết định theo cổng: APPROVE/ASK/REJECT có lý do</t>
  </si>
  <si>
    <t xml:space="preserve">policy.decide</t>
  </si>
  <si>
    <t xml:space="preserve">WI-152</t>
  </si>
  <si>
    <t xml:space="preserve">POLICY-02 policy.permit — Quyền theo phiên cho thao tác R3/R4</t>
  </si>
  <si>
    <t xml:space="preserve">policy.permit</t>
  </si>
  <si>
    <t xml:space="preserve">WI-153</t>
  </si>
  <si>
    <t xml:space="preserve">POLICY-03 policy.undo_window — Theo dõi việc đã tự làm còn trong cửa sổ hoàn tác</t>
  </si>
  <si>
    <t xml:space="preserve">policy.undo_window</t>
  </si>
  <si>
    <t xml:space="preserve">WI-154</t>
  </si>
  <si>
    <t xml:space="preserve">POLICY-04 policy.escalate — Leo thang lên người qua hàng đợi/chat/thông báo</t>
  </si>
  <si>
    <t xml:space="preserve">policy.escalate</t>
  </si>
  <si>
    <t xml:space="preserve">WI-155</t>
  </si>
  <si>
    <t xml:space="preserve">POLICY-05 policy.emergency_stop — Hạ về A0, hủy thao tác phần cứng đang chờ</t>
  </si>
  <si>
    <t xml:space="preserve">policy.emergency_stop</t>
  </si>
  <si>
    <t xml:space="preserve">WI-156</t>
  </si>
  <si>
    <t xml:space="preserve">POLICY-06 policy.learn_thresholds — Tổng hợp quyết định của người → đề xuất ngưỡng</t>
  </si>
  <si>
    <t xml:space="preserve">policy.learn_thresholds</t>
  </si>
  <si>
    <t xml:space="preserve">WI-157</t>
  </si>
  <si>
    <t xml:space="preserve">POLICY-07 policy.set_autonomy — Đặt mức tự chủ dự án/board</t>
  </si>
  <si>
    <t xml:space="preserve">policy.set_autonomy</t>
  </si>
  <si>
    <t xml:space="preserve">WI-158</t>
  </si>
  <si>
    <t xml:space="preserve">CHAT-01 chat.parse_intent — Câu lệnh → ý định + tham số (slot); nhận diện lệnh lớn</t>
  </si>
  <si>
    <t xml:space="preserve">chat.parse_intent</t>
  </si>
  <si>
    <t xml:space="preserve">WI-159</t>
  </si>
  <si>
    <t xml:space="preserve">CHAT-02 chat.ground — Đối chiếu ý định với trạng thái (dự án/hộ chiếu/board tồn tại?)</t>
  </si>
  <si>
    <t xml:space="preserve">chat.ground</t>
  </si>
  <si>
    <t xml:space="preserve">WI-160</t>
  </si>
  <si>
    <t xml:space="preserve">CHAT-03 chat.fill_defaults — Điền ô trống bằng mặc định có căn cứ; ghi ledger</t>
  </si>
  <si>
    <t xml:space="preserve">chat.fill_defaults</t>
  </si>
  <si>
    <t xml:space="preserve">WI-161</t>
  </si>
  <si>
    <t xml:space="preserve">CHAT-04 chat.clarify — Một câu hỏi gộp có phương án và mặc định; timeout</t>
  </si>
  <si>
    <t xml:space="preserve">chat.clarify</t>
  </si>
  <si>
    <t xml:space="preserve">WI-162</t>
  </si>
  <si>
    <t xml:space="preserve">CHAT-05 chat.restate — Nói lại ý hiểu 1–2 câu trước chuỗi dài</t>
  </si>
  <si>
    <t xml:space="preserve">chat.restate</t>
  </si>
  <si>
    <t xml:space="preserve">WI-163</t>
  </si>
  <si>
    <t xml:space="preserve">CHAT-06 chat.orchestrate — Biến lệnh lớn thành chuỗi gọi năng lực có nhánh; chạy theo chính sách</t>
  </si>
  <si>
    <t xml:space="preserve">chat.orchestrate</t>
  </si>
  <si>
    <t xml:space="preserve">WI-164</t>
  </si>
  <si>
    <t xml:space="preserve">CHAT-07 chat.report_back — Tóm tắt việc đã làm, đang chờ, hoàn tác được, chi phí</t>
  </si>
  <si>
    <t xml:space="preserve">chat.report_back</t>
  </si>
  <si>
    <t xml:space="preserve">WI-165</t>
  </si>
  <si>
    <t xml:space="preserve">CHAT-08 chat.decline — Nói 'không có trong hộ chiếu'/'không làm được' có lý do và đề xuất</t>
  </si>
  <si>
    <t xml:space="preserve">chat.decline</t>
  </si>
  <si>
    <t xml:space="preserve">WI-166</t>
  </si>
  <si>
    <t xml:space="preserve">REQ-01 req.elicit — Thu thập yêu cầu từ lệnh NL, tài liệu, ảnh, chat cũ; sinh câu hỏi gộp </t>
  </si>
  <si>
    <t xml:space="preserve">req.elicit</t>
  </si>
  <si>
    <t xml:space="preserve">WI-167</t>
  </si>
  <si>
    <t xml:space="preserve">REQ-02 req.classify — Phân loại FR/NFR/ràng buộc phần cứng/an toàn/thời gian thực; gán mã UR</t>
  </si>
  <si>
    <t xml:space="preserve">req.classify</t>
  </si>
  <si>
    <t xml:space="preserve">WI-168</t>
  </si>
  <si>
    <t xml:space="preserve">REQ-03 req.ground_hw — Đối chiếu yêu cầu với hộ chiếu chip/board (chân, ngoại vi, RAM/Flash, </t>
  </si>
  <si>
    <t xml:space="preserve">req.ground_hw</t>
  </si>
  <si>
    <t xml:space="preserve">WI-169</t>
  </si>
  <si>
    <t xml:space="preserve">REQ-04 req.detect_conflict — Phát hiện yêu cầu mâu thuẫn/mơ hồ/thiếu định lượng; đề xuất câu chữ đo</t>
  </si>
  <si>
    <t xml:space="preserve">req.detect_conflict</t>
  </si>
  <si>
    <t xml:space="preserve">WI-170</t>
  </si>
  <si>
    <t xml:space="preserve">REQ-05 req.prioritize — Ưu tiên MoSCoW theo mục tiêu dự án và rủi ro phần cứng</t>
  </si>
  <si>
    <t xml:space="preserve">req.prioritize</t>
  </si>
  <si>
    <t xml:space="preserve">WI-171</t>
  </si>
  <si>
    <t xml:space="preserve">REQ-06 req.trace_matrix — Ma trận truy vết UR→FR→thiết kế→mã→test; phát hiện lỗ hổng</t>
  </si>
  <si>
    <t xml:space="preserve">req.trace_matrix</t>
  </si>
  <si>
    <t xml:space="preserve">WI-172</t>
  </si>
  <si>
    <t xml:space="preserve">REQ-07 req.acceptance — Sinh tiêu chí chấp nhận/kịch bản kiểm thử từ yêu cầu (Given-When-Then)</t>
  </si>
  <si>
    <t xml:space="preserve">req.acceptance</t>
  </si>
  <si>
    <t xml:space="preserve">WI-173</t>
  </si>
  <si>
    <t xml:space="preserve">REQ-08 req.change_impact — Đánh giá tác động khi đổi yêu cầu: module, fact, test, tài liệu bị ảnh</t>
  </si>
  <si>
    <t xml:space="preserve">req.change_impact</t>
  </si>
  <si>
    <t xml:space="preserve">WI-174</t>
  </si>
  <si>
    <t xml:space="preserve">ARCH-01 arch.style_select — Chọn kiểu kiến trúc firmware (super-loop, event-driven, RTOS, layered/</t>
  </si>
  <si>
    <t xml:space="preserve">arch.style_select</t>
  </si>
  <si>
    <t xml:space="preserve">WI-175</t>
  </si>
  <si>
    <t xml:space="preserve">ARCH-02 arch.decompose — Phân rã hệ thống thành module/lớp/thành phần với trách nhiệm, giao diệ</t>
  </si>
  <si>
    <t xml:space="preserve">arch.decompose</t>
  </si>
  <si>
    <t xml:space="preserve">WI-176</t>
  </si>
  <si>
    <t xml:space="preserve">ARCH-03 arch.map_hw — Gán module ↔ ngoại vi/chân/ngắt/DMA/timer; kiểm xung đột tài nguyên</t>
  </si>
  <si>
    <t xml:space="preserve">arch.map_hw</t>
  </si>
  <si>
    <t xml:space="preserve">WI-177</t>
  </si>
  <si>
    <t xml:space="preserve">ARCH-04 arch.memory_budget — Ngân sách RAM/Flash/stack/heap theo module; cảnh báo vượt</t>
  </si>
  <si>
    <t xml:space="preserve">arch.memory_budget</t>
  </si>
  <si>
    <t xml:space="preserve">WI-178</t>
  </si>
  <si>
    <t xml:space="preserve">ARCH-05 arch.timing_budget — Ngân sách thời gian thực: chu kỳ, WCET ước lượng, ưu tiên ngắt/task</t>
  </si>
  <si>
    <t xml:space="preserve">arch.timing_budget</t>
  </si>
  <si>
    <t xml:space="preserve">WI-179</t>
  </si>
  <si>
    <t xml:space="preserve">ARCH-06 arch.interface_spec — Đặc tả API/giao thức giữa module (chữ ký, message, lỗi, trạng thái)</t>
  </si>
  <si>
    <t xml:space="preserve">arch.interface_spec</t>
  </si>
  <si>
    <t xml:space="preserve">WI-180</t>
  </si>
  <si>
    <t xml:space="preserve">ARCH-07 arch.state_machine — Thiết kế máy trạng thái cho module/thiết bị; kiểm tính đầy đủ chuyển t</t>
  </si>
  <si>
    <t xml:space="preserve">arch.state_machine</t>
  </si>
  <si>
    <t xml:space="preserve">WI-181</t>
  </si>
  <si>
    <t xml:space="preserve">ARCH-08 arch.adr — Ghi Architecture Decision Record: bối cảnh, phương án, quyết định, hệ </t>
  </si>
  <si>
    <t xml:space="preserve">arch.adr</t>
  </si>
  <si>
    <t xml:space="preserve">WI-182</t>
  </si>
  <si>
    <t xml:space="preserve">ARCH-09 arch.review — Rà kiến trúc theo checklist nhúng (coupling, ISR ngắn, lock, watchdog,</t>
  </si>
  <si>
    <t xml:space="preserve">arch.review</t>
  </si>
  <si>
    <t xml:space="preserve">WI-183</t>
  </si>
  <si>
    <t xml:space="preserve">ARCH-10 arch.compare — So sánh 2–3 phương án kiến trúc theo tiêu chí có trọng số; đề xuất có </t>
  </si>
  <si>
    <t xml:space="preserve">arch.compare</t>
  </si>
  <si>
    <t xml:space="preserve">WI-184</t>
  </si>
  <si>
    <t xml:space="preserve">ARCH-11 arch.to_plan — Chuyển kiến trúc thành kế hoạch hiện thực theo mốc; nối plan.create</t>
  </si>
  <si>
    <t xml:space="preserve">arch.to_plan</t>
  </si>
  <si>
    <t xml:space="preserve">WI-185</t>
  </si>
  <si>
    <t xml:space="preserve">DIAGRAM-01 diagram.render — Vẽ lược đồ từ ngôn ngữ GEditor đã hỗ trợ (Mermaid, PlantUML, Graphviz/</t>
  </si>
  <si>
    <t xml:space="preserve">diagram.render</t>
  </si>
  <si>
    <t xml:space="preserve">WI-186</t>
  </si>
  <si>
    <t xml:space="preserve">DIAGRAM-02 diagram.block — Sơ đồ khối hệ thống/board từ BOM + netlist (khối, bus, nguồn)</t>
  </si>
  <si>
    <t xml:space="preserve">diagram.block</t>
  </si>
  <si>
    <t xml:space="preserve">WI-187</t>
  </si>
  <si>
    <t xml:space="preserve">DIAGRAM-03 diagram.pinmap — Sơ đồ chân/kết nối module ↔ chip từ HwMap; bảng chân kèm theo</t>
  </si>
  <si>
    <t xml:space="preserve">diagram.pinmap</t>
  </si>
  <si>
    <t xml:space="preserve">WI-188</t>
  </si>
  <si>
    <t xml:space="preserve">DIAGRAM-04 diagram.architecture — Sơ đồ kiến trúc phần mềm (lớp, module, phụ thuộc, luồng dữ liệu) theo </t>
  </si>
  <si>
    <t xml:space="preserve">diagram.architecture</t>
  </si>
  <si>
    <t xml:space="preserve">WI-189</t>
  </si>
  <si>
    <t xml:space="preserve">DIAGRAM-05 diagram.sequence — Sơ đồ tuần tự cho kịch bản/UC (ISR, task, giao tiếp ngoại vi)</t>
  </si>
  <si>
    <t xml:space="preserve">diagram.sequence</t>
  </si>
  <si>
    <t xml:space="preserve">WI-190</t>
  </si>
  <si>
    <t xml:space="preserve">DIAGRAM-06 diagram.state — Sơ đồ trạng thái từ FSM; đồng bộ hai chiều với mã máy trạng thái</t>
  </si>
  <si>
    <t xml:space="preserve">diagram.state</t>
  </si>
  <si>
    <t xml:space="preserve">WI-191</t>
  </si>
  <si>
    <t xml:space="preserve">DIAGRAM-07 diagram.flow — Lưu đồ thuật toán/luồng nghiệp vụ; sinh từ mã C hoặc từ mô tả</t>
  </si>
  <si>
    <t xml:space="preserve">diagram.flow</t>
  </si>
  <si>
    <t xml:space="preserve">WI-192</t>
  </si>
  <si>
    <t xml:space="preserve">DIAGRAM-08 diagram.timing — Giản đồ thời gian/tín hiệu (WaveDrom) từ timing của datasheet hoặc cap</t>
  </si>
  <si>
    <t xml:space="preserve">diagram.timing</t>
  </si>
  <si>
    <t xml:space="preserve">WI-193</t>
  </si>
  <si>
    <t xml:space="preserve">DIAGRAM-09 diagram.memory_map — Sơ đồ bản đồ bộ nhớ/thanh ghi từ hộ chiếu và linker script</t>
  </si>
  <si>
    <t xml:space="preserve">diagram.memory_map</t>
  </si>
  <si>
    <t xml:space="preserve">WI-194</t>
  </si>
  <si>
    <t xml:space="preserve">DIAGRAM-10 diagram.kg_view — Vẽ lát cắt đồ thị tri thức (fact, nguồn, mâu thuẫn, tác động) theo tru</t>
  </si>
  <si>
    <t xml:space="preserve">diagram.kg_view</t>
  </si>
  <si>
    <t xml:space="preserve">WI-195</t>
  </si>
  <si>
    <t xml:space="preserve">DIAGRAM-11 diagram.gantt — Sơ đồ Gantt/mốc từ Plan; cập nhật theo tiến độ</t>
  </si>
  <si>
    <t xml:space="preserve">diagram.gantt</t>
  </si>
  <si>
    <t xml:space="preserve">WI-196</t>
  </si>
  <si>
    <t xml:space="preserve">DIAGRAM-12 diagram.from_image — Nhận dạng sơ đồ trong ảnh (schematic, sơ đồ vẽ tay) → mã lược đồ chỉnh</t>
  </si>
  <si>
    <t xml:space="preserve">diagram.from_image</t>
  </si>
  <si>
    <t xml:space="preserve">WI-197</t>
  </si>
  <si>
    <t xml:space="preserve">DIAGRAM-13 diagram.lint — Kiểm cú pháp/tính nhất quán lược đồ (nút mồ côi, tên không khớp mã)</t>
  </si>
  <si>
    <t xml:space="preserve">diagram.lint</t>
  </si>
  <si>
    <t xml:space="preserve">WI-198</t>
  </si>
  <si>
    <t xml:space="preserve">DIAGRAM-14 diagram.sync — Đồng bộ lược đồ ↔ mã/kiến trúc khi một bên đổi; cảnh báo lệch</t>
  </si>
  <si>
    <t xml:space="preserve">diagram.sync</t>
  </si>
  <si>
    <t xml:space="preserve">WI-199</t>
  </si>
  <si>
    <t xml:space="preserve">DOC-01 doc.generate — Sinh tài liệu theo chuẩn bộ EAA/EIDE (URD, SRS, SAD, SDD, STP, BPD…) t</t>
  </si>
  <si>
    <t xml:space="preserve">doc.generate</t>
  </si>
  <si>
    <t xml:space="preserve">WI-200</t>
  </si>
  <si>
    <t xml:space="preserve">DOC-02 doc.section — Viết/viết lại một mục (mô tả module, hướng dẫn cấu hình, ghi chú phát </t>
  </si>
  <si>
    <t xml:space="preserve">doc.section</t>
  </si>
  <si>
    <t xml:space="preserve">WI-201</t>
  </si>
  <si>
    <t xml:space="preserve">DOC-03 doc.api_ref — Sinh tham chiếu API từ header/Doxygen; ví dụ dùng theo hộ chiếu</t>
  </si>
  <si>
    <t xml:space="preserve">doc.api_ref</t>
  </si>
  <si>
    <t xml:space="preserve">WI-202</t>
  </si>
  <si>
    <t xml:space="preserve">DOC-04 doc.datasheet_summary — Tóm tắt datasheet/errata cho phần dự án dùng, có trích dẫn trang</t>
  </si>
  <si>
    <t xml:space="preserve">doc.datasheet_summary</t>
  </si>
  <si>
    <t xml:space="preserve">WI-203</t>
  </si>
  <si>
    <t xml:space="preserve">DOC-05 doc.bringup_guide — Hướng dẫn bring-up board: nguồn, nạp, kiểm tra bước đầu, lỗi thường gặ</t>
  </si>
  <si>
    <t xml:space="preserve">doc.bringup_guide</t>
  </si>
  <si>
    <t xml:space="preserve">WI-204</t>
  </si>
  <si>
    <t xml:space="preserve">DOC-06 doc.test_report — Báo cáo kiểm thử từ kết quả sim/target/bench với bằng chứng</t>
  </si>
  <si>
    <t xml:space="preserve">doc.test_report</t>
  </si>
  <si>
    <t xml:space="preserve">WI-205</t>
  </si>
  <si>
    <t xml:space="preserve">DOC-07 doc.embed_diagram — Chèn lược đồ (diagram.*) vào tài liệu với chú thích, đánh số hình</t>
  </si>
  <si>
    <t xml:space="preserve">doc.embed_diagram</t>
  </si>
  <si>
    <t xml:space="preserve">WI-206</t>
  </si>
  <si>
    <t xml:space="preserve">DOC-08 doc.style_check — Kiểm tài liệu theo chuẩn: tiếng Việt ưu tiên, thuật ngữ có giải nghĩa,</t>
  </si>
  <si>
    <t xml:space="preserve">doc.style_check</t>
  </si>
  <si>
    <t xml:space="preserve">WI-207</t>
  </si>
  <si>
    <t xml:space="preserve">DOC-09 doc.translate — Dịch tài liệu Việt↔Anh giữ thuật ngữ và bố cục</t>
  </si>
  <si>
    <t xml:space="preserve">doc.translate</t>
  </si>
  <si>
    <t xml:space="preserve">WI-208</t>
  </si>
  <si>
    <t xml:space="preserve">DOC-10 doc.changelog — Sinh changelog/ghi chú phát hành từ commit và ledger</t>
  </si>
  <si>
    <t xml:space="preserve">doc.changelog</t>
  </si>
  <si>
    <t xml:space="preserve">WI-209</t>
  </si>
  <si>
    <t xml:space="preserve">DOC-11 doc.slides — Sinh bộ slide trình bày dự án/đề án từ tài liệu và lược đồ</t>
  </si>
  <si>
    <t xml:space="preserve">doc.slides</t>
  </si>
  <si>
    <t xml:space="preserve">WI-210</t>
  </si>
  <si>
    <t xml:space="preserve">DOC-12 doc.sync — Cập nhật tài liệu khi mã/kiến trúc/fact đổi; đánh dấu mục lỗi thời</t>
  </si>
  <si>
    <t xml:space="preserve">doc.sync</t>
  </si>
  <si>
    <t xml:space="preserve">WI-211</t>
  </si>
  <si>
    <t xml:space="preserve">VIEW-01 view.kg_map — Hiển thị bản đồ tri thức toàn dự án: chip/board/module/fact/nguồn; tô </t>
  </si>
  <si>
    <t xml:space="preserve">view.kg_map</t>
  </si>
  <si>
    <t xml:space="preserve">WI-212</t>
  </si>
  <si>
    <t xml:space="preserve">VIEW-02 view.kg_focus — Bản đồ lân cận từ một nút (thanh ghi, chân, module) với đường dẫn tới </t>
  </si>
  <si>
    <t xml:space="preserve">view.kg_focus</t>
  </si>
  <si>
    <t xml:space="preserve">WI-213</t>
  </si>
  <si>
    <t xml:space="preserve">VIEW-03 view.provenance — Xem chuỗi nguồn gốc của một fact: tài liệu → trang/locator → trích đoạ</t>
  </si>
  <si>
    <t xml:space="preserve">view.provenance</t>
  </si>
  <si>
    <t xml:space="preserve">WI-214</t>
  </si>
  <si>
    <t xml:space="preserve">VIEW-04 view.conflict_board — Bảng mâu thuẫn/chờ duyệt/đã thay thế; thao tác duyệt ngay trên bảng</t>
  </si>
  <si>
    <t xml:space="preserve">view.conflict_board</t>
  </si>
  <si>
    <t xml:space="preserve">WI-215</t>
  </si>
  <si>
    <t xml:space="preserve">VIEW-05 view.coverage_map — Bản đồ độ phủ tri thức: ngoại vi/thanh ghi/chân nào đã có fact, đang t</t>
  </si>
  <si>
    <t xml:space="preserve">view.coverage_map</t>
  </si>
  <si>
    <t xml:space="preserve">WI-216</t>
  </si>
  <si>
    <t xml:space="preserve">VIEW-06 view.impact_map — Bản đồ tác động khi fact/yêu cầu đổi: module, test, tài liệu bị ảnh hư</t>
  </si>
  <si>
    <t xml:space="preserve">view.impact_map</t>
  </si>
  <si>
    <t xml:space="preserve">WI-217</t>
  </si>
  <si>
    <t xml:space="preserve">VIEW-07 view.rag_ask — Hỏi–đáp RAG trên toàn kho tài liệu dự án (PDF, ảnh OCR, mã, chat); trả</t>
  </si>
  <si>
    <t xml:space="preserve">view.rag_ask</t>
  </si>
  <si>
    <t xml:space="preserve">WI-218</t>
  </si>
  <si>
    <t xml:space="preserve">VIEW-08 view.rag_trace — Hiển thị lý do trả lời: đoạn văn bản được truy hồi, điểm số, đường lan</t>
  </si>
  <si>
    <t xml:space="preserve">view.rag_trace</t>
  </si>
  <si>
    <t xml:space="preserve">WI-219</t>
  </si>
  <si>
    <t xml:space="preserve">VIEW-09 view.rag_index — Xây/cập nhật chỉ mục RAG (chunk, embedding, chỉ mục từ khóa + đồ thị) </t>
  </si>
  <si>
    <t xml:space="preserve">view.rag_index</t>
  </si>
  <si>
    <t xml:space="preserve">WI-220</t>
  </si>
  <si>
    <t xml:space="preserve">VIEW-10 view.rag_compare — So sánh câu trả lời theo nhiều nguồn (datasheet vs errata vs cộng đồng</t>
  </si>
  <si>
    <t xml:space="preserve">view.rag_compare</t>
  </si>
  <si>
    <t xml:space="preserve">WI-221</t>
  </si>
  <si>
    <t xml:space="preserve">VIEW-11 view.doc_side_by_side — Xem tài liệu gốc cạnh fact/mã đã trích: bôi sáng vùng nguồn trong PDF/</t>
  </si>
  <si>
    <t xml:space="preserve">view.doc_side_by_side</t>
  </si>
  <si>
    <t xml:space="preserve">WI-222</t>
  </si>
  <si>
    <t xml:space="preserve">VIEW-12 view.timeline — Dòng thời gian tri thức/quyết định: fact nhập, supersede, gate, merge,</t>
  </si>
  <si>
    <t xml:space="preserve">view.timeline</t>
  </si>
  <si>
    <t xml:space="preserve">WI-223</t>
  </si>
  <si>
    <t xml:space="preserve">VIEW-13 view.export_map — Xuất bản đồ tri thức ra DOT/GraphML/SVG/PNG hoặc mã Mermaid để chèn tà</t>
  </si>
  <si>
    <t xml:space="preserve">view.export_map</t>
  </si>
  <si>
    <t xml:space="preserve">WI-224</t>
  </si>
  <si>
    <t xml:space="preserve">DISCOVER-01 discover.ports — Liệt kê cổng USB/serial/JTAG-SWD đang cắm; VID/PID, driver, quyền truy</t>
  </si>
  <si>
    <t xml:space="preserve">discover.ports</t>
  </si>
  <si>
    <t xml:space="preserve">WI-225</t>
  </si>
  <si>
    <t xml:space="preserve">DISCOVER-02 discover.probe — Dò debug probe (ST-Link, J-Link, CMSIS-DAP, PICkit, AVRISP, ESP USB-JT</t>
  </si>
  <si>
    <t xml:space="preserve">discover.probe</t>
  </si>
  <si>
    <t xml:space="preserve">WI-226</t>
  </si>
  <si>
    <t xml:space="preserve">DISCOVER-03 discover.chip_id — Đọc ID chip qua probe/bootloader (IDCODE, DEVICE_ID, signature bytes, </t>
  </si>
  <si>
    <t xml:space="preserve">discover.chip_id</t>
  </si>
  <si>
    <t xml:space="preserve">WI-227</t>
  </si>
  <si>
    <t xml:space="preserve">DISCOVER-04 discover.board_match — Nhận diện board từ chip ID + ngoại vi phản hồi (I2C scan, GPIO) + ảnh/</t>
  </si>
  <si>
    <t xml:space="preserve">discover.board_match</t>
  </si>
  <si>
    <t xml:space="preserve">WI-228</t>
  </si>
  <si>
    <t xml:space="preserve">DISCOVER-05 discover.bus_scan — Quét bus I2C/SPI/1-Wire/CAN tìm thiết bị đang có; đối chiếu địa chỉ vớ</t>
  </si>
  <si>
    <t xml:space="preserve">discover.bus_scan</t>
  </si>
  <si>
    <t xml:space="preserve">WI-229</t>
  </si>
  <si>
    <t xml:space="preserve">DISCOVER-06 discover.link_speed — Dò tốc độ kết nối tối ưu: baud serial (auto-baud), SWD/JTAG clock, SPI</t>
  </si>
  <si>
    <t xml:space="preserve">discover.link_speed</t>
  </si>
  <si>
    <t xml:space="preserve">WI-230</t>
  </si>
  <si>
    <t xml:space="preserve">DISCOVER-07 discover.clock_measure — Đo tần số thực của chip/bus (qua probe timestamp, LA, hoặc firmware đo</t>
  </si>
  <si>
    <t xml:space="preserve">discover.clock_measure</t>
  </si>
  <si>
    <t xml:space="preserve">WI-231</t>
  </si>
  <si>
    <t xml:space="preserve">DISCOVER-08 discover.power — Đọc điện áp/dòng cấp (nếu probe/board hỗ trợ) và cảnh báo bất thường t</t>
  </si>
  <si>
    <t xml:space="preserve">discover.power</t>
  </si>
  <si>
    <t xml:space="preserve">WI-232</t>
  </si>
  <si>
    <t xml:space="preserve">DISCOVER-09 discover.firmware_probe — Nhận diện firmware đang chạy trên board (banner serial, bootloader, ph</t>
  </si>
  <si>
    <t xml:space="preserve">discover.firmware_probe</t>
  </si>
  <si>
    <t xml:space="preserve">WI-233</t>
  </si>
  <si>
    <t xml:space="preserve">DISCOVER-10 discover.network — Dò thiết bị nhúng trên mạng LAN (mDNS, OTA endpoint, IP cố định) cho b</t>
  </si>
  <si>
    <t xml:space="preserve">discover.network</t>
  </si>
  <si>
    <t xml:space="preserve">WI-234</t>
  </si>
  <si>
    <t xml:space="preserve">DISCOVER-11 discover.env_hw — Tóm tắt phần cứng máy phát triển: OS, cổng, driver thiếu, quyền (udev/</t>
  </si>
  <si>
    <t xml:space="preserve">discover.env_hw</t>
  </si>
  <si>
    <t xml:space="preserve">WI-235</t>
  </si>
  <si>
    <t xml:space="preserve">DISCOVER-12 discover.auto_setup — Từ kết quả dò: chọn adapter ISA, cấu hình openocd/probe-rs/esptool, tố</t>
  </si>
  <si>
    <t xml:space="preserve">discover.auto_setup</t>
  </si>
  <si>
    <t xml:space="preserve">WI-236</t>
  </si>
  <si>
    <t xml:space="preserve">TOOL-01 tool.need — Nhận diện nhu cầu công cụ mới: khi chuỗi thiếu năng lực phù hợp hoặc n</t>
  </si>
  <si>
    <t xml:space="preserve">tool.need</t>
  </si>
  <si>
    <t xml:space="preserve">WI-237</t>
  </si>
  <si>
    <t xml:space="preserve">TOOL-02 tool.search — Tìm công cụ đã có (do tác tử tự viết trước đó, trong dự án/người dùng/</t>
  </si>
  <si>
    <t xml:space="preserve">tool.search</t>
  </si>
  <si>
    <t xml:space="preserve">WI-238</t>
  </si>
  <si>
    <t xml:space="preserve">TOOL-03 tool.write — Tự viết công cụ bằng Python theo ToolSpec: hàm thuần có chữ ký, docstr</t>
  </si>
  <si>
    <t xml:space="preserve">tool.write</t>
  </si>
  <si>
    <t xml:space="preserve">WI-239</t>
  </si>
  <si>
    <t xml:space="preserve">TOOL-04 tool.test — Chạy test của công cụ trong sandbox (không mạng, không phần cứng); kiể</t>
  </si>
  <si>
    <t xml:space="preserve">tool.test</t>
  </si>
  <si>
    <t xml:space="preserve">WI-240</t>
  </si>
  <si>
    <t xml:space="preserve">TOOL-05 tool.run — Thực thi công cụ trong sandbox với giới hạn theo hiệu ứng khai báo; ch</t>
  </si>
  <si>
    <t xml:space="preserve">tool.run</t>
  </si>
  <si>
    <t xml:space="preserve">WI-241</t>
  </si>
  <si>
    <t xml:space="preserve">TOOL-06 tool.register — Đăng ký công cụ thành năng lực tạm (namespace user.*) trong Capability</t>
  </si>
  <si>
    <t xml:space="preserve">tool.register</t>
  </si>
  <si>
    <t xml:space="preserve">WI-242</t>
  </si>
  <si>
    <t xml:space="preserve">TOOL-07 tool.repair — Sửa công cụ khi thất bại (ToolReport/lỗi runtime) ≤ 3 vòng; ghi sổ lỗi</t>
  </si>
  <si>
    <t xml:space="preserve">tool.repair</t>
  </si>
  <si>
    <t xml:space="preserve">WI-243</t>
  </si>
  <si>
    <t xml:space="preserve">TOOL-08 tool.promote — Thăng công cụ tạm thành năng lực chính thức (namespace chuẩn) sau khi </t>
  </si>
  <si>
    <t xml:space="preserve">tool.promote</t>
  </si>
  <si>
    <t xml:space="preserve">WI-244</t>
  </si>
  <si>
    <t xml:space="preserve">TOOL-09 tool.compose — Ghép nhiều công cụ/năng lực thành công cụ mới (pipeline) không cần viế</t>
  </si>
  <si>
    <t xml:space="preserve">tool.compose</t>
  </si>
  <si>
    <t xml:space="preserve">WI-245</t>
  </si>
  <si>
    <t xml:space="preserve">TOOL-10 tool.deprecate — Vô hiệu hóa công cụ lỗi/không dùng; giữ lịch sử; thay thế bằng năng lự</t>
  </si>
  <si>
    <t xml:space="preserve">tool.deprecate</t>
  </si>
  <si>
    <t xml:space="preserve">WI-246</t>
  </si>
  <si>
    <t xml:space="preserve">Tài liệu</t>
  </si>
  <si>
    <t xml:space="preserve">Cập nhật URD/SRS/SAD/SDD/STP/BPD/KAD/APD v1.2 (tool.*, tham chiếu tài liệu mới)</t>
  </si>
  <si>
    <t xml:space="preserve">Bộ v1.2</t>
  </si>
  <si>
    <t xml:space="preserve">WI-247</t>
  </si>
  <si>
    <t xml:space="preserve">Cập nhật Danh mục v1.2 và Use case v1.2 khi thêm năng lực</t>
  </si>
  <si>
    <t xml:space="preserve">PLN-27</t>
  </si>
  <si>
    <t xml:space="preserve">WI-248</t>
  </si>
  <si>
    <t xml:space="preserve">Sinh lại tài liệu tự động trong CI (docs job)</t>
  </si>
  <si>
    <t xml:space="preserve">DEP-26 §5</t>
  </si>
  <si>
    <t xml:space="preserve">WI-249</t>
  </si>
  <si>
    <t xml:space="preserve">Chương thực nghiệm đề án từ benchmark và ma trận Người–AI</t>
  </si>
  <si>
    <t xml:space="preserve">BEN-21, report.human_ai_matrix</t>
  </si>
  <si>
    <t xml:space="preserve">WI-250</t>
  </si>
  <si>
    <t xml:space="preserve">Kiểm thử</t>
  </si>
  <si>
    <t xml:space="preserve">TC-01…08 bất biến + TC-66 registry + TC-51…57 tự chủ</t>
  </si>
  <si>
    <t xml:space="preserve">STP-05, POL-17</t>
  </si>
  <si>
    <t xml:space="preserve">WI-251</t>
  </si>
  <si>
    <t xml:space="preserve">TC-59…65 hội thoại (L2b) + Z-01…Z-10 + 50 câu lệnh</t>
  </si>
  <si>
    <t xml:space="preserve">WI-252</t>
  </si>
  <si>
    <t xml:space="preserve">TC-CX/TC-MM/TC-SE/TC-DD</t>
  </si>
  <si>
    <t xml:space="preserve">CXD, MEM, SEC, DDD</t>
  </si>
  <si>
    <t xml:space="preserve">WI-253</t>
  </si>
  <si>
    <t xml:space="preserve">TC hợp đồng sinh tự động cho 238 năng lực</t>
  </si>
  <si>
    <t xml:space="preserve">STP-05 §1</t>
  </si>
  <si>
    <t xml:space="preserve">WI-254</t>
  </si>
  <si>
    <t xml:space="preserve">TC-67…82 kỹ nghệ/tri thức/dò board + TC-TG/TC-SM (L3 trên Nucleo/Uno)</t>
  </si>
  <si>
    <t xml:space="preserve">STP-05, TGT-19, SIM-20</t>
  </si>
  <si>
    <t xml:space="preserve">WI-255</t>
  </si>
  <si>
    <t xml:space="preserve">TC-UX-01…08 + TC-DP + kịch bản chuẩn ≤ 5 bấm (TC-58)</t>
  </si>
  <si>
    <t xml:space="preserve">UXD-13, DEP-26</t>
  </si>
  <si>
    <t xml:space="preserve">WI-256</t>
  </si>
  <si>
    <t xml:space="preserve">TC-TL-01…03 công cụ tự tạo</t>
  </si>
  <si>
    <t xml:space="preserve">CDS tool.*</t>
  </si>
  <si>
    <t xml:space="preserve">WI-257</t>
  </si>
  <si>
    <t xml:space="preserve">Người</t>
  </si>
  <si>
    <t xml:space="preserve">Ký danh sách trắng (nguồn, gói, board lab) và đặt autonomy.yaml ban đầu</t>
  </si>
  <si>
    <t xml:space="preserve">POL-17 §3</t>
  </si>
  <si>
    <t xml:space="preserve">WI-258</t>
  </si>
  <si>
    <t xml:space="preserve">Xác nhận mã màu PTIT chính thức và ngôn ngữ lược đồ GEditor hỗ trợ</t>
  </si>
  <si>
    <t xml:space="preserve">WI-259</t>
  </si>
  <si>
    <t xml:space="preserve">Chốt API plugin GEditor còn thiếu (GP-01…12)</t>
  </si>
  <si>
    <t xml:space="preserve">GPI-23 §6</t>
  </si>
  <si>
    <t xml:space="preserve">WI-260</t>
  </si>
  <si>
    <t xml:space="preserve">Đo tham số vật lý robot (khối lượng, tâm khối) thay nhãn tạm</t>
  </si>
  <si>
    <t xml:space="preserve">SIM-20 §4</t>
  </si>
  <si>
    <t xml:space="preserve">WI-261</t>
  </si>
  <si>
    <t xml:space="preserve">Duyệt tool.promote và pack đầu tiên; ý kiến pháp lý license registry công khai</t>
  </si>
  <si>
    <t xml:space="preserve">Nhóm UR</t>
  </si>
  <si>
    <t xml:space="preserve">Nhóm năng lực</t>
  </si>
  <si>
    <t xml:space="preserve">FR (năng lực)</t>
  </si>
  <si>
    <t xml:space="preserve">Thiết kế</t>
  </si>
  <si>
    <t xml:space="preserve">Test case</t>
  </si>
  <si>
    <t xml:space="preserve">Màn hình</t>
  </si>
  <si>
    <t xml:space="preserve">UR-TT-*</t>
  </si>
  <si>
    <t xml:space="preserve">archive</t>
  </si>
  <si>
    <t xml:space="preserve">FR-ARCHIVE-01…07</t>
  </si>
  <si>
    <t xml:space="preserve">CDS-12 tập 2; SDD-04 §4</t>
  </si>
  <si>
    <t xml:space="preserve">TC-11, TC-SE-02</t>
  </si>
  <si>
    <t xml:space="preserve">Ingest</t>
  </si>
  <si>
    <t xml:space="preserve">search</t>
  </si>
  <si>
    <t xml:space="preserve">FR-SEARCH-01…09</t>
  </si>
  <si>
    <t xml:space="preserve">TC-07, S01…S07</t>
  </si>
  <si>
    <t xml:space="preserve">extract</t>
  </si>
  <si>
    <t xml:space="preserve">FR-EXTRACT-01…21</t>
  </si>
  <si>
    <t xml:space="preserve">TC-09, TC-10, TC-12, TC-22</t>
  </si>
  <si>
    <t xml:space="preserve">Ingest/Passport</t>
  </si>
  <si>
    <t xml:space="preserve">passport</t>
  </si>
  <si>
    <t xml:space="preserve">FR-PASSPORT-01…08</t>
  </si>
  <si>
    <t xml:space="preserve">TC-15, TC-16, TC-18</t>
  </si>
  <si>
    <t xml:space="preserve">Passport</t>
  </si>
  <si>
    <t xml:space="preserve">kg</t>
  </si>
  <si>
    <t xml:space="preserve">FR-KG-01…09</t>
  </si>
  <si>
    <t xml:space="preserve">TC-13, TC-17, S09…S17</t>
  </si>
  <si>
    <t xml:space="preserve">RagAsk/ReviewQueue</t>
  </si>
  <si>
    <t xml:space="preserve">UR-MC-*</t>
  </si>
  <si>
    <t xml:space="preserve">board</t>
  </si>
  <si>
    <t xml:space="preserve">FR-BOARD-01…05</t>
  </si>
  <si>
    <t xml:space="preserve">TC-20, TC-21</t>
  </si>
  <si>
    <t xml:space="preserve">Board</t>
  </si>
  <si>
    <t xml:space="preserve">UR-MA-*</t>
  </si>
  <si>
    <t xml:space="preserve">plan</t>
  </si>
  <si>
    <t xml:space="preserve">FR-PLAN-01…07</t>
  </si>
  <si>
    <t xml:space="preserve">CDS-12 tập 1; SDD-04 §4</t>
  </si>
  <si>
    <t xml:space="preserve">TC-26, S18…S22</t>
  </si>
  <si>
    <t xml:space="preserve">PlanDiff</t>
  </si>
  <si>
    <t xml:space="preserve">code</t>
  </si>
  <si>
    <t xml:space="preserve">FR-CODE-01…16</t>
  </si>
  <si>
    <t xml:space="preserve">CDS-12 tập 3; SDD-04 §4</t>
  </si>
  <si>
    <t xml:space="preserve">TC-04, TC-31, S23…S28</t>
  </si>
  <si>
    <t xml:space="preserve">Code/PlanDiff</t>
  </si>
  <si>
    <t xml:space="preserve">memory</t>
  </si>
  <si>
    <t xml:space="preserve">FR-MEMORY-01…08</t>
  </si>
  <si>
    <t xml:space="preserve">CDS-12 tập 6; SDD-04 §4</t>
  </si>
  <si>
    <t xml:space="preserve">TC-MM-01…09, TC-CX-01…08</t>
  </si>
  <si>
    <t xml:space="preserve">Chat</t>
  </si>
  <si>
    <t xml:space="preserve">UR-XM-*</t>
  </si>
  <si>
    <t xml:space="preserve">sim</t>
  </si>
  <si>
    <t xml:space="preserve">FR-SIM-01…07</t>
  </si>
  <si>
    <t xml:space="preserve">CDS-12 tập 4; SDD-04 §4</t>
  </si>
  <si>
    <t xml:space="preserve">TC-34, TC-SM-01…06</t>
  </si>
  <si>
    <t xml:space="preserve">Sim</t>
  </si>
  <si>
    <t xml:space="preserve">target</t>
  </si>
  <si>
    <t xml:space="preserve">FR-TARGET-01…09</t>
  </si>
  <si>
    <t xml:space="preserve">TC-32, TC-33, TC-36, TC-TG-05</t>
  </si>
  <si>
    <t xml:space="preserve">Discovery/Debug</t>
  </si>
  <si>
    <t xml:space="preserve">measure</t>
  </si>
  <si>
    <t xml:space="preserve">FR-MEASURE-01…03</t>
  </si>
  <si>
    <t xml:space="preserve">TC-06 (F)</t>
  </si>
  <si>
    <t xml:space="preserve">Debug</t>
  </si>
  <si>
    <t xml:space="preserve">bench</t>
  </si>
  <si>
    <t xml:space="preserve">FR-BENCH-01…03</t>
  </si>
  <si>
    <t xml:space="preserve">TC-47</t>
  </si>
  <si>
    <t xml:space="preserve">Bench</t>
  </si>
  <si>
    <t xml:space="preserve">UR-GL-*</t>
  </si>
  <si>
    <t xml:space="preserve">debug</t>
  </si>
  <si>
    <t xml:space="preserve">FR-DEBUG-01…06</t>
  </si>
  <si>
    <t xml:space="preserve">TC-37, TC-38</t>
  </si>
  <si>
    <t xml:space="preserve">LogAssist/Debug</t>
  </si>
  <si>
    <t xml:space="preserve">UR-QS-*</t>
  </si>
  <si>
    <t xml:space="preserve">view</t>
  </si>
  <si>
    <t xml:space="preserve">FR-VIEW-01…13</t>
  </si>
  <si>
    <t xml:space="preserve">TC-78, TC-79</t>
  </si>
  <si>
    <t xml:space="preserve">RagAsk</t>
  </si>
  <si>
    <t xml:space="preserve">UR-MH-*</t>
  </si>
  <si>
    <t xml:space="preserve">policy</t>
  </si>
  <si>
    <t xml:space="preserve">FR-POLICY-01…07</t>
  </si>
  <si>
    <t xml:space="preserve">CDS-12 tập 5; SDD-04 §4</t>
  </si>
  <si>
    <t xml:space="preserve">TC-51…57</t>
  </si>
  <si>
    <t xml:space="preserve">ReviewQueue/Main</t>
  </si>
  <si>
    <t xml:space="preserve">UR-RG-*</t>
  </si>
  <si>
    <t xml:space="preserve">registry</t>
  </si>
  <si>
    <t xml:space="preserve">FR-REGISTRY-01…05</t>
  </si>
  <si>
    <t xml:space="preserve">TC-41…43, TC-PK</t>
  </si>
  <si>
    <t xml:space="preserve">Registry</t>
  </si>
  <si>
    <t xml:space="preserve">UR-QT-*</t>
  </si>
  <si>
    <t xml:space="preserve">env</t>
  </si>
  <si>
    <t xml:space="preserve">FR-ENV-01…07</t>
  </si>
  <si>
    <t xml:space="preserve">TC-46, TC-TG-02</t>
  </si>
  <si>
    <t xml:space="preserve">Env</t>
  </si>
  <si>
    <t xml:space="preserve">project</t>
  </si>
  <si>
    <t xml:space="preserve">FR-PROJECT-01…09</t>
  </si>
  <si>
    <t xml:space="preserve">TC-60, TC-45</t>
  </si>
  <si>
    <t xml:space="preserve">Main</t>
  </si>
  <si>
    <t xml:space="preserve">UR-HT-*</t>
  </si>
  <si>
    <t xml:space="preserve">report</t>
  </si>
  <si>
    <t xml:space="preserve">FR-REPORT-01…04</t>
  </si>
  <si>
    <t xml:space="preserve">TC-75</t>
  </si>
  <si>
    <t xml:space="preserve">Doc</t>
  </si>
  <si>
    <t xml:space="preserve">UR-NL-*</t>
  </si>
  <si>
    <t xml:space="preserve">chat</t>
  </si>
  <si>
    <t xml:space="preserve">FR-CHAT-01…08</t>
  </si>
  <si>
    <t xml:space="preserve">TC-59…64</t>
  </si>
  <si>
    <t xml:space="preserve">tool</t>
  </si>
  <si>
    <t xml:space="preserve">FR-TOOL-01…10</t>
  </si>
  <si>
    <t xml:space="preserve">TC-TL-01…03, S41…S45</t>
  </si>
  <si>
    <t xml:space="preserve">ToolForge</t>
  </si>
  <si>
    <t xml:space="preserve">UR-KN-*</t>
  </si>
  <si>
    <t xml:space="preserve">req</t>
  </si>
  <si>
    <t xml:space="preserve">FR-REQ-01…08</t>
  </si>
  <si>
    <t xml:space="preserve">TC-67, TC-68</t>
  </si>
  <si>
    <t xml:space="preserve">ReqArch</t>
  </si>
  <si>
    <t xml:space="preserve">arch</t>
  </si>
  <si>
    <t xml:space="preserve">FR-ARCH-01…11</t>
  </si>
  <si>
    <t xml:space="preserve">TC-69, TC-70</t>
  </si>
  <si>
    <t xml:space="preserve">diagram</t>
  </si>
  <si>
    <t xml:space="preserve">FR-DIAGRAM-01…14</t>
  </si>
  <si>
    <t xml:space="preserve">TC-71…74</t>
  </si>
  <si>
    <t xml:space="preserve">DiagramView</t>
  </si>
  <si>
    <t xml:space="preserve">doc</t>
  </si>
  <si>
    <t xml:space="preserve">FR-DOC-01…12</t>
  </si>
  <si>
    <t xml:space="preserve">TC-75…77</t>
  </si>
  <si>
    <t xml:space="preserve">UR-TQ-*</t>
  </si>
  <si>
    <t xml:space="preserve">UR-DT-*</t>
  </si>
  <si>
    <t xml:space="preserve">discover</t>
  </si>
  <si>
    <t xml:space="preserve">FR-DISCOVER-01…12</t>
  </si>
  <si>
    <t xml:space="preserve">TC-80…82, TC-TG-03/04</t>
  </si>
  <si>
    <t xml:space="preserve">Discovery</t>
  </si>
  <si>
    <t xml:space="preserve">Loại việc</t>
  </si>
  <si>
    <t xml:space="preserve">Ghi chú</t>
  </si>
  <si>
    <t xml:space="preserve">Thiết kế và quyết định kiến trúc</t>
  </si>
  <si>
    <t xml:space="preserve">Người (chủ sản phẩm) + AI đề xuất</t>
  </si>
  <si>
    <t xml:space="preserve">ADR, danh sách trắng, ngưỡng chính sách, mức tự chủ</t>
  </si>
  <si>
    <t xml:space="preserve">Viết mã năng lực T1 (R0/R1)</t>
  </si>
  <si>
    <t xml:space="preserve">AI làm (coder) — người review theo mẫu</t>
  </si>
  <si>
    <t xml:space="preserve">Test hợp đồng sinh tự động; reviewer AI khác hãng</t>
  </si>
  <si>
    <t xml:space="preserve">Viết mã hạ tầng (Router, PolicyGate, Orchestrator, Sandbox)</t>
  </si>
  <si>
    <t xml:space="preserve">AI viết / người duyệt kỹ</t>
  </si>
  <si>
    <t xml:space="preserve">Bất biến an toàn phải có test cưỡng chế</t>
  </si>
  <si>
    <t xml:space="preserve">Plugin Swift</t>
  </si>
  <si>
    <t xml:space="preserve">AI viết / người duyệt + chạy trên GEditor thật</t>
  </si>
  <si>
    <t xml:space="preserve">Mã RPC sinh từ openrpc</t>
  </si>
  <si>
    <t xml:space="preserve">Prompt và skill</t>
  </si>
  <si>
    <t xml:space="preserve">AI dự thảo / người duyệt + benchmark</t>
  </si>
  <si>
    <t xml:space="preserve">PRS-16 §8</t>
  </si>
  <si>
    <t xml:space="preserve">Kiểm phần cứng (L3), đo tham số, board lab</t>
  </si>
  <si>
    <t xml:space="preserve">Runner có board; ký danh sách trắng</t>
  </si>
  <si>
    <t xml:space="preserve">AI sinh từ mô hình / người duyệt</t>
  </si>
  <si>
    <t xml:space="preserve">docs job trong CI</t>
  </si>
  <si>
    <t xml:space="preserve">Pháp lý license registry công khai</t>
  </si>
  <si>
    <t xml:space="preserve">THỐNG KÊ BACKLOG (công thức)</t>
  </si>
  <si>
    <t xml:space="preserve">Tổng việc</t>
  </si>
  <si>
    <t xml:space="preserve">Tổng ngày ước lượng</t>
  </si>
  <si>
    <t xml:space="preserve">Theo loại</t>
  </si>
  <si>
    <t xml:space="preserve">Theo ai làm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</si>
</sst>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B8121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B8121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8121F"/>
        <bgColor rgb="FF800000"/>
      </patternFill>
    </fill>
    <fill>
      <patternFill patternType="solid">
        <fgColor rgb="FFF2F6FB"/>
        <bgColor rgb="FFFFFFFF"/>
      </patternFill>
    </fill>
    <fill>
      <patternFill patternType="solid">
        <fgColor rgb="FF2F4858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8121F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6FB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8121F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log" displayName="Backlog" ref="A1:K262" headerRowCount="1" totalsRowCount="0" totalsRowShown="0">
  <autoFilter ref="A1:K262"/>
  <tableColumns count="11">
    <tableColumn id="1" name="Mã việc"/>
    <tableColumn id="2" name="Loại"/>
    <tableColumn id="3" name="Việc"/>
    <tableColumn id="4" name="Mốc"/>
    <tableColumn id="5" name="Ưu tiên"/>
    <tableColumn id="6" name="Ước lượng (ngày)"/>
    <tableColumn id="7" name="Phụ thuộc"/>
    <tableColumn id="8" name="Ai làm"/>
    <tableColumn id="9" name="Tài liệu tham chiếu"/>
    <tableColumn id="10" name="Năng lực"/>
    <tableColumn id="11" name="Trạng thái"/>
  </tableColumns>
</table>
</file>

<file path=xl/tables/table2.xml><?xml version="1.0" encoding="utf-8"?>
<table xmlns="http://schemas.openxmlformats.org/spreadsheetml/2006/main" id="2" name="PhanCong" displayName="PhanCong" ref="A1:C9" headerRowCount="1" totalsRowCount="0" totalsRowShown="0">
  <autoFilter ref="A1:C9"/>
  <tableColumns count="3">
    <tableColumn id="1" name="Loại việc"/>
    <tableColumn id="2" name="Ai làm"/>
    <tableColumn id="3" name="Ghi chú"/>
  </tableColumns>
</table>
</file>

<file path=xl/tables/table3.xml><?xml version="1.0" encoding="utf-8"?>
<table xmlns="http://schemas.openxmlformats.org/spreadsheetml/2006/main" id="3" name="TruyVet" displayName="TruyVet" ref="A1:F37" headerRowCount="1" totalsRowCount="0" totalsRowShown="0">
  <autoFilter ref="A1:F37"/>
  <tableColumns count="6">
    <tableColumn id="1" name="Nhóm UR"/>
    <tableColumn id="2" name="Nhóm năng lực"/>
    <tableColumn id="3" name="FR (năng lực)"/>
    <tableColumn id="4" name="Thiết kế"/>
    <tableColumn id="5" name="Test case"/>
    <tableColumn id="6" name="Màn hình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23.8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7" min="6" style="0" width="9"/>
  </cols>
  <sheetData>
    <row r="1" customFormat="false" ht="15" hidden="false" customHeight="false" outlineLevel="0" collapsed="false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</row>
    <row r="2" customFormat="false" ht="15" hidden="false" customHeight="false" outlineLevel="0" collapsed="false">
      <c r="A2" s="4" t="s">
        <v>12</v>
      </c>
      <c r="B2" s="4" t="s">
        <v>13</v>
      </c>
      <c r="C2" s="4" t="s">
        <v>14</v>
      </c>
      <c r="D2" s="4" t="n">
        <f aca="false">COUNTIF('2. Backlog'!D:D,"M0")</f>
        <v>3</v>
      </c>
      <c r="E2" s="4" t="n">
        <f aca="false">SUMIF('2. Backlog'!D:D,"M0",'2. Backlog'!F:F)</f>
        <v>2</v>
      </c>
      <c r="F2" s="4" t="n">
        <f aca="false">COUNTIFS('2. Backlog'!D:D,"M0",'2. Backlog'!K:K,"Xong")</f>
        <v>0</v>
      </c>
      <c r="G2" s="5" t="n">
        <f aca="false">IF(D2=0,0,F2/D2)</f>
        <v>0</v>
      </c>
    </row>
    <row r="3" customFormat="false" ht="23.85" hidden="false" customHeight="false" outlineLevel="0" collapsed="false">
      <c r="A3" s="4" t="s">
        <v>15</v>
      </c>
      <c r="B3" s="4" t="s">
        <v>16</v>
      </c>
      <c r="C3" s="4" t="s">
        <v>17</v>
      </c>
      <c r="D3" s="4" t="n">
        <f aca="false">COUNTIF('2. Backlog'!D:D,"M1")</f>
        <v>99</v>
      </c>
      <c r="E3" s="4" t="n">
        <f aca="false">SUMIF('2. Backlog'!D:D,"M1",'2. Backlog'!F:F)</f>
        <v>109.125</v>
      </c>
      <c r="F3" s="4" t="n">
        <f aca="false">COUNTIFS('2. Backlog'!D:D,"M1",'2. Backlog'!K:K,"Xong")</f>
        <v>0</v>
      </c>
      <c r="G3" s="5" t="n">
        <f aca="false">IF(D3=0,0,F3/D3)</f>
        <v>0</v>
      </c>
    </row>
    <row r="4" customFormat="false" ht="23.85" hidden="false" customHeight="false" outlineLevel="0" collapsed="false">
      <c r="A4" s="4" t="s">
        <v>18</v>
      </c>
      <c r="B4" s="4" t="s">
        <v>19</v>
      </c>
      <c r="C4" s="4" t="s">
        <v>20</v>
      </c>
      <c r="D4" s="4" t="n">
        <f aca="false">COUNTIF('2. Backlog'!D:D,"M2")</f>
        <v>113</v>
      </c>
      <c r="E4" s="4" t="n">
        <f aca="false">SUMIF('2. Backlog'!D:D,"M2",'2. Backlog'!F:F)</f>
        <v>121.125</v>
      </c>
      <c r="F4" s="4" t="n">
        <f aca="false">COUNTIFS('2. Backlog'!D:D,"M2",'2. Backlog'!K:K,"Xong")</f>
        <v>0</v>
      </c>
      <c r="G4" s="5" t="n">
        <f aca="false">IF(D4=0,0,F4/D4)</f>
        <v>0</v>
      </c>
    </row>
    <row r="5" customFormat="false" ht="15" hidden="false" customHeight="false" outlineLevel="0" collapsed="false">
      <c r="A5" s="4" t="s">
        <v>21</v>
      </c>
      <c r="B5" s="4" t="s">
        <v>22</v>
      </c>
      <c r="C5" s="4" t="s">
        <v>23</v>
      </c>
      <c r="D5" s="4" t="n">
        <f aca="false">COUNTIF('2. Backlog'!D:D,"M3")</f>
        <v>31</v>
      </c>
      <c r="E5" s="4" t="n">
        <f aca="false">SUMIF('2. Backlog'!D:D,"M3",'2. Backlog'!F:F)</f>
        <v>31.5</v>
      </c>
      <c r="F5" s="4" t="n">
        <f aca="false">COUNTIFS('2. Backlog'!D:D,"M3",'2. Backlog'!K:K,"Xong")</f>
        <v>0</v>
      </c>
      <c r="G5" s="5" t="n">
        <f aca="false">IF(D5=0,0,F5/D5)</f>
        <v>0</v>
      </c>
    </row>
    <row r="6" customFormat="false" ht="15" hidden="false" customHeight="false" outlineLevel="0" collapsed="false">
      <c r="A6" s="4" t="s">
        <v>24</v>
      </c>
      <c r="B6" s="4" t="s">
        <v>25</v>
      </c>
      <c r="C6" s="4" t="s">
        <v>26</v>
      </c>
      <c r="D6" s="4" t="n">
        <f aca="false">COUNTIF('2. Backlog'!D:D,"M4")</f>
        <v>11</v>
      </c>
      <c r="E6" s="4" t="n">
        <f aca="false">SUMIF('2. Backlog'!D:D,"M4",'2. Backlog'!F:F)</f>
        <v>11</v>
      </c>
      <c r="F6" s="4" t="n">
        <f aca="false">COUNTIFS('2. Backlog'!D:D,"M4",'2. Backlog'!K:K,"Xong")</f>
        <v>0</v>
      </c>
      <c r="G6" s="5" t="n">
        <f aca="false">IF(D6=0,0,F6/D6)</f>
        <v>0</v>
      </c>
    </row>
    <row r="7" customFormat="false" ht="15" hidden="false" customHeight="false" outlineLevel="0" collapsed="false">
      <c r="A7" s="4" t="s">
        <v>27</v>
      </c>
      <c r="B7" s="4" t="s">
        <v>28</v>
      </c>
      <c r="C7" s="4" t="s">
        <v>29</v>
      </c>
      <c r="D7" s="4" t="n">
        <f aca="false">COUNTIF('2. Backlog'!D:D,"M5")</f>
        <v>4</v>
      </c>
      <c r="E7" s="4" t="n">
        <f aca="false">SUMIF('2. Backlog'!D:D,"M5",'2. Backlog'!F:F)</f>
        <v>2.625</v>
      </c>
      <c r="F7" s="4" t="n">
        <f aca="false">COUNTIFS('2. Backlog'!D:D,"M5",'2. Backlog'!K:K,"Xong")</f>
        <v>0</v>
      </c>
      <c r="G7" s="5" t="n">
        <f aca="false">IF(D7=0,0,F7/D7)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35.05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5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39</v>
      </c>
    </row>
    <row r="2" customFormat="false" ht="15" hidden="false" customHeight="false" outlineLevel="0" collapsed="false">
      <c r="A2" s="7" t="s">
        <v>40</v>
      </c>
      <c r="B2" s="7" t="s">
        <v>41</v>
      </c>
      <c r="C2" s="7" t="s">
        <v>42</v>
      </c>
      <c r="D2" s="7" t="s">
        <v>15</v>
      </c>
      <c r="E2" s="7" t="s">
        <v>43</v>
      </c>
      <c r="F2" s="7" t="n">
        <v>1</v>
      </c>
      <c r="G2" s="7"/>
      <c r="H2" s="7" t="s">
        <v>44</v>
      </c>
      <c r="I2" s="7" t="s">
        <v>45</v>
      </c>
      <c r="J2" s="7"/>
      <c r="K2" s="7" t="s">
        <v>46</v>
      </c>
    </row>
    <row r="3" customFormat="false" ht="15" hidden="false" customHeight="false" outlineLevel="0" collapsed="false">
      <c r="A3" s="4" t="s">
        <v>47</v>
      </c>
      <c r="B3" s="4" t="s">
        <v>41</v>
      </c>
      <c r="C3" s="4" t="s">
        <v>48</v>
      </c>
      <c r="D3" s="4" t="s">
        <v>15</v>
      </c>
      <c r="E3" s="4" t="s">
        <v>43</v>
      </c>
      <c r="F3" s="4" t="n">
        <v>1.5</v>
      </c>
      <c r="G3" s="4" t="s">
        <v>40</v>
      </c>
      <c r="H3" s="4" t="s">
        <v>44</v>
      </c>
      <c r="I3" s="4" t="s">
        <v>49</v>
      </c>
      <c r="J3" s="4"/>
      <c r="K3" s="4" t="s">
        <v>46</v>
      </c>
    </row>
    <row r="4" customFormat="false" ht="15" hidden="false" customHeight="false" outlineLevel="0" collapsed="false">
      <c r="A4" s="7" t="s">
        <v>50</v>
      </c>
      <c r="B4" s="7" t="s">
        <v>41</v>
      </c>
      <c r="C4" s="7" t="s">
        <v>51</v>
      </c>
      <c r="D4" s="7" t="s">
        <v>15</v>
      </c>
      <c r="E4" s="7" t="s">
        <v>43</v>
      </c>
      <c r="F4" s="7" t="n">
        <v>4</v>
      </c>
      <c r="G4" s="7" t="s">
        <v>47</v>
      </c>
      <c r="H4" s="7" t="s">
        <v>44</v>
      </c>
      <c r="I4" s="7" t="s">
        <v>52</v>
      </c>
      <c r="J4" s="7"/>
      <c r="K4" s="7" t="s">
        <v>46</v>
      </c>
    </row>
    <row r="5" customFormat="false" ht="15" hidden="false" customHeight="false" outlineLevel="0" collapsed="false">
      <c r="A5" s="4" t="s">
        <v>53</v>
      </c>
      <c r="B5" s="4" t="s">
        <v>41</v>
      </c>
      <c r="C5" s="4" t="s">
        <v>54</v>
      </c>
      <c r="D5" s="4" t="s">
        <v>15</v>
      </c>
      <c r="E5" s="4" t="s">
        <v>43</v>
      </c>
      <c r="F5" s="4" t="n">
        <v>4</v>
      </c>
      <c r="G5" s="4" t="s">
        <v>50</v>
      </c>
      <c r="H5" s="4" t="s">
        <v>44</v>
      </c>
      <c r="I5" s="4" t="s">
        <v>55</v>
      </c>
      <c r="J5" s="4"/>
      <c r="K5" s="4" t="s">
        <v>46</v>
      </c>
    </row>
    <row r="6" customFormat="false" ht="15" hidden="false" customHeight="false" outlineLevel="0" collapsed="false">
      <c r="A6" s="7" t="s">
        <v>56</v>
      </c>
      <c r="B6" s="7" t="s">
        <v>41</v>
      </c>
      <c r="C6" s="7" t="s">
        <v>57</v>
      </c>
      <c r="D6" s="7" t="s">
        <v>15</v>
      </c>
      <c r="E6" s="7" t="s">
        <v>43</v>
      </c>
      <c r="F6" s="7" t="n">
        <v>6</v>
      </c>
      <c r="G6" s="7" t="s">
        <v>58</v>
      </c>
      <c r="H6" s="7" t="s">
        <v>44</v>
      </c>
      <c r="I6" s="7" t="s">
        <v>59</v>
      </c>
      <c r="J6" s="7"/>
      <c r="K6" s="7" t="s">
        <v>46</v>
      </c>
    </row>
    <row r="7" customFormat="false" ht="23.85" hidden="false" customHeight="false" outlineLevel="0" collapsed="false">
      <c r="A7" s="4" t="s">
        <v>60</v>
      </c>
      <c r="B7" s="4" t="s">
        <v>41</v>
      </c>
      <c r="C7" s="4" t="s">
        <v>61</v>
      </c>
      <c r="D7" s="4" t="s">
        <v>15</v>
      </c>
      <c r="E7" s="4" t="s">
        <v>43</v>
      </c>
      <c r="F7" s="4" t="n">
        <v>4</v>
      </c>
      <c r="G7" s="4" t="s">
        <v>50</v>
      </c>
      <c r="H7" s="4" t="s">
        <v>44</v>
      </c>
      <c r="I7" s="4" t="s">
        <v>62</v>
      </c>
      <c r="J7" s="4"/>
      <c r="K7" s="4" t="s">
        <v>46</v>
      </c>
    </row>
    <row r="8" customFormat="false" ht="23.85" hidden="false" customHeight="false" outlineLevel="0" collapsed="false">
      <c r="A8" s="7" t="s">
        <v>63</v>
      </c>
      <c r="B8" s="7" t="s">
        <v>41</v>
      </c>
      <c r="C8" s="7" t="s">
        <v>64</v>
      </c>
      <c r="D8" s="7" t="s">
        <v>15</v>
      </c>
      <c r="E8" s="7" t="s">
        <v>43</v>
      </c>
      <c r="F8" s="7" t="n">
        <v>3</v>
      </c>
      <c r="G8" s="7" t="s">
        <v>47</v>
      </c>
      <c r="H8" s="7" t="s">
        <v>44</v>
      </c>
      <c r="I8" s="7" t="s">
        <v>65</v>
      </c>
      <c r="J8" s="7"/>
      <c r="K8" s="7" t="s">
        <v>46</v>
      </c>
    </row>
    <row r="9" customFormat="false" ht="15" hidden="false" customHeight="false" outlineLevel="0" collapsed="false">
      <c r="A9" s="4" t="s">
        <v>66</v>
      </c>
      <c r="B9" s="4" t="s">
        <v>41</v>
      </c>
      <c r="C9" s="4" t="s">
        <v>67</v>
      </c>
      <c r="D9" s="4" t="s">
        <v>15</v>
      </c>
      <c r="E9" s="4" t="s">
        <v>43</v>
      </c>
      <c r="F9" s="4" t="n">
        <v>1.5</v>
      </c>
      <c r="G9" s="4"/>
      <c r="H9" s="4" t="s">
        <v>44</v>
      </c>
      <c r="I9" s="4" t="s">
        <v>68</v>
      </c>
      <c r="J9" s="4"/>
      <c r="K9" s="4" t="s">
        <v>46</v>
      </c>
    </row>
    <row r="10" customFormat="false" ht="15" hidden="false" customHeight="false" outlineLevel="0" collapsed="false">
      <c r="A10" s="7" t="s">
        <v>69</v>
      </c>
      <c r="B10" s="7" t="s">
        <v>41</v>
      </c>
      <c r="C10" s="7" t="s">
        <v>70</v>
      </c>
      <c r="D10" s="7" t="s">
        <v>15</v>
      </c>
      <c r="E10" s="7" t="s">
        <v>43</v>
      </c>
      <c r="F10" s="7" t="n">
        <v>3</v>
      </c>
      <c r="G10" s="7"/>
      <c r="H10" s="7" t="s">
        <v>44</v>
      </c>
      <c r="I10" s="7" t="s">
        <v>71</v>
      </c>
      <c r="J10" s="7"/>
      <c r="K10" s="7" t="s">
        <v>46</v>
      </c>
    </row>
    <row r="11" customFormat="false" ht="15" hidden="false" customHeight="false" outlineLevel="0" collapsed="false">
      <c r="A11" s="4" t="s">
        <v>72</v>
      </c>
      <c r="B11" s="4" t="s">
        <v>41</v>
      </c>
      <c r="C11" s="4" t="s">
        <v>73</v>
      </c>
      <c r="D11" s="4" t="s">
        <v>15</v>
      </c>
      <c r="E11" s="4" t="s">
        <v>43</v>
      </c>
      <c r="F11" s="4" t="n">
        <v>4</v>
      </c>
      <c r="G11" s="4" t="s">
        <v>74</v>
      </c>
      <c r="H11" s="4" t="s">
        <v>44</v>
      </c>
      <c r="I11" s="4" t="s">
        <v>75</v>
      </c>
      <c r="J11" s="4"/>
      <c r="K11" s="4" t="s">
        <v>46</v>
      </c>
    </row>
    <row r="12" customFormat="false" ht="15" hidden="false" customHeight="false" outlineLevel="0" collapsed="false">
      <c r="A12" s="7" t="s">
        <v>76</v>
      </c>
      <c r="B12" s="7" t="s">
        <v>41</v>
      </c>
      <c r="C12" s="7" t="s">
        <v>77</v>
      </c>
      <c r="D12" s="7" t="s">
        <v>15</v>
      </c>
      <c r="E12" s="7" t="s">
        <v>43</v>
      </c>
      <c r="F12" s="7" t="n">
        <v>2</v>
      </c>
      <c r="G12" s="7" t="s">
        <v>50</v>
      </c>
      <c r="H12" s="7" t="s">
        <v>44</v>
      </c>
      <c r="I12" s="7" t="s">
        <v>78</v>
      </c>
      <c r="J12" s="7"/>
      <c r="K12" s="7" t="s">
        <v>46</v>
      </c>
    </row>
    <row r="13" customFormat="false" ht="23.85" hidden="false" customHeight="false" outlineLevel="0" collapsed="false">
      <c r="A13" s="4" t="s">
        <v>79</v>
      </c>
      <c r="B13" s="4" t="s">
        <v>41</v>
      </c>
      <c r="C13" s="4" t="s">
        <v>80</v>
      </c>
      <c r="D13" s="4" t="s">
        <v>15</v>
      </c>
      <c r="E13" s="4" t="s">
        <v>43</v>
      </c>
      <c r="F13" s="4" t="n">
        <v>3</v>
      </c>
      <c r="G13" s="4" t="s">
        <v>47</v>
      </c>
      <c r="H13" s="4" t="s">
        <v>44</v>
      </c>
      <c r="I13" s="4" t="s">
        <v>81</v>
      </c>
      <c r="J13" s="4"/>
      <c r="K13" s="4" t="s">
        <v>46</v>
      </c>
    </row>
    <row r="14" customFormat="false" ht="15" hidden="false" customHeight="false" outlineLevel="0" collapsed="false">
      <c r="A14" s="7" t="s">
        <v>82</v>
      </c>
      <c r="B14" s="7" t="s">
        <v>41</v>
      </c>
      <c r="C14" s="7" t="s">
        <v>83</v>
      </c>
      <c r="D14" s="7" t="s">
        <v>15</v>
      </c>
      <c r="E14" s="7" t="s">
        <v>43</v>
      </c>
      <c r="F14" s="7" t="n">
        <v>2</v>
      </c>
      <c r="G14" s="7" t="s">
        <v>56</v>
      </c>
      <c r="H14" s="7" t="s">
        <v>44</v>
      </c>
      <c r="I14" s="7" t="s">
        <v>84</v>
      </c>
      <c r="J14" s="7"/>
      <c r="K14" s="7" t="s">
        <v>46</v>
      </c>
    </row>
    <row r="15" customFormat="false" ht="15" hidden="false" customHeight="false" outlineLevel="0" collapsed="false">
      <c r="A15" s="4" t="s">
        <v>85</v>
      </c>
      <c r="B15" s="4" t="s">
        <v>41</v>
      </c>
      <c r="C15" s="4" t="s">
        <v>86</v>
      </c>
      <c r="D15" s="4" t="s">
        <v>18</v>
      </c>
      <c r="E15" s="4" t="s">
        <v>43</v>
      </c>
      <c r="F15" s="4" t="n">
        <v>1</v>
      </c>
      <c r="G15" s="4" t="s">
        <v>47</v>
      </c>
      <c r="H15" s="4" t="s">
        <v>44</v>
      </c>
      <c r="I15" s="4" t="s">
        <v>87</v>
      </c>
      <c r="J15" s="4"/>
      <c r="K15" s="4" t="s">
        <v>46</v>
      </c>
    </row>
    <row r="16" customFormat="false" ht="15" hidden="false" customHeight="false" outlineLevel="0" collapsed="false">
      <c r="A16" s="7" t="s">
        <v>88</v>
      </c>
      <c r="B16" s="7" t="s">
        <v>41</v>
      </c>
      <c r="C16" s="7" t="s">
        <v>89</v>
      </c>
      <c r="D16" s="7" t="s">
        <v>18</v>
      </c>
      <c r="E16" s="7" t="s">
        <v>43</v>
      </c>
      <c r="F16" s="7" t="n">
        <v>2</v>
      </c>
      <c r="G16" s="7" t="s">
        <v>69</v>
      </c>
      <c r="H16" s="7" t="s">
        <v>44</v>
      </c>
      <c r="I16" s="7" t="s">
        <v>90</v>
      </c>
      <c r="J16" s="7"/>
      <c r="K16" s="7" t="s">
        <v>46</v>
      </c>
    </row>
    <row r="17" customFormat="false" ht="15" hidden="false" customHeight="false" outlineLevel="0" collapsed="false">
      <c r="A17" s="4" t="s">
        <v>91</v>
      </c>
      <c r="B17" s="4" t="s">
        <v>41</v>
      </c>
      <c r="C17" s="4" t="s">
        <v>92</v>
      </c>
      <c r="D17" s="4" t="s">
        <v>18</v>
      </c>
      <c r="E17" s="4" t="s">
        <v>43</v>
      </c>
      <c r="F17" s="4" t="n">
        <v>2</v>
      </c>
      <c r="G17" s="4"/>
      <c r="H17" s="4" t="s">
        <v>44</v>
      </c>
      <c r="I17" s="4" t="s">
        <v>93</v>
      </c>
      <c r="J17" s="4"/>
      <c r="K17" s="4" t="s">
        <v>46</v>
      </c>
    </row>
    <row r="18" customFormat="false" ht="15" hidden="false" customHeight="false" outlineLevel="0" collapsed="false">
      <c r="A18" s="7" t="s">
        <v>94</v>
      </c>
      <c r="B18" s="7" t="s">
        <v>41</v>
      </c>
      <c r="C18" s="7" t="s">
        <v>95</v>
      </c>
      <c r="D18" s="7" t="s">
        <v>18</v>
      </c>
      <c r="E18" s="7" t="s">
        <v>43</v>
      </c>
      <c r="F18" s="7" t="n">
        <v>4</v>
      </c>
      <c r="G18" s="7" t="s">
        <v>69</v>
      </c>
      <c r="H18" s="7" t="s">
        <v>44</v>
      </c>
      <c r="I18" s="7" t="s">
        <v>96</v>
      </c>
      <c r="J18" s="7"/>
      <c r="K18" s="7" t="s">
        <v>46</v>
      </c>
    </row>
    <row r="19" customFormat="false" ht="15" hidden="false" customHeight="false" outlineLevel="0" collapsed="false">
      <c r="A19" s="4" t="s">
        <v>97</v>
      </c>
      <c r="B19" s="4" t="s">
        <v>41</v>
      </c>
      <c r="C19" s="4" t="s">
        <v>98</v>
      </c>
      <c r="D19" s="4" t="s">
        <v>18</v>
      </c>
      <c r="E19" s="4" t="s">
        <v>43</v>
      </c>
      <c r="F19" s="4" t="n">
        <v>4</v>
      </c>
      <c r="G19" s="4" t="s">
        <v>94</v>
      </c>
      <c r="H19" s="4" t="s">
        <v>44</v>
      </c>
      <c r="I19" s="4" t="s">
        <v>99</v>
      </c>
      <c r="J19" s="4"/>
      <c r="K19" s="4" t="s">
        <v>46</v>
      </c>
    </row>
    <row r="20" customFormat="false" ht="23.85" hidden="false" customHeight="false" outlineLevel="0" collapsed="false">
      <c r="A20" s="7" t="s">
        <v>100</v>
      </c>
      <c r="B20" s="7" t="s">
        <v>41</v>
      </c>
      <c r="C20" s="7" t="s">
        <v>101</v>
      </c>
      <c r="D20" s="7" t="s">
        <v>18</v>
      </c>
      <c r="E20" s="7" t="s">
        <v>43</v>
      </c>
      <c r="F20" s="7" t="n">
        <v>6</v>
      </c>
      <c r="G20" s="7" t="s">
        <v>94</v>
      </c>
      <c r="H20" s="7" t="s">
        <v>44</v>
      </c>
      <c r="I20" s="7" t="s">
        <v>102</v>
      </c>
      <c r="J20" s="7"/>
      <c r="K20" s="7" t="s">
        <v>46</v>
      </c>
    </row>
    <row r="21" customFormat="false" ht="23.85" hidden="false" customHeight="false" outlineLevel="0" collapsed="false">
      <c r="A21" s="4" t="s">
        <v>103</v>
      </c>
      <c r="B21" s="4" t="s">
        <v>41</v>
      </c>
      <c r="C21" s="4" t="s">
        <v>104</v>
      </c>
      <c r="D21" s="4" t="s">
        <v>15</v>
      </c>
      <c r="E21" s="4" t="s">
        <v>43</v>
      </c>
      <c r="F21" s="4" t="n">
        <v>4</v>
      </c>
      <c r="G21" s="4" t="s">
        <v>105</v>
      </c>
      <c r="H21" s="4" t="s">
        <v>44</v>
      </c>
      <c r="I21" s="4" t="s">
        <v>106</v>
      </c>
      <c r="J21" s="4"/>
      <c r="K21" s="4" t="s">
        <v>46</v>
      </c>
    </row>
    <row r="22" customFormat="false" ht="23.85" hidden="false" customHeight="false" outlineLevel="0" collapsed="false">
      <c r="A22" s="7" t="s">
        <v>107</v>
      </c>
      <c r="B22" s="7" t="s">
        <v>41</v>
      </c>
      <c r="C22" s="7" t="s">
        <v>108</v>
      </c>
      <c r="D22" s="7" t="s">
        <v>15</v>
      </c>
      <c r="E22" s="7" t="s">
        <v>43</v>
      </c>
      <c r="F22" s="7" t="n">
        <v>6</v>
      </c>
      <c r="G22" s="7" t="s">
        <v>72</v>
      </c>
      <c r="H22" s="7" t="s">
        <v>109</v>
      </c>
      <c r="I22" s="7" t="s">
        <v>110</v>
      </c>
      <c r="J22" s="7"/>
      <c r="K22" s="7" t="s">
        <v>46</v>
      </c>
    </row>
    <row r="23" customFormat="false" ht="23.85" hidden="false" customHeight="false" outlineLevel="0" collapsed="false">
      <c r="A23" s="4" t="s">
        <v>111</v>
      </c>
      <c r="B23" s="4" t="s">
        <v>41</v>
      </c>
      <c r="C23" s="4" t="s">
        <v>112</v>
      </c>
      <c r="D23" s="4" t="s">
        <v>18</v>
      </c>
      <c r="E23" s="4" t="s">
        <v>43</v>
      </c>
      <c r="F23" s="4" t="n">
        <v>8</v>
      </c>
      <c r="G23" s="4" t="s">
        <v>107</v>
      </c>
      <c r="H23" s="4" t="s">
        <v>109</v>
      </c>
      <c r="I23" s="4" t="s">
        <v>113</v>
      </c>
      <c r="J23" s="4"/>
      <c r="K23" s="4" t="s">
        <v>46</v>
      </c>
    </row>
    <row r="24" customFormat="false" ht="23.85" hidden="false" customHeight="false" outlineLevel="0" collapsed="false">
      <c r="A24" s="7" t="s">
        <v>114</v>
      </c>
      <c r="B24" s="7" t="s">
        <v>41</v>
      </c>
      <c r="C24" s="7" t="s">
        <v>115</v>
      </c>
      <c r="D24" s="7" t="s">
        <v>21</v>
      </c>
      <c r="E24" s="7" t="s">
        <v>43</v>
      </c>
      <c r="F24" s="7" t="n">
        <v>5</v>
      </c>
      <c r="G24" s="7" t="s">
        <v>111</v>
      </c>
      <c r="H24" s="7" t="s">
        <v>109</v>
      </c>
      <c r="I24" s="7" t="s">
        <v>116</v>
      </c>
      <c r="J24" s="7"/>
      <c r="K24" s="7" t="s">
        <v>46</v>
      </c>
    </row>
    <row r="25" customFormat="false" ht="15" hidden="false" customHeight="false" outlineLevel="0" collapsed="false">
      <c r="A25" s="4" t="s">
        <v>117</v>
      </c>
      <c r="B25" s="4" t="s">
        <v>41</v>
      </c>
      <c r="C25" s="4" t="s">
        <v>118</v>
      </c>
      <c r="D25" s="4" t="s">
        <v>24</v>
      </c>
      <c r="E25" s="4" t="s">
        <v>43</v>
      </c>
      <c r="F25" s="4" t="n">
        <v>4</v>
      </c>
      <c r="G25" s="4" t="s">
        <v>50</v>
      </c>
      <c r="H25" s="4" t="s">
        <v>44</v>
      </c>
      <c r="I25" s="4" t="s">
        <v>119</v>
      </c>
      <c r="J25" s="4"/>
      <c r="K25" s="4" t="s">
        <v>46</v>
      </c>
    </row>
    <row r="26" customFormat="false" ht="15" hidden="false" customHeight="false" outlineLevel="0" collapsed="false">
      <c r="A26" s="7" t="s">
        <v>120</v>
      </c>
      <c r="B26" s="7" t="s">
        <v>41</v>
      </c>
      <c r="C26" s="7" t="s">
        <v>121</v>
      </c>
      <c r="D26" s="7" t="s">
        <v>18</v>
      </c>
      <c r="E26" s="7" t="s">
        <v>43</v>
      </c>
      <c r="F26" s="7" t="n">
        <v>3</v>
      </c>
      <c r="G26" s="7" t="s">
        <v>72</v>
      </c>
      <c r="H26" s="7" t="s">
        <v>44</v>
      </c>
      <c r="I26" s="7" t="s">
        <v>122</v>
      </c>
      <c r="J26" s="7"/>
      <c r="K26" s="7" t="s">
        <v>46</v>
      </c>
    </row>
    <row r="27" customFormat="false" ht="15" hidden="false" customHeight="false" outlineLevel="0" collapsed="false">
      <c r="A27" s="4" t="s">
        <v>123</v>
      </c>
      <c r="B27" s="4" t="s">
        <v>41</v>
      </c>
      <c r="C27" s="4" t="s">
        <v>124</v>
      </c>
      <c r="D27" s="4" t="s">
        <v>18</v>
      </c>
      <c r="E27" s="4" t="s">
        <v>43</v>
      </c>
      <c r="F27" s="4" t="n">
        <v>4</v>
      </c>
      <c r="G27" s="4" t="s">
        <v>94</v>
      </c>
      <c r="H27" s="4" t="s">
        <v>44</v>
      </c>
      <c r="I27" s="4" t="s">
        <v>125</v>
      </c>
      <c r="J27" s="4"/>
      <c r="K27" s="4" t="s">
        <v>46</v>
      </c>
    </row>
    <row r="28" customFormat="false" ht="15" hidden="false" customHeight="false" outlineLevel="0" collapsed="false">
      <c r="A28" s="7" t="s">
        <v>126</v>
      </c>
      <c r="B28" s="7" t="s">
        <v>38</v>
      </c>
      <c r="C28" s="7" t="s">
        <v>127</v>
      </c>
      <c r="D28" s="7" t="s">
        <v>15</v>
      </c>
      <c r="E28" s="7" t="s">
        <v>43</v>
      </c>
      <c r="F28" s="7" t="n">
        <v>0.5</v>
      </c>
      <c r="G28" s="7" t="s">
        <v>50</v>
      </c>
      <c r="H28" s="7" t="s">
        <v>128</v>
      </c>
      <c r="I28" s="7" t="s">
        <v>129</v>
      </c>
      <c r="J28" s="7" t="s">
        <v>130</v>
      </c>
      <c r="K28" s="7" t="s">
        <v>46</v>
      </c>
    </row>
    <row r="29" customFormat="false" ht="23.85" hidden="false" customHeight="false" outlineLevel="0" collapsed="false">
      <c r="A29" s="4" t="s">
        <v>131</v>
      </c>
      <c r="B29" s="4" t="s">
        <v>38</v>
      </c>
      <c r="C29" s="4" t="s">
        <v>132</v>
      </c>
      <c r="D29" s="4" t="s">
        <v>18</v>
      </c>
      <c r="E29" s="4" t="s">
        <v>43</v>
      </c>
      <c r="F29" s="4" t="n">
        <v>1</v>
      </c>
      <c r="G29" s="4" t="s">
        <v>50</v>
      </c>
      <c r="H29" s="4" t="s">
        <v>128</v>
      </c>
      <c r="I29" s="4" t="s">
        <v>129</v>
      </c>
      <c r="J29" s="4" t="s">
        <v>133</v>
      </c>
      <c r="K29" s="4" t="s">
        <v>46</v>
      </c>
    </row>
    <row r="30" customFormat="false" ht="15" hidden="false" customHeight="false" outlineLevel="0" collapsed="false">
      <c r="A30" s="7" t="s">
        <v>134</v>
      </c>
      <c r="B30" s="7" t="s">
        <v>38</v>
      </c>
      <c r="C30" s="7" t="s">
        <v>135</v>
      </c>
      <c r="D30" s="7" t="s">
        <v>18</v>
      </c>
      <c r="E30" s="7" t="s">
        <v>43</v>
      </c>
      <c r="F30" s="7" t="n">
        <v>1</v>
      </c>
      <c r="G30" s="7" t="s">
        <v>50</v>
      </c>
      <c r="H30" s="7" t="s">
        <v>128</v>
      </c>
      <c r="I30" s="7" t="s">
        <v>129</v>
      </c>
      <c r="J30" s="7" t="s">
        <v>136</v>
      </c>
      <c r="K30" s="7" t="s">
        <v>46</v>
      </c>
    </row>
    <row r="31" customFormat="false" ht="23.85" hidden="false" customHeight="false" outlineLevel="0" collapsed="false">
      <c r="A31" s="4" t="s">
        <v>137</v>
      </c>
      <c r="B31" s="4" t="s">
        <v>38</v>
      </c>
      <c r="C31" s="4" t="s">
        <v>138</v>
      </c>
      <c r="D31" s="4" t="s">
        <v>12</v>
      </c>
      <c r="E31" s="4" t="s">
        <v>43</v>
      </c>
      <c r="F31" s="4" t="n">
        <v>1</v>
      </c>
      <c r="G31" s="4" t="s">
        <v>50</v>
      </c>
      <c r="H31" s="4" t="s">
        <v>128</v>
      </c>
      <c r="I31" s="4" t="s">
        <v>129</v>
      </c>
      <c r="J31" s="4" t="s">
        <v>139</v>
      </c>
      <c r="K31" s="4" t="s">
        <v>46</v>
      </c>
    </row>
    <row r="32" customFormat="false" ht="15" hidden="false" customHeight="false" outlineLevel="0" collapsed="false">
      <c r="A32" s="7" t="s">
        <v>140</v>
      </c>
      <c r="B32" s="7" t="s">
        <v>38</v>
      </c>
      <c r="C32" s="7" t="s">
        <v>141</v>
      </c>
      <c r="D32" s="7" t="s">
        <v>18</v>
      </c>
      <c r="E32" s="7" t="s">
        <v>43</v>
      </c>
      <c r="F32" s="7" t="n">
        <v>1</v>
      </c>
      <c r="G32" s="7" t="s">
        <v>50</v>
      </c>
      <c r="H32" s="7" t="s">
        <v>128</v>
      </c>
      <c r="I32" s="7" t="s">
        <v>129</v>
      </c>
      <c r="J32" s="7" t="s">
        <v>142</v>
      </c>
      <c r="K32" s="7" t="s">
        <v>46</v>
      </c>
    </row>
    <row r="33" customFormat="false" ht="15" hidden="false" customHeight="false" outlineLevel="0" collapsed="false">
      <c r="A33" s="4" t="s">
        <v>143</v>
      </c>
      <c r="B33" s="4" t="s">
        <v>38</v>
      </c>
      <c r="C33" s="4" t="s">
        <v>144</v>
      </c>
      <c r="D33" s="4" t="s">
        <v>15</v>
      </c>
      <c r="E33" s="4" t="s">
        <v>43</v>
      </c>
      <c r="F33" s="4" t="n">
        <v>0.5</v>
      </c>
      <c r="G33" s="4" t="s">
        <v>50</v>
      </c>
      <c r="H33" s="4" t="s">
        <v>128</v>
      </c>
      <c r="I33" s="4" t="s">
        <v>129</v>
      </c>
      <c r="J33" s="4" t="s">
        <v>145</v>
      </c>
      <c r="K33" s="4" t="s">
        <v>46</v>
      </c>
    </row>
    <row r="34" customFormat="false" ht="15" hidden="false" customHeight="false" outlineLevel="0" collapsed="false">
      <c r="A34" s="7" t="s">
        <v>146</v>
      </c>
      <c r="B34" s="7" t="s">
        <v>38</v>
      </c>
      <c r="C34" s="7" t="s">
        <v>147</v>
      </c>
      <c r="D34" s="7" t="s">
        <v>15</v>
      </c>
      <c r="E34" s="7" t="s">
        <v>43</v>
      </c>
      <c r="F34" s="7" t="n">
        <v>0.75</v>
      </c>
      <c r="G34" s="7" t="s">
        <v>50</v>
      </c>
      <c r="H34" s="7" t="s">
        <v>128</v>
      </c>
      <c r="I34" s="7" t="s">
        <v>129</v>
      </c>
      <c r="J34" s="7" t="s">
        <v>148</v>
      </c>
      <c r="K34" s="7" t="s">
        <v>46</v>
      </c>
    </row>
    <row r="35" customFormat="false" ht="23.85" hidden="false" customHeight="false" outlineLevel="0" collapsed="false">
      <c r="A35" s="4" t="s">
        <v>149</v>
      </c>
      <c r="B35" s="4" t="s">
        <v>38</v>
      </c>
      <c r="C35" s="4" t="s">
        <v>150</v>
      </c>
      <c r="D35" s="4" t="s">
        <v>15</v>
      </c>
      <c r="E35" s="4" t="s">
        <v>43</v>
      </c>
      <c r="F35" s="4" t="n">
        <v>0.5</v>
      </c>
      <c r="G35" s="4" t="s">
        <v>50</v>
      </c>
      <c r="H35" s="4" t="s">
        <v>128</v>
      </c>
      <c r="I35" s="4" t="s">
        <v>151</v>
      </c>
      <c r="J35" s="4" t="s">
        <v>152</v>
      </c>
      <c r="K35" s="4" t="s">
        <v>46</v>
      </c>
    </row>
    <row r="36" customFormat="false" ht="23.85" hidden="false" customHeight="false" outlineLevel="0" collapsed="false">
      <c r="A36" s="7" t="s">
        <v>153</v>
      </c>
      <c r="B36" s="7" t="s">
        <v>38</v>
      </c>
      <c r="C36" s="7" t="s">
        <v>154</v>
      </c>
      <c r="D36" s="7" t="s">
        <v>15</v>
      </c>
      <c r="E36" s="7" t="s">
        <v>43</v>
      </c>
      <c r="F36" s="7" t="n">
        <v>0.5</v>
      </c>
      <c r="G36" s="7" t="s">
        <v>50</v>
      </c>
      <c r="H36" s="7" t="s">
        <v>128</v>
      </c>
      <c r="I36" s="7" t="s">
        <v>151</v>
      </c>
      <c r="J36" s="7" t="s">
        <v>155</v>
      </c>
      <c r="K36" s="7" t="s">
        <v>46</v>
      </c>
    </row>
    <row r="37" customFormat="false" ht="23.85" hidden="false" customHeight="false" outlineLevel="0" collapsed="false">
      <c r="A37" s="4" t="s">
        <v>156</v>
      </c>
      <c r="B37" s="4" t="s">
        <v>38</v>
      </c>
      <c r="C37" s="4" t="s">
        <v>157</v>
      </c>
      <c r="D37" s="4" t="s">
        <v>18</v>
      </c>
      <c r="E37" s="4" t="s">
        <v>43</v>
      </c>
      <c r="F37" s="4" t="n">
        <v>0.5</v>
      </c>
      <c r="G37" s="4" t="s">
        <v>50</v>
      </c>
      <c r="H37" s="4" t="s">
        <v>128</v>
      </c>
      <c r="I37" s="4" t="s">
        <v>151</v>
      </c>
      <c r="J37" s="4" t="s">
        <v>158</v>
      </c>
      <c r="K37" s="4" t="s">
        <v>46</v>
      </c>
    </row>
    <row r="38" customFormat="false" ht="23.85" hidden="false" customHeight="false" outlineLevel="0" collapsed="false">
      <c r="A38" s="7" t="s">
        <v>159</v>
      </c>
      <c r="B38" s="7" t="s">
        <v>38</v>
      </c>
      <c r="C38" s="7" t="s">
        <v>160</v>
      </c>
      <c r="D38" s="7" t="s">
        <v>15</v>
      </c>
      <c r="E38" s="7" t="s">
        <v>43</v>
      </c>
      <c r="F38" s="7" t="n">
        <v>0.75</v>
      </c>
      <c r="G38" s="7" t="s">
        <v>50</v>
      </c>
      <c r="H38" s="7" t="s">
        <v>128</v>
      </c>
      <c r="I38" s="7" t="s">
        <v>151</v>
      </c>
      <c r="J38" s="7" t="s">
        <v>161</v>
      </c>
      <c r="K38" s="7" t="s">
        <v>46</v>
      </c>
    </row>
    <row r="39" customFormat="false" ht="23.85" hidden="false" customHeight="false" outlineLevel="0" collapsed="false">
      <c r="A39" s="4" t="s">
        <v>162</v>
      </c>
      <c r="B39" s="4" t="s">
        <v>38</v>
      </c>
      <c r="C39" s="4" t="s">
        <v>163</v>
      </c>
      <c r="D39" s="4" t="s">
        <v>18</v>
      </c>
      <c r="E39" s="4" t="s">
        <v>43</v>
      </c>
      <c r="F39" s="4" t="n">
        <v>0.75</v>
      </c>
      <c r="G39" s="4" t="s">
        <v>50</v>
      </c>
      <c r="H39" s="4" t="s">
        <v>128</v>
      </c>
      <c r="I39" s="4" t="s">
        <v>151</v>
      </c>
      <c r="J39" s="4" t="s">
        <v>164</v>
      </c>
      <c r="K39" s="4" t="s">
        <v>46</v>
      </c>
    </row>
    <row r="40" customFormat="false" ht="23.85" hidden="false" customHeight="false" outlineLevel="0" collapsed="false">
      <c r="A40" s="7" t="s">
        <v>165</v>
      </c>
      <c r="B40" s="7" t="s">
        <v>38</v>
      </c>
      <c r="C40" s="7" t="s">
        <v>166</v>
      </c>
      <c r="D40" s="7" t="s">
        <v>18</v>
      </c>
      <c r="E40" s="7" t="s">
        <v>43</v>
      </c>
      <c r="F40" s="7" t="n">
        <v>0.75</v>
      </c>
      <c r="G40" s="7" t="s">
        <v>50</v>
      </c>
      <c r="H40" s="7" t="s">
        <v>128</v>
      </c>
      <c r="I40" s="7" t="s">
        <v>151</v>
      </c>
      <c r="J40" s="7" t="s">
        <v>167</v>
      </c>
      <c r="K40" s="7" t="s">
        <v>46</v>
      </c>
    </row>
    <row r="41" customFormat="false" ht="23.85" hidden="false" customHeight="false" outlineLevel="0" collapsed="false">
      <c r="A41" s="4" t="s">
        <v>168</v>
      </c>
      <c r="B41" s="4" t="s">
        <v>38</v>
      </c>
      <c r="C41" s="4" t="s">
        <v>169</v>
      </c>
      <c r="D41" s="4" t="s">
        <v>15</v>
      </c>
      <c r="E41" s="4" t="s">
        <v>43</v>
      </c>
      <c r="F41" s="4" t="n">
        <v>0.5</v>
      </c>
      <c r="G41" s="4" t="s">
        <v>50</v>
      </c>
      <c r="H41" s="4" t="s">
        <v>128</v>
      </c>
      <c r="I41" s="4" t="s">
        <v>151</v>
      </c>
      <c r="J41" s="4" t="s">
        <v>170</v>
      </c>
      <c r="K41" s="4" t="s">
        <v>46</v>
      </c>
    </row>
    <row r="42" customFormat="false" ht="15" hidden="false" customHeight="false" outlineLevel="0" collapsed="false">
      <c r="A42" s="7" t="s">
        <v>171</v>
      </c>
      <c r="B42" s="7" t="s">
        <v>38</v>
      </c>
      <c r="C42" s="7" t="s">
        <v>172</v>
      </c>
      <c r="D42" s="7" t="s">
        <v>15</v>
      </c>
      <c r="E42" s="7" t="s">
        <v>43</v>
      </c>
      <c r="F42" s="7" t="n">
        <v>0.5</v>
      </c>
      <c r="G42" s="7" t="s">
        <v>50</v>
      </c>
      <c r="H42" s="7" t="s">
        <v>128</v>
      </c>
      <c r="I42" s="7" t="s">
        <v>173</v>
      </c>
      <c r="J42" s="7" t="s">
        <v>174</v>
      </c>
      <c r="K42" s="7" t="s">
        <v>46</v>
      </c>
    </row>
    <row r="43" customFormat="false" ht="23.85" hidden="false" customHeight="false" outlineLevel="0" collapsed="false">
      <c r="A43" s="4" t="s">
        <v>175</v>
      </c>
      <c r="B43" s="4" t="s">
        <v>38</v>
      </c>
      <c r="C43" s="4" t="s">
        <v>176</v>
      </c>
      <c r="D43" s="4" t="s">
        <v>15</v>
      </c>
      <c r="E43" s="4" t="s">
        <v>43</v>
      </c>
      <c r="F43" s="4" t="n">
        <v>0.5</v>
      </c>
      <c r="G43" s="4" t="s">
        <v>50</v>
      </c>
      <c r="H43" s="4" t="s">
        <v>128</v>
      </c>
      <c r="I43" s="4" t="s">
        <v>173</v>
      </c>
      <c r="J43" s="4" t="s">
        <v>177</v>
      </c>
      <c r="K43" s="4" t="s">
        <v>46</v>
      </c>
    </row>
    <row r="44" customFormat="false" ht="23.85" hidden="false" customHeight="false" outlineLevel="0" collapsed="false">
      <c r="A44" s="7" t="s">
        <v>178</v>
      </c>
      <c r="B44" s="7" t="s">
        <v>38</v>
      </c>
      <c r="C44" s="7" t="s">
        <v>179</v>
      </c>
      <c r="D44" s="7" t="s">
        <v>15</v>
      </c>
      <c r="E44" s="7" t="s">
        <v>43</v>
      </c>
      <c r="F44" s="7" t="n">
        <v>0.75</v>
      </c>
      <c r="G44" s="7" t="s">
        <v>50</v>
      </c>
      <c r="H44" s="7" t="s">
        <v>128</v>
      </c>
      <c r="I44" s="7" t="s">
        <v>173</v>
      </c>
      <c r="J44" s="7" t="s">
        <v>180</v>
      </c>
      <c r="K44" s="7" t="s">
        <v>46</v>
      </c>
    </row>
    <row r="45" customFormat="false" ht="15" hidden="false" customHeight="false" outlineLevel="0" collapsed="false">
      <c r="A45" s="4" t="s">
        <v>181</v>
      </c>
      <c r="B45" s="4" t="s">
        <v>38</v>
      </c>
      <c r="C45" s="4" t="s">
        <v>182</v>
      </c>
      <c r="D45" s="4" t="s">
        <v>24</v>
      </c>
      <c r="E45" s="4" t="s">
        <v>183</v>
      </c>
      <c r="F45" s="4" t="n">
        <v>0.5</v>
      </c>
      <c r="G45" s="4" t="s">
        <v>50</v>
      </c>
      <c r="H45" s="4" t="s">
        <v>128</v>
      </c>
      <c r="I45" s="4" t="s">
        <v>173</v>
      </c>
      <c r="J45" s="4" t="s">
        <v>184</v>
      </c>
      <c r="K45" s="4" t="s">
        <v>46</v>
      </c>
    </row>
    <row r="46" customFormat="false" ht="23.85" hidden="false" customHeight="false" outlineLevel="0" collapsed="false">
      <c r="A46" s="7" t="s">
        <v>185</v>
      </c>
      <c r="B46" s="7" t="s">
        <v>38</v>
      </c>
      <c r="C46" s="7" t="s">
        <v>186</v>
      </c>
      <c r="D46" s="7" t="s">
        <v>15</v>
      </c>
      <c r="E46" s="7" t="s">
        <v>43</v>
      </c>
      <c r="F46" s="7" t="n">
        <v>0.5</v>
      </c>
      <c r="G46" s="7" t="s">
        <v>50</v>
      </c>
      <c r="H46" s="7" t="s">
        <v>128</v>
      </c>
      <c r="I46" s="7" t="s">
        <v>173</v>
      </c>
      <c r="J46" s="7" t="s">
        <v>187</v>
      </c>
      <c r="K46" s="7" t="s">
        <v>46</v>
      </c>
    </row>
    <row r="47" customFormat="false" ht="23.85" hidden="false" customHeight="false" outlineLevel="0" collapsed="false">
      <c r="A47" s="4" t="s">
        <v>188</v>
      </c>
      <c r="B47" s="4" t="s">
        <v>38</v>
      </c>
      <c r="C47" s="4" t="s">
        <v>189</v>
      </c>
      <c r="D47" s="4" t="s">
        <v>18</v>
      </c>
      <c r="E47" s="4" t="s">
        <v>43</v>
      </c>
      <c r="F47" s="4" t="n">
        <v>0.5</v>
      </c>
      <c r="G47" s="4" t="s">
        <v>50</v>
      </c>
      <c r="H47" s="4" t="s">
        <v>128</v>
      </c>
      <c r="I47" s="4" t="s">
        <v>173</v>
      </c>
      <c r="J47" s="4" t="s">
        <v>190</v>
      </c>
      <c r="K47" s="4" t="s">
        <v>46</v>
      </c>
    </row>
    <row r="48" customFormat="false" ht="23.85" hidden="false" customHeight="false" outlineLevel="0" collapsed="false">
      <c r="A48" s="7" t="s">
        <v>191</v>
      </c>
      <c r="B48" s="7" t="s">
        <v>38</v>
      </c>
      <c r="C48" s="7" t="s">
        <v>192</v>
      </c>
      <c r="D48" s="7" t="s">
        <v>15</v>
      </c>
      <c r="E48" s="7" t="s">
        <v>43</v>
      </c>
      <c r="F48" s="7" t="n">
        <v>0.5</v>
      </c>
      <c r="G48" s="7" t="s">
        <v>50</v>
      </c>
      <c r="H48" s="7" t="s">
        <v>128</v>
      </c>
      <c r="I48" s="7" t="s">
        <v>173</v>
      </c>
      <c r="J48" s="7" t="s">
        <v>193</v>
      </c>
      <c r="K48" s="7" t="s">
        <v>46</v>
      </c>
    </row>
    <row r="49" customFormat="false" ht="23.85" hidden="false" customHeight="false" outlineLevel="0" collapsed="false">
      <c r="A49" s="4" t="s">
        <v>194</v>
      </c>
      <c r="B49" s="4" t="s">
        <v>38</v>
      </c>
      <c r="C49" s="4" t="s">
        <v>195</v>
      </c>
      <c r="D49" s="4" t="s">
        <v>15</v>
      </c>
      <c r="E49" s="4" t="s">
        <v>43</v>
      </c>
      <c r="F49" s="4" t="n">
        <v>0.5</v>
      </c>
      <c r="G49" s="4" t="s">
        <v>50</v>
      </c>
      <c r="H49" s="4" t="s">
        <v>128</v>
      </c>
      <c r="I49" s="4" t="s">
        <v>173</v>
      </c>
      <c r="J49" s="4" t="s">
        <v>196</v>
      </c>
      <c r="K49" s="4" t="s">
        <v>46</v>
      </c>
    </row>
    <row r="50" customFormat="false" ht="23.85" hidden="false" customHeight="false" outlineLevel="0" collapsed="false">
      <c r="A50" s="7" t="s">
        <v>197</v>
      </c>
      <c r="B50" s="7" t="s">
        <v>38</v>
      </c>
      <c r="C50" s="7" t="s">
        <v>198</v>
      </c>
      <c r="D50" s="7" t="s">
        <v>15</v>
      </c>
      <c r="E50" s="7" t="s">
        <v>43</v>
      </c>
      <c r="F50" s="7" t="n">
        <v>0.75</v>
      </c>
      <c r="G50" s="7" t="s">
        <v>50</v>
      </c>
      <c r="H50" s="7" t="s">
        <v>128</v>
      </c>
      <c r="I50" s="7" t="s">
        <v>173</v>
      </c>
      <c r="J50" s="7" t="s">
        <v>199</v>
      </c>
      <c r="K50" s="7" t="s">
        <v>46</v>
      </c>
    </row>
    <row r="51" customFormat="false" ht="23.85" hidden="false" customHeight="false" outlineLevel="0" collapsed="false">
      <c r="A51" s="4" t="s">
        <v>200</v>
      </c>
      <c r="B51" s="4" t="s">
        <v>38</v>
      </c>
      <c r="C51" s="4" t="s">
        <v>201</v>
      </c>
      <c r="D51" s="4" t="s">
        <v>15</v>
      </c>
      <c r="E51" s="4" t="s">
        <v>43</v>
      </c>
      <c r="F51" s="4" t="n">
        <v>0.5</v>
      </c>
      <c r="G51" s="4" t="s">
        <v>50</v>
      </c>
      <c r="H51" s="4" t="s">
        <v>128</v>
      </c>
      <c r="I51" s="4" t="s">
        <v>173</v>
      </c>
      <c r="J51" s="4" t="s">
        <v>202</v>
      </c>
      <c r="K51" s="4" t="s">
        <v>46</v>
      </c>
    </row>
    <row r="52" customFormat="false" ht="23.85" hidden="false" customHeight="false" outlineLevel="0" collapsed="false">
      <c r="A52" s="7" t="s">
        <v>203</v>
      </c>
      <c r="B52" s="7" t="s">
        <v>38</v>
      </c>
      <c r="C52" s="7" t="s">
        <v>204</v>
      </c>
      <c r="D52" s="7" t="s">
        <v>15</v>
      </c>
      <c r="E52" s="7" t="s">
        <v>43</v>
      </c>
      <c r="F52" s="7" t="n">
        <v>0.75</v>
      </c>
      <c r="G52" s="7" t="s">
        <v>50</v>
      </c>
      <c r="H52" s="7" t="s">
        <v>128</v>
      </c>
      <c r="I52" s="7" t="s">
        <v>173</v>
      </c>
      <c r="J52" s="7" t="s">
        <v>205</v>
      </c>
      <c r="K52" s="7" t="s">
        <v>46</v>
      </c>
    </row>
    <row r="53" customFormat="false" ht="23.85" hidden="false" customHeight="false" outlineLevel="0" collapsed="false">
      <c r="A53" s="4" t="s">
        <v>206</v>
      </c>
      <c r="B53" s="4" t="s">
        <v>38</v>
      </c>
      <c r="C53" s="4" t="s">
        <v>207</v>
      </c>
      <c r="D53" s="4" t="s">
        <v>24</v>
      </c>
      <c r="E53" s="4" t="s">
        <v>183</v>
      </c>
      <c r="F53" s="4" t="n">
        <v>0.5</v>
      </c>
      <c r="G53" s="4" t="s">
        <v>50</v>
      </c>
      <c r="H53" s="4" t="s">
        <v>128</v>
      </c>
      <c r="I53" s="4" t="s">
        <v>173</v>
      </c>
      <c r="J53" s="4" t="s">
        <v>208</v>
      </c>
      <c r="K53" s="4" t="s">
        <v>46</v>
      </c>
    </row>
    <row r="54" customFormat="false" ht="15" hidden="false" customHeight="false" outlineLevel="0" collapsed="false">
      <c r="A54" s="7" t="s">
        <v>209</v>
      </c>
      <c r="B54" s="7" t="s">
        <v>38</v>
      </c>
      <c r="C54" s="7" t="s">
        <v>210</v>
      </c>
      <c r="D54" s="7" t="s">
        <v>15</v>
      </c>
      <c r="E54" s="7" t="s">
        <v>43</v>
      </c>
      <c r="F54" s="7" t="n">
        <v>1.125</v>
      </c>
      <c r="G54" s="7" t="s">
        <v>50</v>
      </c>
      <c r="H54" s="7" t="s">
        <v>128</v>
      </c>
      <c r="I54" s="7" t="s">
        <v>173</v>
      </c>
      <c r="J54" s="7" t="s">
        <v>211</v>
      </c>
      <c r="K54" s="7" t="s">
        <v>46</v>
      </c>
    </row>
    <row r="55" customFormat="false" ht="15" hidden="false" customHeight="false" outlineLevel="0" collapsed="false">
      <c r="A55" s="4" t="s">
        <v>212</v>
      </c>
      <c r="B55" s="4" t="s">
        <v>38</v>
      </c>
      <c r="C55" s="4" t="s">
        <v>213</v>
      </c>
      <c r="D55" s="4" t="s">
        <v>15</v>
      </c>
      <c r="E55" s="4" t="s">
        <v>43</v>
      </c>
      <c r="F55" s="4" t="n">
        <v>1.125</v>
      </c>
      <c r="G55" s="4" t="s">
        <v>50</v>
      </c>
      <c r="H55" s="4" t="s">
        <v>128</v>
      </c>
      <c r="I55" s="4" t="s">
        <v>173</v>
      </c>
      <c r="J55" s="4" t="s">
        <v>214</v>
      </c>
      <c r="K55" s="4" t="s">
        <v>46</v>
      </c>
    </row>
    <row r="56" customFormat="false" ht="15" hidden="false" customHeight="false" outlineLevel="0" collapsed="false">
      <c r="A56" s="7" t="s">
        <v>215</v>
      </c>
      <c r="B56" s="7" t="s">
        <v>38</v>
      </c>
      <c r="C56" s="7" t="s">
        <v>216</v>
      </c>
      <c r="D56" s="7" t="s">
        <v>18</v>
      </c>
      <c r="E56" s="7" t="s">
        <v>43</v>
      </c>
      <c r="F56" s="7" t="n">
        <v>1.125</v>
      </c>
      <c r="G56" s="7" t="s">
        <v>50</v>
      </c>
      <c r="H56" s="7" t="s">
        <v>128</v>
      </c>
      <c r="I56" s="7" t="s">
        <v>173</v>
      </c>
      <c r="J56" s="7" t="s">
        <v>217</v>
      </c>
      <c r="K56" s="7" t="s">
        <v>46</v>
      </c>
    </row>
    <row r="57" customFormat="false" ht="23.85" hidden="false" customHeight="false" outlineLevel="0" collapsed="false">
      <c r="A57" s="4" t="s">
        <v>218</v>
      </c>
      <c r="B57" s="4" t="s">
        <v>38</v>
      </c>
      <c r="C57" s="4" t="s">
        <v>219</v>
      </c>
      <c r="D57" s="4" t="s">
        <v>15</v>
      </c>
      <c r="E57" s="4" t="s">
        <v>43</v>
      </c>
      <c r="F57" s="4" t="n">
        <v>1.125</v>
      </c>
      <c r="G57" s="4" t="s">
        <v>50</v>
      </c>
      <c r="H57" s="4" t="s">
        <v>128</v>
      </c>
      <c r="I57" s="4" t="s">
        <v>173</v>
      </c>
      <c r="J57" s="4" t="s">
        <v>220</v>
      </c>
      <c r="K57" s="4" t="s">
        <v>46</v>
      </c>
    </row>
    <row r="58" customFormat="false" ht="23.85" hidden="false" customHeight="false" outlineLevel="0" collapsed="false">
      <c r="A58" s="7" t="s">
        <v>221</v>
      </c>
      <c r="B58" s="7" t="s">
        <v>38</v>
      </c>
      <c r="C58" s="7" t="s">
        <v>222</v>
      </c>
      <c r="D58" s="7" t="s">
        <v>15</v>
      </c>
      <c r="E58" s="7" t="s">
        <v>43</v>
      </c>
      <c r="F58" s="7" t="n">
        <v>1.125</v>
      </c>
      <c r="G58" s="7" t="s">
        <v>50</v>
      </c>
      <c r="H58" s="7" t="s">
        <v>128</v>
      </c>
      <c r="I58" s="7" t="s">
        <v>173</v>
      </c>
      <c r="J58" s="7" t="s">
        <v>223</v>
      </c>
      <c r="K58" s="7" t="s">
        <v>46</v>
      </c>
    </row>
    <row r="59" customFormat="false" ht="23.85" hidden="false" customHeight="false" outlineLevel="0" collapsed="false">
      <c r="A59" s="4" t="s">
        <v>224</v>
      </c>
      <c r="B59" s="4" t="s">
        <v>38</v>
      </c>
      <c r="C59" s="4" t="s">
        <v>225</v>
      </c>
      <c r="D59" s="4" t="s">
        <v>15</v>
      </c>
      <c r="E59" s="4" t="s">
        <v>43</v>
      </c>
      <c r="F59" s="4" t="n">
        <v>1.125</v>
      </c>
      <c r="G59" s="4" t="s">
        <v>50</v>
      </c>
      <c r="H59" s="4" t="s">
        <v>44</v>
      </c>
      <c r="I59" s="4" t="s">
        <v>173</v>
      </c>
      <c r="J59" s="4" t="s">
        <v>226</v>
      </c>
      <c r="K59" s="4" t="s">
        <v>46</v>
      </c>
    </row>
    <row r="60" customFormat="false" ht="15" hidden="false" customHeight="false" outlineLevel="0" collapsed="false">
      <c r="A60" s="7" t="s">
        <v>227</v>
      </c>
      <c r="B60" s="7" t="s">
        <v>38</v>
      </c>
      <c r="C60" s="7" t="s">
        <v>228</v>
      </c>
      <c r="D60" s="7" t="s">
        <v>18</v>
      </c>
      <c r="E60" s="7" t="s">
        <v>43</v>
      </c>
      <c r="F60" s="7" t="n">
        <v>1.125</v>
      </c>
      <c r="G60" s="7" t="s">
        <v>50</v>
      </c>
      <c r="H60" s="7" t="s">
        <v>128</v>
      </c>
      <c r="I60" s="7" t="s">
        <v>173</v>
      </c>
      <c r="J60" s="7" t="s">
        <v>229</v>
      </c>
      <c r="K60" s="7" t="s">
        <v>46</v>
      </c>
    </row>
    <row r="61" customFormat="false" ht="15" hidden="false" customHeight="false" outlineLevel="0" collapsed="false">
      <c r="A61" s="4" t="s">
        <v>230</v>
      </c>
      <c r="B61" s="4" t="s">
        <v>38</v>
      </c>
      <c r="C61" s="4" t="s">
        <v>231</v>
      </c>
      <c r="D61" s="4" t="s">
        <v>18</v>
      </c>
      <c r="E61" s="4" t="s">
        <v>43</v>
      </c>
      <c r="F61" s="4" t="n">
        <v>1.125</v>
      </c>
      <c r="G61" s="4" t="s">
        <v>50</v>
      </c>
      <c r="H61" s="4" t="s">
        <v>44</v>
      </c>
      <c r="I61" s="4" t="s">
        <v>173</v>
      </c>
      <c r="J61" s="4" t="s">
        <v>232</v>
      </c>
      <c r="K61" s="4" t="s">
        <v>46</v>
      </c>
    </row>
    <row r="62" customFormat="false" ht="23.85" hidden="false" customHeight="false" outlineLevel="0" collapsed="false">
      <c r="A62" s="7" t="s">
        <v>233</v>
      </c>
      <c r="B62" s="7" t="s">
        <v>38</v>
      </c>
      <c r="C62" s="7" t="s">
        <v>234</v>
      </c>
      <c r="D62" s="7" t="s">
        <v>18</v>
      </c>
      <c r="E62" s="7" t="s">
        <v>43</v>
      </c>
      <c r="F62" s="7" t="n">
        <v>1.125</v>
      </c>
      <c r="G62" s="7" t="s">
        <v>50</v>
      </c>
      <c r="H62" s="7" t="s">
        <v>128</v>
      </c>
      <c r="I62" s="7" t="s">
        <v>173</v>
      </c>
      <c r="J62" s="7" t="s">
        <v>235</v>
      </c>
      <c r="K62" s="7" t="s">
        <v>46</v>
      </c>
    </row>
    <row r="63" customFormat="false" ht="15" hidden="false" customHeight="false" outlineLevel="0" collapsed="false">
      <c r="A63" s="4" t="s">
        <v>236</v>
      </c>
      <c r="B63" s="4" t="s">
        <v>38</v>
      </c>
      <c r="C63" s="4" t="s">
        <v>237</v>
      </c>
      <c r="D63" s="4" t="s">
        <v>18</v>
      </c>
      <c r="E63" s="4" t="s">
        <v>43</v>
      </c>
      <c r="F63" s="4" t="n">
        <v>1.125</v>
      </c>
      <c r="G63" s="4" t="s">
        <v>50</v>
      </c>
      <c r="H63" s="4" t="s">
        <v>128</v>
      </c>
      <c r="I63" s="4" t="s">
        <v>173</v>
      </c>
      <c r="J63" s="4" t="s">
        <v>238</v>
      </c>
      <c r="K63" s="4" t="s">
        <v>46</v>
      </c>
    </row>
    <row r="64" customFormat="false" ht="23.85" hidden="false" customHeight="false" outlineLevel="0" collapsed="false">
      <c r="A64" s="7" t="s">
        <v>239</v>
      </c>
      <c r="B64" s="7" t="s">
        <v>38</v>
      </c>
      <c r="C64" s="7" t="s">
        <v>240</v>
      </c>
      <c r="D64" s="7" t="s">
        <v>18</v>
      </c>
      <c r="E64" s="7" t="s">
        <v>43</v>
      </c>
      <c r="F64" s="7" t="n">
        <v>1.125</v>
      </c>
      <c r="G64" s="7" t="s">
        <v>50</v>
      </c>
      <c r="H64" s="7" t="s">
        <v>44</v>
      </c>
      <c r="I64" s="7" t="s">
        <v>173</v>
      </c>
      <c r="J64" s="7" t="s">
        <v>241</v>
      </c>
      <c r="K64" s="7" t="s">
        <v>46</v>
      </c>
    </row>
    <row r="65" customFormat="false" ht="15" hidden="false" customHeight="false" outlineLevel="0" collapsed="false">
      <c r="A65" s="4" t="s">
        <v>242</v>
      </c>
      <c r="B65" s="4" t="s">
        <v>38</v>
      </c>
      <c r="C65" s="4" t="s">
        <v>243</v>
      </c>
      <c r="D65" s="4" t="s">
        <v>18</v>
      </c>
      <c r="E65" s="4" t="s">
        <v>43</v>
      </c>
      <c r="F65" s="4" t="n">
        <v>1.125</v>
      </c>
      <c r="G65" s="4" t="s">
        <v>50</v>
      </c>
      <c r="H65" s="4" t="s">
        <v>44</v>
      </c>
      <c r="I65" s="4" t="s">
        <v>173</v>
      </c>
      <c r="J65" s="4" t="s">
        <v>244</v>
      </c>
      <c r="K65" s="4" t="s">
        <v>46</v>
      </c>
    </row>
    <row r="66" customFormat="false" ht="23.85" hidden="false" customHeight="false" outlineLevel="0" collapsed="false">
      <c r="A66" s="7" t="s">
        <v>245</v>
      </c>
      <c r="B66" s="7" t="s">
        <v>38</v>
      </c>
      <c r="C66" s="7" t="s">
        <v>246</v>
      </c>
      <c r="D66" s="7" t="s">
        <v>27</v>
      </c>
      <c r="E66" s="7" t="s">
        <v>183</v>
      </c>
      <c r="F66" s="7" t="n">
        <v>1.125</v>
      </c>
      <c r="G66" s="7" t="s">
        <v>50</v>
      </c>
      <c r="H66" s="7" t="s">
        <v>44</v>
      </c>
      <c r="I66" s="7" t="s">
        <v>173</v>
      </c>
      <c r="J66" s="7" t="s">
        <v>247</v>
      </c>
      <c r="K66" s="7" t="s">
        <v>46</v>
      </c>
    </row>
    <row r="67" customFormat="false" ht="15" hidden="false" customHeight="false" outlineLevel="0" collapsed="false">
      <c r="A67" s="4" t="s">
        <v>248</v>
      </c>
      <c r="B67" s="4" t="s">
        <v>38</v>
      </c>
      <c r="C67" s="4" t="s">
        <v>249</v>
      </c>
      <c r="D67" s="4" t="s">
        <v>18</v>
      </c>
      <c r="E67" s="4" t="s">
        <v>43</v>
      </c>
      <c r="F67" s="4" t="n">
        <v>1.125</v>
      </c>
      <c r="G67" s="4" t="s">
        <v>50</v>
      </c>
      <c r="H67" s="4" t="s">
        <v>128</v>
      </c>
      <c r="I67" s="4" t="s">
        <v>173</v>
      </c>
      <c r="J67" s="4" t="s">
        <v>250</v>
      </c>
      <c r="K67" s="4" t="s">
        <v>46</v>
      </c>
    </row>
    <row r="68" customFormat="false" ht="23.85" hidden="false" customHeight="false" outlineLevel="0" collapsed="false">
      <c r="A68" s="7" t="s">
        <v>251</v>
      </c>
      <c r="B68" s="7" t="s">
        <v>38</v>
      </c>
      <c r="C68" s="7" t="s">
        <v>252</v>
      </c>
      <c r="D68" s="7" t="s">
        <v>18</v>
      </c>
      <c r="E68" s="7" t="s">
        <v>43</v>
      </c>
      <c r="F68" s="7" t="n">
        <v>1.125</v>
      </c>
      <c r="G68" s="7" t="s">
        <v>50</v>
      </c>
      <c r="H68" s="7" t="s">
        <v>128</v>
      </c>
      <c r="I68" s="7" t="s">
        <v>173</v>
      </c>
      <c r="J68" s="7" t="s">
        <v>253</v>
      </c>
      <c r="K68" s="7" t="s">
        <v>46</v>
      </c>
    </row>
    <row r="69" customFormat="false" ht="23.85" hidden="false" customHeight="false" outlineLevel="0" collapsed="false">
      <c r="A69" s="4" t="s">
        <v>254</v>
      </c>
      <c r="B69" s="4" t="s">
        <v>38</v>
      </c>
      <c r="C69" s="4" t="s">
        <v>255</v>
      </c>
      <c r="D69" s="4" t="s">
        <v>18</v>
      </c>
      <c r="E69" s="4" t="s">
        <v>43</v>
      </c>
      <c r="F69" s="4" t="n">
        <v>1.125</v>
      </c>
      <c r="G69" s="4" t="s">
        <v>50</v>
      </c>
      <c r="H69" s="4" t="s">
        <v>128</v>
      </c>
      <c r="I69" s="4" t="s">
        <v>173</v>
      </c>
      <c r="J69" s="4" t="s">
        <v>256</v>
      </c>
      <c r="K69" s="4" t="s">
        <v>46</v>
      </c>
    </row>
    <row r="70" customFormat="false" ht="15" hidden="false" customHeight="false" outlineLevel="0" collapsed="false">
      <c r="A70" s="7" t="s">
        <v>257</v>
      </c>
      <c r="B70" s="7" t="s">
        <v>38</v>
      </c>
      <c r="C70" s="7" t="s">
        <v>258</v>
      </c>
      <c r="D70" s="7" t="s">
        <v>15</v>
      </c>
      <c r="E70" s="7" t="s">
        <v>43</v>
      </c>
      <c r="F70" s="7" t="n">
        <v>1.125</v>
      </c>
      <c r="G70" s="7" t="s">
        <v>50</v>
      </c>
      <c r="H70" s="7" t="s">
        <v>128</v>
      </c>
      <c r="I70" s="7" t="s">
        <v>173</v>
      </c>
      <c r="J70" s="7" t="s">
        <v>259</v>
      </c>
      <c r="K70" s="7" t="s">
        <v>46</v>
      </c>
    </row>
    <row r="71" customFormat="false" ht="23.85" hidden="false" customHeight="false" outlineLevel="0" collapsed="false">
      <c r="A71" s="4" t="s">
        <v>260</v>
      </c>
      <c r="B71" s="4" t="s">
        <v>38</v>
      </c>
      <c r="C71" s="4" t="s">
        <v>261</v>
      </c>
      <c r="D71" s="4" t="s">
        <v>18</v>
      </c>
      <c r="E71" s="4" t="s">
        <v>43</v>
      </c>
      <c r="F71" s="4" t="n">
        <v>0.75</v>
      </c>
      <c r="G71" s="4" t="s">
        <v>50</v>
      </c>
      <c r="H71" s="4" t="s">
        <v>128</v>
      </c>
      <c r="I71" s="4" t="s">
        <v>173</v>
      </c>
      <c r="J71" s="4" t="s">
        <v>262</v>
      </c>
      <c r="K71" s="4" t="s">
        <v>46</v>
      </c>
    </row>
    <row r="72" customFormat="false" ht="23.85" hidden="false" customHeight="false" outlineLevel="0" collapsed="false">
      <c r="A72" s="7" t="s">
        <v>263</v>
      </c>
      <c r="B72" s="7" t="s">
        <v>38</v>
      </c>
      <c r="C72" s="7" t="s">
        <v>264</v>
      </c>
      <c r="D72" s="7" t="s">
        <v>15</v>
      </c>
      <c r="E72" s="7" t="s">
        <v>43</v>
      </c>
      <c r="F72" s="7" t="n">
        <v>1.125</v>
      </c>
      <c r="G72" s="7" t="s">
        <v>50</v>
      </c>
      <c r="H72" s="7" t="s">
        <v>128</v>
      </c>
      <c r="I72" s="7" t="s">
        <v>173</v>
      </c>
      <c r="J72" s="7" t="s">
        <v>265</v>
      </c>
      <c r="K72" s="7" t="s">
        <v>46</v>
      </c>
    </row>
    <row r="73" customFormat="false" ht="15" hidden="false" customHeight="false" outlineLevel="0" collapsed="false">
      <c r="A73" s="4" t="s">
        <v>266</v>
      </c>
      <c r="B73" s="4" t="s">
        <v>38</v>
      </c>
      <c r="C73" s="4" t="s">
        <v>267</v>
      </c>
      <c r="D73" s="4" t="s">
        <v>18</v>
      </c>
      <c r="E73" s="4" t="s">
        <v>43</v>
      </c>
      <c r="F73" s="4" t="n">
        <v>0.5</v>
      </c>
      <c r="G73" s="4" t="s">
        <v>50</v>
      </c>
      <c r="H73" s="4" t="s">
        <v>128</v>
      </c>
      <c r="I73" s="4" t="s">
        <v>173</v>
      </c>
      <c r="J73" s="4" t="s">
        <v>268</v>
      </c>
      <c r="K73" s="4" t="s">
        <v>46</v>
      </c>
    </row>
    <row r="74" customFormat="false" ht="23.85" hidden="false" customHeight="false" outlineLevel="0" collapsed="false">
      <c r="A74" s="7" t="s">
        <v>269</v>
      </c>
      <c r="B74" s="7" t="s">
        <v>38</v>
      </c>
      <c r="C74" s="7" t="s">
        <v>270</v>
      </c>
      <c r="D74" s="7" t="s">
        <v>18</v>
      </c>
      <c r="E74" s="7" t="s">
        <v>43</v>
      </c>
      <c r="F74" s="7" t="n">
        <v>1</v>
      </c>
      <c r="G74" s="7" t="s">
        <v>50</v>
      </c>
      <c r="H74" s="7" t="s">
        <v>44</v>
      </c>
      <c r="I74" s="7" t="s">
        <v>173</v>
      </c>
      <c r="J74" s="7" t="s">
        <v>271</v>
      </c>
      <c r="K74" s="7" t="s">
        <v>46</v>
      </c>
    </row>
    <row r="75" customFormat="false" ht="23.85" hidden="false" customHeight="false" outlineLevel="0" collapsed="false">
      <c r="A75" s="4" t="s">
        <v>272</v>
      </c>
      <c r="B75" s="4" t="s">
        <v>38</v>
      </c>
      <c r="C75" s="4" t="s">
        <v>273</v>
      </c>
      <c r="D75" s="4" t="s">
        <v>15</v>
      </c>
      <c r="E75" s="4" t="s">
        <v>43</v>
      </c>
      <c r="F75" s="4" t="n">
        <v>1</v>
      </c>
      <c r="G75" s="4" t="s">
        <v>50</v>
      </c>
      <c r="H75" s="4" t="s">
        <v>128</v>
      </c>
      <c r="I75" s="4" t="s">
        <v>173</v>
      </c>
      <c r="J75" s="4" t="s">
        <v>274</v>
      </c>
      <c r="K75" s="4" t="s">
        <v>46</v>
      </c>
    </row>
    <row r="76" customFormat="false" ht="15" hidden="false" customHeight="false" outlineLevel="0" collapsed="false">
      <c r="A76" s="7" t="s">
        <v>275</v>
      </c>
      <c r="B76" s="7" t="s">
        <v>38</v>
      </c>
      <c r="C76" s="7" t="s">
        <v>276</v>
      </c>
      <c r="D76" s="7" t="s">
        <v>15</v>
      </c>
      <c r="E76" s="7" t="s">
        <v>43</v>
      </c>
      <c r="F76" s="7" t="n">
        <v>0.5</v>
      </c>
      <c r="G76" s="7" t="s">
        <v>50</v>
      </c>
      <c r="H76" s="7" t="s">
        <v>128</v>
      </c>
      <c r="I76" s="7" t="s">
        <v>173</v>
      </c>
      <c r="J76" s="7" t="s">
        <v>277</v>
      </c>
      <c r="K76" s="7" t="s">
        <v>46</v>
      </c>
    </row>
    <row r="77" customFormat="false" ht="23.85" hidden="false" customHeight="false" outlineLevel="0" collapsed="false">
      <c r="A77" s="4" t="s">
        <v>278</v>
      </c>
      <c r="B77" s="4" t="s">
        <v>38</v>
      </c>
      <c r="C77" s="4" t="s">
        <v>279</v>
      </c>
      <c r="D77" s="4" t="s">
        <v>21</v>
      </c>
      <c r="E77" s="4" t="s">
        <v>183</v>
      </c>
      <c r="F77" s="4" t="n">
        <v>0.5</v>
      </c>
      <c r="G77" s="4" t="s">
        <v>50</v>
      </c>
      <c r="H77" s="4" t="s">
        <v>128</v>
      </c>
      <c r="I77" s="4" t="s">
        <v>173</v>
      </c>
      <c r="J77" s="4" t="s">
        <v>280</v>
      </c>
      <c r="K77" s="4" t="s">
        <v>46</v>
      </c>
    </row>
    <row r="78" customFormat="false" ht="15" hidden="false" customHeight="false" outlineLevel="0" collapsed="false">
      <c r="A78" s="7" t="s">
        <v>281</v>
      </c>
      <c r="B78" s="7" t="s">
        <v>38</v>
      </c>
      <c r="C78" s="7" t="s">
        <v>282</v>
      </c>
      <c r="D78" s="7" t="s">
        <v>15</v>
      </c>
      <c r="E78" s="7" t="s">
        <v>43</v>
      </c>
      <c r="F78" s="7" t="n">
        <v>0.75</v>
      </c>
      <c r="G78" s="7" t="s">
        <v>50</v>
      </c>
      <c r="H78" s="7" t="s">
        <v>44</v>
      </c>
      <c r="I78" s="7" t="s">
        <v>173</v>
      </c>
      <c r="J78" s="7" t="s">
        <v>283</v>
      </c>
      <c r="K78" s="7" t="s">
        <v>46</v>
      </c>
    </row>
    <row r="79" customFormat="false" ht="15" hidden="false" customHeight="false" outlineLevel="0" collapsed="false">
      <c r="A79" s="4" t="s">
        <v>284</v>
      </c>
      <c r="B79" s="4" t="s">
        <v>38</v>
      </c>
      <c r="C79" s="4" t="s">
        <v>285</v>
      </c>
      <c r="D79" s="4" t="s">
        <v>15</v>
      </c>
      <c r="E79" s="4" t="s">
        <v>43</v>
      </c>
      <c r="F79" s="4" t="n">
        <v>0.75</v>
      </c>
      <c r="G79" s="4" t="s">
        <v>50</v>
      </c>
      <c r="H79" s="4" t="s">
        <v>44</v>
      </c>
      <c r="I79" s="4" t="s">
        <v>173</v>
      </c>
      <c r="J79" s="4" t="s">
        <v>286</v>
      </c>
      <c r="K79" s="4" t="s">
        <v>46</v>
      </c>
    </row>
    <row r="80" customFormat="false" ht="15" hidden="false" customHeight="false" outlineLevel="0" collapsed="false">
      <c r="A80" s="7" t="s">
        <v>287</v>
      </c>
      <c r="B80" s="7" t="s">
        <v>38</v>
      </c>
      <c r="C80" s="7" t="s">
        <v>288</v>
      </c>
      <c r="D80" s="7" t="s">
        <v>15</v>
      </c>
      <c r="E80" s="7" t="s">
        <v>43</v>
      </c>
      <c r="F80" s="7" t="n">
        <v>0.75</v>
      </c>
      <c r="G80" s="7" t="s">
        <v>50</v>
      </c>
      <c r="H80" s="7" t="s">
        <v>128</v>
      </c>
      <c r="I80" s="7" t="s">
        <v>173</v>
      </c>
      <c r="J80" s="7" t="s">
        <v>289</v>
      </c>
      <c r="K80" s="7" t="s">
        <v>46</v>
      </c>
    </row>
    <row r="81" customFormat="false" ht="15" hidden="false" customHeight="false" outlineLevel="0" collapsed="false">
      <c r="A81" s="4" t="s">
        <v>290</v>
      </c>
      <c r="B81" s="4" t="s">
        <v>38</v>
      </c>
      <c r="C81" s="4" t="s">
        <v>291</v>
      </c>
      <c r="D81" s="4" t="s">
        <v>18</v>
      </c>
      <c r="E81" s="4" t="s">
        <v>43</v>
      </c>
      <c r="F81" s="4" t="n">
        <v>0.5</v>
      </c>
      <c r="G81" s="4" t="s">
        <v>50</v>
      </c>
      <c r="H81" s="4" t="s">
        <v>128</v>
      </c>
      <c r="I81" s="4" t="s">
        <v>173</v>
      </c>
      <c r="J81" s="4" t="s">
        <v>292</v>
      </c>
      <c r="K81" s="4" t="s">
        <v>46</v>
      </c>
    </row>
    <row r="82" customFormat="false" ht="23.85" hidden="false" customHeight="false" outlineLevel="0" collapsed="false">
      <c r="A82" s="7" t="s">
        <v>293</v>
      </c>
      <c r="B82" s="7" t="s">
        <v>38</v>
      </c>
      <c r="C82" s="7" t="s">
        <v>294</v>
      </c>
      <c r="D82" s="7" t="s">
        <v>18</v>
      </c>
      <c r="E82" s="7" t="s">
        <v>43</v>
      </c>
      <c r="F82" s="7" t="n">
        <v>0.75</v>
      </c>
      <c r="G82" s="7" t="s">
        <v>50</v>
      </c>
      <c r="H82" s="7" t="s">
        <v>128</v>
      </c>
      <c r="I82" s="7" t="s">
        <v>173</v>
      </c>
      <c r="J82" s="7" t="s">
        <v>295</v>
      </c>
      <c r="K82" s="7" t="s">
        <v>46</v>
      </c>
    </row>
    <row r="83" customFormat="false" ht="15" hidden="false" customHeight="false" outlineLevel="0" collapsed="false">
      <c r="A83" s="4" t="s">
        <v>296</v>
      </c>
      <c r="B83" s="4" t="s">
        <v>38</v>
      </c>
      <c r="C83" s="4" t="s">
        <v>297</v>
      </c>
      <c r="D83" s="4" t="s">
        <v>18</v>
      </c>
      <c r="E83" s="4" t="s">
        <v>43</v>
      </c>
      <c r="F83" s="4" t="n">
        <v>0.5</v>
      </c>
      <c r="G83" s="4" t="s">
        <v>50</v>
      </c>
      <c r="H83" s="4" t="s">
        <v>128</v>
      </c>
      <c r="I83" s="4" t="s">
        <v>173</v>
      </c>
      <c r="J83" s="4" t="s">
        <v>298</v>
      </c>
      <c r="K83" s="4" t="s">
        <v>46</v>
      </c>
    </row>
    <row r="84" customFormat="false" ht="15" hidden="false" customHeight="false" outlineLevel="0" collapsed="false">
      <c r="A84" s="7" t="s">
        <v>299</v>
      </c>
      <c r="B84" s="7" t="s">
        <v>38</v>
      </c>
      <c r="C84" s="7" t="s">
        <v>300</v>
      </c>
      <c r="D84" s="7" t="s">
        <v>18</v>
      </c>
      <c r="E84" s="7" t="s">
        <v>43</v>
      </c>
      <c r="F84" s="7" t="n">
        <v>0.75</v>
      </c>
      <c r="G84" s="7" t="s">
        <v>50</v>
      </c>
      <c r="H84" s="7" t="s">
        <v>128</v>
      </c>
      <c r="I84" s="7" t="s">
        <v>173</v>
      </c>
      <c r="J84" s="7" t="s">
        <v>301</v>
      </c>
      <c r="K84" s="7" t="s">
        <v>46</v>
      </c>
    </row>
    <row r="85" customFormat="false" ht="23.85" hidden="false" customHeight="false" outlineLevel="0" collapsed="false">
      <c r="A85" s="4" t="s">
        <v>302</v>
      </c>
      <c r="B85" s="4" t="s">
        <v>38</v>
      </c>
      <c r="C85" s="4" t="s">
        <v>303</v>
      </c>
      <c r="D85" s="4" t="s">
        <v>18</v>
      </c>
      <c r="E85" s="4" t="s">
        <v>43</v>
      </c>
      <c r="F85" s="4" t="n">
        <v>0.5</v>
      </c>
      <c r="G85" s="4" t="s">
        <v>50</v>
      </c>
      <c r="H85" s="4" t="s">
        <v>128</v>
      </c>
      <c r="I85" s="4" t="s">
        <v>173</v>
      </c>
      <c r="J85" s="4" t="s">
        <v>304</v>
      </c>
      <c r="K85" s="4" t="s">
        <v>46</v>
      </c>
    </row>
    <row r="86" customFormat="false" ht="23.85" hidden="false" customHeight="false" outlineLevel="0" collapsed="false">
      <c r="A86" s="7" t="s">
        <v>305</v>
      </c>
      <c r="B86" s="7" t="s">
        <v>38</v>
      </c>
      <c r="C86" s="7" t="s">
        <v>306</v>
      </c>
      <c r="D86" s="7" t="s">
        <v>18</v>
      </c>
      <c r="E86" s="7" t="s">
        <v>43</v>
      </c>
      <c r="F86" s="7" t="n">
        <v>0.75</v>
      </c>
      <c r="G86" s="7" t="s">
        <v>50</v>
      </c>
      <c r="H86" s="7" t="s">
        <v>44</v>
      </c>
      <c r="I86" s="7" t="s">
        <v>173</v>
      </c>
      <c r="J86" s="7" t="s">
        <v>307</v>
      </c>
      <c r="K86" s="7" t="s">
        <v>46</v>
      </c>
    </row>
    <row r="87" customFormat="false" ht="15" hidden="false" customHeight="false" outlineLevel="0" collapsed="false">
      <c r="A87" s="4" t="s">
        <v>308</v>
      </c>
      <c r="B87" s="4" t="s">
        <v>38</v>
      </c>
      <c r="C87" s="4" t="s">
        <v>309</v>
      </c>
      <c r="D87" s="4" t="s">
        <v>12</v>
      </c>
      <c r="E87" s="4" t="s">
        <v>43</v>
      </c>
      <c r="F87" s="4" t="n">
        <v>0.5</v>
      </c>
      <c r="G87" s="4" t="s">
        <v>50</v>
      </c>
      <c r="H87" s="4" t="s">
        <v>128</v>
      </c>
      <c r="I87" s="4" t="s">
        <v>129</v>
      </c>
      <c r="J87" s="4" t="s">
        <v>310</v>
      </c>
      <c r="K87" s="4" t="s">
        <v>46</v>
      </c>
    </row>
    <row r="88" customFormat="false" ht="23.85" hidden="false" customHeight="false" outlineLevel="0" collapsed="false">
      <c r="A88" s="7" t="s">
        <v>311</v>
      </c>
      <c r="B88" s="7" t="s">
        <v>38</v>
      </c>
      <c r="C88" s="7" t="s">
        <v>312</v>
      </c>
      <c r="D88" s="7" t="s">
        <v>15</v>
      </c>
      <c r="E88" s="7" t="s">
        <v>43</v>
      </c>
      <c r="F88" s="7" t="n">
        <v>0.75</v>
      </c>
      <c r="G88" s="7" t="s">
        <v>50</v>
      </c>
      <c r="H88" s="7" t="s">
        <v>128</v>
      </c>
      <c r="I88" s="7" t="s">
        <v>129</v>
      </c>
      <c r="J88" s="7" t="s">
        <v>313</v>
      </c>
      <c r="K88" s="7" t="s">
        <v>46</v>
      </c>
    </row>
    <row r="89" customFormat="false" ht="15" hidden="false" customHeight="false" outlineLevel="0" collapsed="false">
      <c r="A89" s="4" t="s">
        <v>314</v>
      </c>
      <c r="B89" s="4" t="s">
        <v>38</v>
      </c>
      <c r="C89" s="4" t="s">
        <v>315</v>
      </c>
      <c r="D89" s="4" t="s">
        <v>15</v>
      </c>
      <c r="E89" s="4" t="s">
        <v>43</v>
      </c>
      <c r="F89" s="4" t="n">
        <v>0.5</v>
      </c>
      <c r="G89" s="4" t="s">
        <v>50</v>
      </c>
      <c r="H89" s="4" t="s">
        <v>44</v>
      </c>
      <c r="I89" s="4" t="s">
        <v>129</v>
      </c>
      <c r="J89" s="4" t="s">
        <v>316</v>
      </c>
      <c r="K89" s="4" t="s">
        <v>46</v>
      </c>
    </row>
    <row r="90" customFormat="false" ht="15" hidden="false" customHeight="false" outlineLevel="0" collapsed="false">
      <c r="A90" s="7" t="s">
        <v>317</v>
      </c>
      <c r="B90" s="7" t="s">
        <v>38</v>
      </c>
      <c r="C90" s="7" t="s">
        <v>318</v>
      </c>
      <c r="D90" s="7" t="s">
        <v>15</v>
      </c>
      <c r="E90" s="7" t="s">
        <v>43</v>
      </c>
      <c r="F90" s="7" t="n">
        <v>0.75</v>
      </c>
      <c r="G90" s="7" t="s">
        <v>50</v>
      </c>
      <c r="H90" s="7" t="s">
        <v>128</v>
      </c>
      <c r="I90" s="7" t="s">
        <v>129</v>
      </c>
      <c r="J90" s="7" t="s">
        <v>319</v>
      </c>
      <c r="K90" s="7" t="s">
        <v>46</v>
      </c>
    </row>
    <row r="91" customFormat="false" ht="15" hidden="false" customHeight="false" outlineLevel="0" collapsed="false">
      <c r="A91" s="4" t="s">
        <v>320</v>
      </c>
      <c r="B91" s="4" t="s">
        <v>38</v>
      </c>
      <c r="C91" s="4" t="s">
        <v>321</v>
      </c>
      <c r="D91" s="4" t="s">
        <v>18</v>
      </c>
      <c r="E91" s="4" t="s">
        <v>43</v>
      </c>
      <c r="F91" s="4" t="n">
        <v>0.75</v>
      </c>
      <c r="G91" s="4" t="s">
        <v>50</v>
      </c>
      <c r="H91" s="4" t="s">
        <v>128</v>
      </c>
      <c r="I91" s="4" t="s">
        <v>129</v>
      </c>
      <c r="J91" s="4" t="s">
        <v>322</v>
      </c>
      <c r="K91" s="4" t="s">
        <v>46</v>
      </c>
    </row>
    <row r="92" customFormat="false" ht="23.85" hidden="false" customHeight="false" outlineLevel="0" collapsed="false">
      <c r="A92" s="7" t="s">
        <v>323</v>
      </c>
      <c r="B92" s="7" t="s">
        <v>38</v>
      </c>
      <c r="C92" s="7" t="s">
        <v>324</v>
      </c>
      <c r="D92" s="7" t="s">
        <v>15</v>
      </c>
      <c r="E92" s="7" t="s">
        <v>43</v>
      </c>
      <c r="F92" s="7" t="n">
        <v>0.75</v>
      </c>
      <c r="G92" s="7" t="s">
        <v>50</v>
      </c>
      <c r="H92" s="7" t="s">
        <v>128</v>
      </c>
      <c r="I92" s="7" t="s">
        <v>129</v>
      </c>
      <c r="J92" s="7" t="s">
        <v>325</v>
      </c>
      <c r="K92" s="7" t="s">
        <v>46</v>
      </c>
    </row>
    <row r="93" customFormat="false" ht="23.85" hidden="false" customHeight="false" outlineLevel="0" collapsed="false">
      <c r="A93" s="4" t="s">
        <v>326</v>
      </c>
      <c r="B93" s="4" t="s">
        <v>38</v>
      </c>
      <c r="C93" s="4" t="s">
        <v>327</v>
      </c>
      <c r="D93" s="4" t="s">
        <v>18</v>
      </c>
      <c r="E93" s="4" t="s">
        <v>43</v>
      </c>
      <c r="F93" s="4" t="n">
        <v>0.75</v>
      </c>
      <c r="G93" s="4" t="s">
        <v>50</v>
      </c>
      <c r="H93" s="4" t="s">
        <v>128</v>
      </c>
      <c r="I93" s="4" t="s">
        <v>328</v>
      </c>
      <c r="J93" s="4" t="s">
        <v>329</v>
      </c>
      <c r="K93" s="4" t="s">
        <v>46</v>
      </c>
    </row>
    <row r="94" customFormat="false" ht="23.85" hidden="false" customHeight="false" outlineLevel="0" collapsed="false">
      <c r="A94" s="7" t="s">
        <v>330</v>
      </c>
      <c r="B94" s="7" t="s">
        <v>38</v>
      </c>
      <c r="C94" s="7" t="s">
        <v>331</v>
      </c>
      <c r="D94" s="7" t="s">
        <v>18</v>
      </c>
      <c r="E94" s="7" t="s">
        <v>43</v>
      </c>
      <c r="F94" s="7" t="n">
        <v>0.75</v>
      </c>
      <c r="G94" s="7" t="s">
        <v>50</v>
      </c>
      <c r="H94" s="7" t="s">
        <v>128</v>
      </c>
      <c r="I94" s="7" t="s">
        <v>328</v>
      </c>
      <c r="J94" s="7" t="s">
        <v>332</v>
      </c>
      <c r="K94" s="7" t="s">
        <v>46</v>
      </c>
    </row>
    <row r="95" customFormat="false" ht="15" hidden="false" customHeight="false" outlineLevel="0" collapsed="false">
      <c r="A95" s="4" t="s">
        <v>333</v>
      </c>
      <c r="B95" s="4" t="s">
        <v>38</v>
      </c>
      <c r="C95" s="4" t="s">
        <v>334</v>
      </c>
      <c r="D95" s="4" t="s">
        <v>18</v>
      </c>
      <c r="E95" s="4" t="s">
        <v>43</v>
      </c>
      <c r="F95" s="4" t="n">
        <v>0.75</v>
      </c>
      <c r="G95" s="4" t="s">
        <v>50</v>
      </c>
      <c r="H95" s="4" t="s">
        <v>44</v>
      </c>
      <c r="I95" s="4" t="s">
        <v>328</v>
      </c>
      <c r="J95" s="4" t="s">
        <v>335</v>
      </c>
      <c r="K95" s="4" t="s">
        <v>46</v>
      </c>
    </row>
    <row r="96" customFormat="false" ht="23.85" hidden="false" customHeight="false" outlineLevel="0" collapsed="false">
      <c r="A96" s="7" t="s">
        <v>336</v>
      </c>
      <c r="B96" s="7" t="s">
        <v>38</v>
      </c>
      <c r="C96" s="7" t="s">
        <v>337</v>
      </c>
      <c r="D96" s="7" t="s">
        <v>18</v>
      </c>
      <c r="E96" s="7" t="s">
        <v>43</v>
      </c>
      <c r="F96" s="7" t="n">
        <v>0.5</v>
      </c>
      <c r="G96" s="7" t="s">
        <v>50</v>
      </c>
      <c r="H96" s="7" t="s">
        <v>128</v>
      </c>
      <c r="I96" s="7" t="s">
        <v>328</v>
      </c>
      <c r="J96" s="7" t="s">
        <v>338</v>
      </c>
      <c r="K96" s="7" t="s">
        <v>46</v>
      </c>
    </row>
    <row r="97" customFormat="false" ht="15" hidden="false" customHeight="false" outlineLevel="0" collapsed="false">
      <c r="A97" s="4" t="s">
        <v>339</v>
      </c>
      <c r="B97" s="4" t="s">
        <v>38</v>
      </c>
      <c r="C97" s="4" t="s">
        <v>340</v>
      </c>
      <c r="D97" s="4" t="s">
        <v>18</v>
      </c>
      <c r="E97" s="4" t="s">
        <v>43</v>
      </c>
      <c r="F97" s="4" t="n">
        <v>0.5</v>
      </c>
      <c r="G97" s="4" t="s">
        <v>50</v>
      </c>
      <c r="H97" s="4" t="s">
        <v>128</v>
      </c>
      <c r="I97" s="4" t="s">
        <v>328</v>
      </c>
      <c r="J97" s="4" t="s">
        <v>341</v>
      </c>
      <c r="K97" s="4" t="s">
        <v>46</v>
      </c>
    </row>
    <row r="98" customFormat="false" ht="15" hidden="false" customHeight="false" outlineLevel="0" collapsed="false">
      <c r="A98" s="7" t="s">
        <v>342</v>
      </c>
      <c r="B98" s="7" t="s">
        <v>38</v>
      </c>
      <c r="C98" s="7" t="s">
        <v>343</v>
      </c>
      <c r="D98" s="7" t="s">
        <v>18</v>
      </c>
      <c r="E98" s="7" t="s">
        <v>43</v>
      </c>
      <c r="F98" s="7" t="n">
        <v>0.75</v>
      </c>
      <c r="G98" s="7" t="s">
        <v>50</v>
      </c>
      <c r="H98" s="7" t="s">
        <v>128</v>
      </c>
      <c r="I98" s="7" t="s">
        <v>328</v>
      </c>
      <c r="J98" s="7" t="s">
        <v>344</v>
      </c>
      <c r="K98" s="7" t="s">
        <v>46</v>
      </c>
    </row>
    <row r="99" customFormat="false" ht="15" hidden="false" customHeight="false" outlineLevel="0" collapsed="false">
      <c r="A99" s="4" t="s">
        <v>345</v>
      </c>
      <c r="B99" s="4" t="s">
        <v>38</v>
      </c>
      <c r="C99" s="4" t="s">
        <v>346</v>
      </c>
      <c r="D99" s="4" t="s">
        <v>15</v>
      </c>
      <c r="E99" s="4" t="s">
        <v>43</v>
      </c>
      <c r="F99" s="4" t="n">
        <v>0.5</v>
      </c>
      <c r="G99" s="4" t="s">
        <v>50</v>
      </c>
      <c r="H99" s="4" t="s">
        <v>128</v>
      </c>
      <c r="I99" s="4" t="s">
        <v>328</v>
      </c>
      <c r="J99" s="4" t="s">
        <v>347</v>
      </c>
      <c r="K99" s="4" t="s">
        <v>46</v>
      </c>
    </row>
    <row r="100" customFormat="false" ht="23.85" hidden="false" customHeight="false" outlineLevel="0" collapsed="false">
      <c r="A100" s="7" t="s">
        <v>348</v>
      </c>
      <c r="B100" s="7" t="s">
        <v>38</v>
      </c>
      <c r="C100" s="7" t="s">
        <v>349</v>
      </c>
      <c r="D100" s="7" t="s">
        <v>18</v>
      </c>
      <c r="E100" s="7" t="s">
        <v>43</v>
      </c>
      <c r="F100" s="7" t="n">
        <v>1</v>
      </c>
      <c r="G100" s="7" t="s">
        <v>50</v>
      </c>
      <c r="H100" s="7" t="s">
        <v>128</v>
      </c>
      <c r="I100" s="7" t="s">
        <v>129</v>
      </c>
      <c r="J100" s="7" t="s">
        <v>350</v>
      </c>
      <c r="K100" s="7" t="s">
        <v>46</v>
      </c>
    </row>
    <row r="101" customFormat="false" ht="15" hidden="false" customHeight="false" outlineLevel="0" collapsed="false">
      <c r="A101" s="4" t="s">
        <v>351</v>
      </c>
      <c r="B101" s="4" t="s">
        <v>38</v>
      </c>
      <c r="C101" s="4" t="s">
        <v>352</v>
      </c>
      <c r="D101" s="4" t="s">
        <v>18</v>
      </c>
      <c r="E101" s="4" t="s">
        <v>43</v>
      </c>
      <c r="F101" s="4" t="n">
        <v>1</v>
      </c>
      <c r="G101" s="4" t="s">
        <v>50</v>
      </c>
      <c r="H101" s="4" t="s">
        <v>128</v>
      </c>
      <c r="I101" s="4" t="s">
        <v>129</v>
      </c>
      <c r="J101" s="4" t="s">
        <v>353</v>
      </c>
      <c r="K101" s="4" t="s">
        <v>46</v>
      </c>
    </row>
    <row r="102" customFormat="false" ht="23.85" hidden="false" customHeight="false" outlineLevel="0" collapsed="false">
      <c r="A102" s="7" t="s">
        <v>354</v>
      </c>
      <c r="B102" s="7" t="s">
        <v>38</v>
      </c>
      <c r="C102" s="7" t="s">
        <v>355</v>
      </c>
      <c r="D102" s="7" t="s">
        <v>18</v>
      </c>
      <c r="E102" s="7" t="s">
        <v>43</v>
      </c>
      <c r="F102" s="7" t="n">
        <v>1</v>
      </c>
      <c r="G102" s="7" t="s">
        <v>50</v>
      </c>
      <c r="H102" s="7" t="s">
        <v>128</v>
      </c>
      <c r="I102" s="7" t="s">
        <v>129</v>
      </c>
      <c r="J102" s="7" t="s">
        <v>356</v>
      </c>
      <c r="K102" s="7" t="s">
        <v>46</v>
      </c>
    </row>
    <row r="103" customFormat="false" ht="23.85" hidden="false" customHeight="false" outlineLevel="0" collapsed="false">
      <c r="A103" s="4" t="s">
        <v>357</v>
      </c>
      <c r="B103" s="4" t="s">
        <v>38</v>
      </c>
      <c r="C103" s="4" t="s">
        <v>358</v>
      </c>
      <c r="D103" s="4" t="s">
        <v>15</v>
      </c>
      <c r="E103" s="4" t="s">
        <v>43</v>
      </c>
      <c r="F103" s="4" t="n">
        <v>0.5</v>
      </c>
      <c r="G103" s="4" t="s">
        <v>50</v>
      </c>
      <c r="H103" s="4" t="s">
        <v>128</v>
      </c>
      <c r="I103" s="4" t="s">
        <v>129</v>
      </c>
      <c r="J103" s="4" t="s">
        <v>359</v>
      </c>
      <c r="K103" s="4" t="s">
        <v>46</v>
      </c>
    </row>
    <row r="104" customFormat="false" ht="15" hidden="false" customHeight="false" outlineLevel="0" collapsed="false">
      <c r="A104" s="7" t="s">
        <v>360</v>
      </c>
      <c r="B104" s="7" t="s">
        <v>38</v>
      </c>
      <c r="C104" s="7" t="s">
        <v>361</v>
      </c>
      <c r="D104" s="7" t="s">
        <v>18</v>
      </c>
      <c r="E104" s="7" t="s">
        <v>43</v>
      </c>
      <c r="F104" s="7" t="n">
        <v>0.5</v>
      </c>
      <c r="G104" s="7" t="s">
        <v>50</v>
      </c>
      <c r="H104" s="7" t="s">
        <v>128</v>
      </c>
      <c r="I104" s="7" t="s">
        <v>129</v>
      </c>
      <c r="J104" s="7" t="s">
        <v>362</v>
      </c>
      <c r="K104" s="7" t="s">
        <v>46</v>
      </c>
    </row>
    <row r="105" customFormat="false" ht="15" hidden="false" customHeight="false" outlineLevel="0" collapsed="false">
      <c r="A105" s="4" t="s">
        <v>363</v>
      </c>
      <c r="B105" s="4" t="s">
        <v>38</v>
      </c>
      <c r="C105" s="4" t="s">
        <v>364</v>
      </c>
      <c r="D105" s="4" t="s">
        <v>18</v>
      </c>
      <c r="E105" s="4" t="s">
        <v>43</v>
      </c>
      <c r="F105" s="4" t="n">
        <v>0.5</v>
      </c>
      <c r="G105" s="4" t="s">
        <v>50</v>
      </c>
      <c r="H105" s="4" t="s">
        <v>128</v>
      </c>
      <c r="I105" s="4" t="s">
        <v>129</v>
      </c>
      <c r="J105" s="4" t="s">
        <v>365</v>
      </c>
      <c r="K105" s="4" t="s">
        <v>46</v>
      </c>
    </row>
    <row r="106" customFormat="false" ht="23.85" hidden="false" customHeight="false" outlineLevel="0" collapsed="false">
      <c r="A106" s="7" t="s">
        <v>366</v>
      </c>
      <c r="B106" s="7" t="s">
        <v>38</v>
      </c>
      <c r="C106" s="7" t="s">
        <v>367</v>
      </c>
      <c r="D106" s="7" t="s">
        <v>18</v>
      </c>
      <c r="E106" s="7" t="s">
        <v>43</v>
      </c>
      <c r="F106" s="7" t="n">
        <v>0.5</v>
      </c>
      <c r="G106" s="7" t="s">
        <v>50</v>
      </c>
      <c r="H106" s="7" t="s">
        <v>128</v>
      </c>
      <c r="I106" s="7" t="s">
        <v>129</v>
      </c>
      <c r="J106" s="7" t="s">
        <v>368</v>
      </c>
      <c r="K106" s="7" t="s">
        <v>46</v>
      </c>
    </row>
    <row r="107" customFormat="false" ht="15" hidden="false" customHeight="false" outlineLevel="0" collapsed="false">
      <c r="A107" s="4" t="s">
        <v>369</v>
      </c>
      <c r="B107" s="4" t="s">
        <v>38</v>
      </c>
      <c r="C107" s="4" t="s">
        <v>370</v>
      </c>
      <c r="D107" s="4" t="s">
        <v>18</v>
      </c>
      <c r="E107" s="4" t="s">
        <v>43</v>
      </c>
      <c r="F107" s="4" t="n">
        <v>0.5</v>
      </c>
      <c r="G107" s="4" t="s">
        <v>50</v>
      </c>
      <c r="H107" s="4" t="s">
        <v>128</v>
      </c>
      <c r="I107" s="4" t="s">
        <v>129</v>
      </c>
      <c r="J107" s="4" t="s">
        <v>371</v>
      </c>
      <c r="K107" s="4" t="s">
        <v>46</v>
      </c>
    </row>
    <row r="108" customFormat="false" ht="15" hidden="false" customHeight="false" outlineLevel="0" collapsed="false">
      <c r="A108" s="7" t="s">
        <v>372</v>
      </c>
      <c r="B108" s="7" t="s">
        <v>38</v>
      </c>
      <c r="C108" s="7" t="s">
        <v>373</v>
      </c>
      <c r="D108" s="7" t="s">
        <v>18</v>
      </c>
      <c r="E108" s="7" t="s">
        <v>43</v>
      </c>
      <c r="F108" s="7" t="n">
        <v>1</v>
      </c>
      <c r="G108" s="7" t="s">
        <v>50</v>
      </c>
      <c r="H108" s="7" t="s">
        <v>128</v>
      </c>
      <c r="I108" s="7" t="s">
        <v>129</v>
      </c>
      <c r="J108" s="7" t="s">
        <v>374</v>
      </c>
      <c r="K108" s="7" t="s">
        <v>46</v>
      </c>
    </row>
    <row r="109" customFormat="false" ht="15" hidden="false" customHeight="false" outlineLevel="0" collapsed="false">
      <c r="A109" s="4" t="s">
        <v>375</v>
      </c>
      <c r="B109" s="4" t="s">
        <v>38</v>
      </c>
      <c r="C109" s="4" t="s">
        <v>376</v>
      </c>
      <c r="D109" s="4" t="s">
        <v>18</v>
      </c>
      <c r="E109" s="4" t="s">
        <v>43</v>
      </c>
      <c r="F109" s="4" t="n">
        <v>1</v>
      </c>
      <c r="G109" s="4" t="s">
        <v>50</v>
      </c>
      <c r="H109" s="4" t="s">
        <v>128</v>
      </c>
      <c r="I109" s="4" t="s">
        <v>129</v>
      </c>
      <c r="J109" s="4" t="s">
        <v>377</v>
      </c>
      <c r="K109" s="4" t="s">
        <v>46</v>
      </c>
    </row>
    <row r="110" customFormat="false" ht="15" hidden="false" customHeight="false" outlineLevel="0" collapsed="false">
      <c r="A110" s="7" t="s">
        <v>378</v>
      </c>
      <c r="B110" s="7" t="s">
        <v>38</v>
      </c>
      <c r="C110" s="7" t="s">
        <v>379</v>
      </c>
      <c r="D110" s="7" t="s">
        <v>18</v>
      </c>
      <c r="E110" s="7" t="s">
        <v>43</v>
      </c>
      <c r="F110" s="7" t="n">
        <v>0.5</v>
      </c>
      <c r="G110" s="7" t="s">
        <v>50</v>
      </c>
      <c r="H110" s="7" t="s">
        <v>128</v>
      </c>
      <c r="I110" s="7" t="s">
        <v>129</v>
      </c>
      <c r="J110" s="7" t="s">
        <v>380</v>
      </c>
      <c r="K110" s="7" t="s">
        <v>46</v>
      </c>
    </row>
    <row r="111" customFormat="false" ht="15" hidden="false" customHeight="false" outlineLevel="0" collapsed="false">
      <c r="A111" s="4" t="s">
        <v>381</v>
      </c>
      <c r="B111" s="4" t="s">
        <v>38</v>
      </c>
      <c r="C111" s="4" t="s">
        <v>382</v>
      </c>
      <c r="D111" s="4" t="s">
        <v>18</v>
      </c>
      <c r="E111" s="4" t="s">
        <v>43</v>
      </c>
      <c r="F111" s="4" t="n">
        <v>1</v>
      </c>
      <c r="G111" s="4" t="s">
        <v>50</v>
      </c>
      <c r="H111" s="4" t="s">
        <v>44</v>
      </c>
      <c r="I111" s="4" t="s">
        <v>129</v>
      </c>
      <c r="J111" s="4" t="s">
        <v>383</v>
      </c>
      <c r="K111" s="4" t="s">
        <v>46</v>
      </c>
    </row>
    <row r="112" customFormat="false" ht="15" hidden="false" customHeight="false" outlineLevel="0" collapsed="false">
      <c r="A112" s="7" t="s">
        <v>384</v>
      </c>
      <c r="B112" s="7" t="s">
        <v>38</v>
      </c>
      <c r="C112" s="7" t="s">
        <v>385</v>
      </c>
      <c r="D112" s="7" t="s">
        <v>18</v>
      </c>
      <c r="E112" s="7" t="s">
        <v>43</v>
      </c>
      <c r="F112" s="7" t="n">
        <v>1</v>
      </c>
      <c r="G112" s="7" t="s">
        <v>50</v>
      </c>
      <c r="H112" s="7" t="s">
        <v>128</v>
      </c>
      <c r="I112" s="7" t="s">
        <v>129</v>
      </c>
      <c r="J112" s="7" t="s">
        <v>386</v>
      </c>
      <c r="K112" s="7" t="s">
        <v>46</v>
      </c>
    </row>
    <row r="113" customFormat="false" ht="15" hidden="false" customHeight="false" outlineLevel="0" collapsed="false">
      <c r="A113" s="4" t="s">
        <v>387</v>
      </c>
      <c r="B113" s="4" t="s">
        <v>38</v>
      </c>
      <c r="C113" s="4" t="s">
        <v>388</v>
      </c>
      <c r="D113" s="4" t="s">
        <v>21</v>
      </c>
      <c r="E113" s="4" t="s">
        <v>183</v>
      </c>
      <c r="F113" s="4" t="n">
        <v>1</v>
      </c>
      <c r="G113" s="4" t="s">
        <v>50</v>
      </c>
      <c r="H113" s="4" t="s">
        <v>128</v>
      </c>
      <c r="I113" s="4" t="s">
        <v>129</v>
      </c>
      <c r="J113" s="4" t="s">
        <v>389</v>
      </c>
      <c r="K113" s="4" t="s">
        <v>46</v>
      </c>
    </row>
    <row r="114" customFormat="false" ht="15" hidden="false" customHeight="false" outlineLevel="0" collapsed="false">
      <c r="A114" s="7" t="s">
        <v>390</v>
      </c>
      <c r="B114" s="7" t="s">
        <v>38</v>
      </c>
      <c r="C114" s="7" t="s">
        <v>391</v>
      </c>
      <c r="D114" s="7" t="s">
        <v>21</v>
      </c>
      <c r="E114" s="7" t="s">
        <v>183</v>
      </c>
      <c r="F114" s="7" t="n">
        <v>1</v>
      </c>
      <c r="G114" s="7" t="s">
        <v>50</v>
      </c>
      <c r="H114" s="7" t="s">
        <v>128</v>
      </c>
      <c r="I114" s="7" t="s">
        <v>129</v>
      </c>
      <c r="J114" s="7" t="s">
        <v>392</v>
      </c>
      <c r="K114" s="7" t="s">
        <v>46</v>
      </c>
    </row>
    <row r="115" customFormat="false" ht="23.85" hidden="false" customHeight="false" outlineLevel="0" collapsed="false">
      <c r="A115" s="4" t="s">
        <v>393</v>
      </c>
      <c r="B115" s="4" t="s">
        <v>38</v>
      </c>
      <c r="C115" s="4" t="s">
        <v>394</v>
      </c>
      <c r="D115" s="4" t="s">
        <v>21</v>
      </c>
      <c r="E115" s="4" t="s">
        <v>183</v>
      </c>
      <c r="F115" s="4" t="n">
        <v>1</v>
      </c>
      <c r="G115" s="4" t="s">
        <v>50</v>
      </c>
      <c r="H115" s="4" t="s">
        <v>128</v>
      </c>
      <c r="I115" s="4" t="s">
        <v>129</v>
      </c>
      <c r="J115" s="4" t="s">
        <v>395</v>
      </c>
      <c r="K115" s="4" t="s">
        <v>46</v>
      </c>
    </row>
    <row r="116" customFormat="false" ht="23.85" hidden="false" customHeight="false" outlineLevel="0" collapsed="false">
      <c r="A116" s="7" t="s">
        <v>396</v>
      </c>
      <c r="B116" s="7" t="s">
        <v>38</v>
      </c>
      <c r="C116" s="7" t="s">
        <v>397</v>
      </c>
      <c r="D116" s="7" t="s">
        <v>21</v>
      </c>
      <c r="E116" s="7" t="s">
        <v>183</v>
      </c>
      <c r="F116" s="7" t="n">
        <v>1.125</v>
      </c>
      <c r="G116" s="7" t="s">
        <v>50</v>
      </c>
      <c r="H116" s="7" t="s">
        <v>128</v>
      </c>
      <c r="I116" s="7" t="s">
        <v>398</v>
      </c>
      <c r="J116" s="7" t="s">
        <v>399</v>
      </c>
      <c r="K116" s="7" t="s">
        <v>46</v>
      </c>
    </row>
    <row r="117" customFormat="false" ht="23.85" hidden="false" customHeight="false" outlineLevel="0" collapsed="false">
      <c r="A117" s="4" t="s">
        <v>400</v>
      </c>
      <c r="B117" s="4" t="s">
        <v>38</v>
      </c>
      <c r="C117" s="4" t="s">
        <v>401</v>
      </c>
      <c r="D117" s="4" t="s">
        <v>21</v>
      </c>
      <c r="E117" s="4" t="s">
        <v>183</v>
      </c>
      <c r="F117" s="4" t="n">
        <v>1.125</v>
      </c>
      <c r="G117" s="4" t="s">
        <v>50</v>
      </c>
      <c r="H117" s="4" t="s">
        <v>44</v>
      </c>
      <c r="I117" s="4" t="s">
        <v>398</v>
      </c>
      <c r="J117" s="4" t="s">
        <v>402</v>
      </c>
      <c r="K117" s="4" t="s">
        <v>46</v>
      </c>
    </row>
    <row r="118" customFormat="false" ht="23.85" hidden="false" customHeight="false" outlineLevel="0" collapsed="false">
      <c r="A118" s="7" t="s">
        <v>403</v>
      </c>
      <c r="B118" s="7" t="s">
        <v>38</v>
      </c>
      <c r="C118" s="7" t="s">
        <v>404</v>
      </c>
      <c r="D118" s="7" t="s">
        <v>21</v>
      </c>
      <c r="E118" s="7" t="s">
        <v>183</v>
      </c>
      <c r="F118" s="7" t="n">
        <v>1.125</v>
      </c>
      <c r="G118" s="7" t="s">
        <v>50</v>
      </c>
      <c r="H118" s="7" t="s">
        <v>44</v>
      </c>
      <c r="I118" s="7" t="s">
        <v>398</v>
      </c>
      <c r="J118" s="7" t="s">
        <v>405</v>
      </c>
      <c r="K118" s="7" t="s">
        <v>46</v>
      </c>
    </row>
    <row r="119" customFormat="false" ht="15" hidden="false" customHeight="false" outlineLevel="0" collapsed="false">
      <c r="A119" s="4" t="s">
        <v>406</v>
      </c>
      <c r="B119" s="4" t="s">
        <v>38</v>
      </c>
      <c r="C119" s="4" t="s">
        <v>407</v>
      </c>
      <c r="D119" s="4" t="s">
        <v>21</v>
      </c>
      <c r="E119" s="4" t="s">
        <v>183</v>
      </c>
      <c r="F119" s="4" t="n">
        <v>1.125</v>
      </c>
      <c r="G119" s="4" t="s">
        <v>50</v>
      </c>
      <c r="H119" s="4" t="s">
        <v>128</v>
      </c>
      <c r="I119" s="4" t="s">
        <v>398</v>
      </c>
      <c r="J119" s="4" t="s">
        <v>408</v>
      </c>
      <c r="K119" s="4" t="s">
        <v>46</v>
      </c>
    </row>
    <row r="120" customFormat="false" ht="15" hidden="false" customHeight="false" outlineLevel="0" collapsed="false">
      <c r="A120" s="7" t="s">
        <v>409</v>
      </c>
      <c r="B120" s="7" t="s">
        <v>38</v>
      </c>
      <c r="C120" s="7" t="s">
        <v>410</v>
      </c>
      <c r="D120" s="7" t="s">
        <v>21</v>
      </c>
      <c r="E120" s="7" t="s">
        <v>183</v>
      </c>
      <c r="F120" s="7" t="n">
        <v>0.75</v>
      </c>
      <c r="G120" s="7" t="s">
        <v>50</v>
      </c>
      <c r="H120" s="7" t="s">
        <v>128</v>
      </c>
      <c r="I120" s="7" t="s">
        <v>398</v>
      </c>
      <c r="J120" s="7" t="s">
        <v>411</v>
      </c>
      <c r="K120" s="7" t="s">
        <v>46</v>
      </c>
    </row>
    <row r="121" customFormat="false" ht="15" hidden="false" customHeight="false" outlineLevel="0" collapsed="false">
      <c r="A121" s="4" t="s">
        <v>412</v>
      </c>
      <c r="B121" s="4" t="s">
        <v>38</v>
      </c>
      <c r="C121" s="4" t="s">
        <v>413</v>
      </c>
      <c r="D121" s="4" t="s">
        <v>21</v>
      </c>
      <c r="E121" s="4" t="s">
        <v>183</v>
      </c>
      <c r="F121" s="4" t="n">
        <v>0.75</v>
      </c>
      <c r="G121" s="4" t="s">
        <v>50</v>
      </c>
      <c r="H121" s="4" t="s">
        <v>128</v>
      </c>
      <c r="I121" s="4" t="s">
        <v>398</v>
      </c>
      <c r="J121" s="4" t="s">
        <v>414</v>
      </c>
      <c r="K121" s="4" t="s">
        <v>46</v>
      </c>
    </row>
    <row r="122" customFormat="false" ht="15" hidden="false" customHeight="false" outlineLevel="0" collapsed="false">
      <c r="A122" s="7" t="s">
        <v>415</v>
      </c>
      <c r="B122" s="7" t="s">
        <v>38</v>
      </c>
      <c r="C122" s="7" t="s">
        <v>416</v>
      </c>
      <c r="D122" s="7" t="s">
        <v>24</v>
      </c>
      <c r="E122" s="7" t="s">
        <v>183</v>
      </c>
      <c r="F122" s="7" t="n">
        <v>0.75</v>
      </c>
      <c r="G122" s="7" t="s">
        <v>50</v>
      </c>
      <c r="H122" s="7" t="s">
        <v>128</v>
      </c>
      <c r="I122" s="7" t="s">
        <v>398</v>
      </c>
      <c r="J122" s="7" t="s">
        <v>417</v>
      </c>
      <c r="K122" s="7" t="s">
        <v>46</v>
      </c>
    </row>
    <row r="123" customFormat="false" ht="15" hidden="false" customHeight="false" outlineLevel="0" collapsed="false">
      <c r="A123" s="4" t="s">
        <v>418</v>
      </c>
      <c r="B123" s="4" t="s">
        <v>38</v>
      </c>
      <c r="C123" s="4" t="s">
        <v>419</v>
      </c>
      <c r="D123" s="4" t="s">
        <v>18</v>
      </c>
      <c r="E123" s="4" t="s">
        <v>43</v>
      </c>
      <c r="F123" s="4" t="n">
        <v>0.5</v>
      </c>
      <c r="G123" s="4" t="s">
        <v>50</v>
      </c>
      <c r="H123" s="4" t="s">
        <v>128</v>
      </c>
      <c r="I123" s="4" t="s">
        <v>398</v>
      </c>
      <c r="J123" s="4" t="s">
        <v>420</v>
      </c>
      <c r="K123" s="4" t="s">
        <v>46</v>
      </c>
    </row>
    <row r="124" customFormat="false" ht="15" hidden="false" customHeight="false" outlineLevel="0" collapsed="false">
      <c r="A124" s="7" t="s">
        <v>421</v>
      </c>
      <c r="B124" s="7" t="s">
        <v>38</v>
      </c>
      <c r="C124" s="7" t="s">
        <v>422</v>
      </c>
      <c r="D124" s="7" t="s">
        <v>18</v>
      </c>
      <c r="E124" s="7" t="s">
        <v>43</v>
      </c>
      <c r="F124" s="7" t="n">
        <v>1</v>
      </c>
      <c r="G124" s="7" t="s">
        <v>50</v>
      </c>
      <c r="H124" s="7" t="s">
        <v>44</v>
      </c>
      <c r="I124" s="7" t="s">
        <v>398</v>
      </c>
      <c r="J124" s="7" t="s">
        <v>423</v>
      </c>
      <c r="K124" s="7" t="s">
        <v>46</v>
      </c>
    </row>
    <row r="125" customFormat="false" ht="15" hidden="false" customHeight="false" outlineLevel="0" collapsed="false">
      <c r="A125" s="4" t="s">
        <v>424</v>
      </c>
      <c r="B125" s="4" t="s">
        <v>38</v>
      </c>
      <c r="C125" s="4" t="s">
        <v>425</v>
      </c>
      <c r="D125" s="4" t="s">
        <v>18</v>
      </c>
      <c r="E125" s="4" t="s">
        <v>43</v>
      </c>
      <c r="F125" s="4" t="n">
        <v>1</v>
      </c>
      <c r="G125" s="4" t="s">
        <v>50</v>
      </c>
      <c r="H125" s="4" t="s">
        <v>128</v>
      </c>
      <c r="I125" s="4" t="s">
        <v>398</v>
      </c>
      <c r="J125" s="4" t="s">
        <v>426</v>
      </c>
      <c r="K125" s="4" t="s">
        <v>46</v>
      </c>
    </row>
    <row r="126" customFormat="false" ht="15" hidden="false" customHeight="false" outlineLevel="0" collapsed="false">
      <c r="A126" s="7" t="s">
        <v>427</v>
      </c>
      <c r="B126" s="7" t="s">
        <v>38</v>
      </c>
      <c r="C126" s="7" t="s">
        <v>428</v>
      </c>
      <c r="D126" s="7" t="s">
        <v>18</v>
      </c>
      <c r="E126" s="7" t="s">
        <v>43</v>
      </c>
      <c r="F126" s="7" t="n">
        <v>0.5</v>
      </c>
      <c r="G126" s="7" t="s">
        <v>50</v>
      </c>
      <c r="H126" s="7" t="s">
        <v>128</v>
      </c>
      <c r="I126" s="7" t="s">
        <v>398</v>
      </c>
      <c r="J126" s="7" t="s">
        <v>429</v>
      </c>
      <c r="K126" s="7" t="s">
        <v>46</v>
      </c>
    </row>
    <row r="127" customFormat="false" ht="23.85" hidden="false" customHeight="false" outlineLevel="0" collapsed="false">
      <c r="A127" s="4" t="s">
        <v>430</v>
      </c>
      <c r="B127" s="4" t="s">
        <v>38</v>
      </c>
      <c r="C127" s="4" t="s">
        <v>431</v>
      </c>
      <c r="D127" s="4" t="s">
        <v>21</v>
      </c>
      <c r="E127" s="4" t="s">
        <v>183</v>
      </c>
      <c r="F127" s="4" t="n">
        <v>0.5</v>
      </c>
      <c r="G127" s="4" t="s">
        <v>50</v>
      </c>
      <c r="H127" s="4" t="s">
        <v>128</v>
      </c>
      <c r="I127" s="4" t="s">
        <v>398</v>
      </c>
      <c r="J127" s="4" t="s">
        <v>432</v>
      </c>
      <c r="K127" s="4" t="s">
        <v>46</v>
      </c>
    </row>
    <row r="128" customFormat="false" ht="15" hidden="false" customHeight="false" outlineLevel="0" collapsed="false">
      <c r="A128" s="7" t="s">
        <v>433</v>
      </c>
      <c r="B128" s="7" t="s">
        <v>38</v>
      </c>
      <c r="C128" s="7" t="s">
        <v>434</v>
      </c>
      <c r="D128" s="7" t="s">
        <v>21</v>
      </c>
      <c r="E128" s="7" t="s">
        <v>183</v>
      </c>
      <c r="F128" s="7" t="n">
        <v>1</v>
      </c>
      <c r="G128" s="7" t="s">
        <v>50</v>
      </c>
      <c r="H128" s="7" t="s">
        <v>44</v>
      </c>
      <c r="I128" s="7" t="s">
        <v>398</v>
      </c>
      <c r="J128" s="7" t="s">
        <v>435</v>
      </c>
      <c r="K128" s="7" t="s">
        <v>46</v>
      </c>
    </row>
    <row r="129" customFormat="false" ht="15" hidden="false" customHeight="false" outlineLevel="0" collapsed="false">
      <c r="A129" s="4" t="s">
        <v>436</v>
      </c>
      <c r="B129" s="4" t="s">
        <v>38</v>
      </c>
      <c r="C129" s="4" t="s">
        <v>437</v>
      </c>
      <c r="D129" s="4" t="s">
        <v>21</v>
      </c>
      <c r="E129" s="4" t="s">
        <v>183</v>
      </c>
      <c r="F129" s="4" t="n">
        <v>0.75</v>
      </c>
      <c r="G129" s="4" t="s">
        <v>50</v>
      </c>
      <c r="H129" s="4" t="s">
        <v>44</v>
      </c>
      <c r="I129" s="4" t="s">
        <v>398</v>
      </c>
      <c r="J129" s="4" t="s">
        <v>438</v>
      </c>
      <c r="K129" s="4" t="s">
        <v>46</v>
      </c>
    </row>
    <row r="130" customFormat="false" ht="15" hidden="false" customHeight="false" outlineLevel="0" collapsed="false">
      <c r="A130" s="7" t="s">
        <v>439</v>
      </c>
      <c r="B130" s="7" t="s">
        <v>38</v>
      </c>
      <c r="C130" s="7" t="s">
        <v>440</v>
      </c>
      <c r="D130" s="7" t="s">
        <v>21</v>
      </c>
      <c r="E130" s="7" t="s">
        <v>183</v>
      </c>
      <c r="F130" s="7" t="n">
        <v>0.5</v>
      </c>
      <c r="G130" s="7" t="s">
        <v>50</v>
      </c>
      <c r="H130" s="7" t="s">
        <v>128</v>
      </c>
      <c r="I130" s="7" t="s">
        <v>398</v>
      </c>
      <c r="J130" s="7" t="s">
        <v>441</v>
      </c>
      <c r="K130" s="7" t="s">
        <v>46</v>
      </c>
    </row>
    <row r="131" customFormat="false" ht="23.85" hidden="false" customHeight="false" outlineLevel="0" collapsed="false">
      <c r="A131" s="4" t="s">
        <v>442</v>
      </c>
      <c r="B131" s="4" t="s">
        <v>38</v>
      </c>
      <c r="C131" s="4" t="s">
        <v>443</v>
      </c>
      <c r="D131" s="4" t="s">
        <v>18</v>
      </c>
      <c r="E131" s="4" t="s">
        <v>43</v>
      </c>
      <c r="F131" s="4" t="n">
        <v>0.5</v>
      </c>
      <c r="G131" s="4" t="s">
        <v>50</v>
      </c>
      <c r="H131" s="4" t="s">
        <v>128</v>
      </c>
      <c r="I131" s="4" t="s">
        <v>398</v>
      </c>
      <c r="J131" s="4" t="s">
        <v>444</v>
      </c>
      <c r="K131" s="4" t="s">
        <v>46</v>
      </c>
    </row>
    <row r="132" customFormat="false" ht="23.85" hidden="false" customHeight="false" outlineLevel="0" collapsed="false">
      <c r="A132" s="7" t="s">
        <v>445</v>
      </c>
      <c r="B132" s="7" t="s">
        <v>38</v>
      </c>
      <c r="C132" s="7" t="s">
        <v>446</v>
      </c>
      <c r="D132" s="7" t="s">
        <v>21</v>
      </c>
      <c r="E132" s="7" t="s">
        <v>183</v>
      </c>
      <c r="F132" s="7" t="n">
        <v>0.5</v>
      </c>
      <c r="G132" s="7" t="s">
        <v>50</v>
      </c>
      <c r="H132" s="7" t="s">
        <v>128</v>
      </c>
      <c r="I132" s="7" t="s">
        <v>398</v>
      </c>
      <c r="J132" s="7" t="s">
        <v>447</v>
      </c>
      <c r="K132" s="7" t="s">
        <v>46</v>
      </c>
    </row>
    <row r="133" customFormat="false" ht="23.85" hidden="false" customHeight="false" outlineLevel="0" collapsed="false">
      <c r="A133" s="4" t="s">
        <v>448</v>
      </c>
      <c r="B133" s="4" t="s">
        <v>38</v>
      </c>
      <c r="C133" s="4" t="s">
        <v>449</v>
      </c>
      <c r="D133" s="4" t="s">
        <v>21</v>
      </c>
      <c r="E133" s="4" t="s">
        <v>183</v>
      </c>
      <c r="F133" s="4" t="n">
        <v>0.5</v>
      </c>
      <c r="G133" s="4" t="s">
        <v>50</v>
      </c>
      <c r="H133" s="4" t="s">
        <v>128</v>
      </c>
      <c r="I133" s="4" t="s">
        <v>398</v>
      </c>
      <c r="J133" s="4" t="s">
        <v>450</v>
      </c>
      <c r="K133" s="4" t="s">
        <v>46</v>
      </c>
    </row>
    <row r="134" customFormat="false" ht="15" hidden="false" customHeight="false" outlineLevel="0" collapsed="false">
      <c r="A134" s="7" t="s">
        <v>451</v>
      </c>
      <c r="B134" s="7" t="s">
        <v>38</v>
      </c>
      <c r="C134" s="7" t="s">
        <v>452</v>
      </c>
      <c r="D134" s="7" t="s">
        <v>21</v>
      </c>
      <c r="E134" s="7" t="s">
        <v>183</v>
      </c>
      <c r="F134" s="7" t="n">
        <v>0.5</v>
      </c>
      <c r="G134" s="7" t="s">
        <v>50</v>
      </c>
      <c r="H134" s="7" t="s">
        <v>128</v>
      </c>
      <c r="I134" s="7" t="s">
        <v>398</v>
      </c>
      <c r="J134" s="7" t="s">
        <v>453</v>
      </c>
      <c r="K134" s="7" t="s">
        <v>46</v>
      </c>
    </row>
    <row r="135" customFormat="false" ht="23.85" hidden="false" customHeight="false" outlineLevel="0" collapsed="false">
      <c r="A135" s="4" t="s">
        <v>454</v>
      </c>
      <c r="B135" s="4" t="s">
        <v>38</v>
      </c>
      <c r="C135" s="4" t="s">
        <v>455</v>
      </c>
      <c r="D135" s="4" t="s">
        <v>21</v>
      </c>
      <c r="E135" s="4" t="s">
        <v>183</v>
      </c>
      <c r="F135" s="4" t="n">
        <v>1</v>
      </c>
      <c r="G135" s="4" t="s">
        <v>50</v>
      </c>
      <c r="H135" s="4" t="s">
        <v>44</v>
      </c>
      <c r="I135" s="4" t="s">
        <v>398</v>
      </c>
      <c r="J135" s="4" t="s">
        <v>456</v>
      </c>
      <c r="K135" s="4" t="s">
        <v>46</v>
      </c>
    </row>
    <row r="136" customFormat="false" ht="15" hidden="false" customHeight="false" outlineLevel="0" collapsed="false">
      <c r="A136" s="7" t="s">
        <v>457</v>
      </c>
      <c r="B136" s="7" t="s">
        <v>38</v>
      </c>
      <c r="C136" s="7" t="s">
        <v>458</v>
      </c>
      <c r="D136" s="7" t="s">
        <v>21</v>
      </c>
      <c r="E136" s="7" t="s">
        <v>183</v>
      </c>
      <c r="F136" s="7" t="n">
        <v>0.75</v>
      </c>
      <c r="G136" s="7" t="s">
        <v>50</v>
      </c>
      <c r="H136" s="7" t="s">
        <v>128</v>
      </c>
      <c r="I136" s="7" t="s">
        <v>398</v>
      </c>
      <c r="J136" s="7" t="s">
        <v>459</v>
      </c>
      <c r="K136" s="7" t="s">
        <v>46</v>
      </c>
    </row>
    <row r="137" customFormat="false" ht="23.85" hidden="false" customHeight="false" outlineLevel="0" collapsed="false">
      <c r="A137" s="4" t="s">
        <v>460</v>
      </c>
      <c r="B137" s="4" t="s">
        <v>38</v>
      </c>
      <c r="C137" s="4" t="s">
        <v>461</v>
      </c>
      <c r="D137" s="4" t="s">
        <v>21</v>
      </c>
      <c r="E137" s="4" t="s">
        <v>183</v>
      </c>
      <c r="F137" s="4" t="n">
        <v>0.5</v>
      </c>
      <c r="G137" s="4" t="s">
        <v>50</v>
      </c>
      <c r="H137" s="4" t="s">
        <v>128</v>
      </c>
      <c r="I137" s="4" t="s">
        <v>398</v>
      </c>
      <c r="J137" s="4" t="s">
        <v>462</v>
      </c>
      <c r="K137" s="4" t="s">
        <v>46</v>
      </c>
    </row>
    <row r="138" customFormat="false" ht="15" hidden="false" customHeight="false" outlineLevel="0" collapsed="false">
      <c r="A138" s="7" t="s">
        <v>463</v>
      </c>
      <c r="B138" s="7" t="s">
        <v>38</v>
      </c>
      <c r="C138" s="7" t="s">
        <v>464</v>
      </c>
      <c r="D138" s="7" t="s">
        <v>27</v>
      </c>
      <c r="E138" s="7" t="s">
        <v>183</v>
      </c>
      <c r="F138" s="7" t="n">
        <v>0.5</v>
      </c>
      <c r="G138" s="7" t="s">
        <v>50</v>
      </c>
      <c r="H138" s="7" t="s">
        <v>128</v>
      </c>
      <c r="I138" s="7" t="s">
        <v>398</v>
      </c>
      <c r="J138" s="7" t="s">
        <v>465</v>
      </c>
      <c r="K138" s="7" t="s">
        <v>46</v>
      </c>
    </row>
    <row r="139" customFormat="false" ht="15" hidden="false" customHeight="false" outlineLevel="0" collapsed="false">
      <c r="A139" s="4" t="s">
        <v>466</v>
      </c>
      <c r="B139" s="4" t="s">
        <v>38</v>
      </c>
      <c r="C139" s="4" t="s">
        <v>467</v>
      </c>
      <c r="D139" s="4" t="s">
        <v>27</v>
      </c>
      <c r="E139" s="4" t="s">
        <v>183</v>
      </c>
      <c r="F139" s="4" t="n">
        <v>0.5</v>
      </c>
      <c r="G139" s="4" t="s">
        <v>50</v>
      </c>
      <c r="H139" s="4" t="s">
        <v>128</v>
      </c>
      <c r="I139" s="4" t="s">
        <v>398</v>
      </c>
      <c r="J139" s="4" t="s">
        <v>468</v>
      </c>
      <c r="K139" s="4" t="s">
        <v>46</v>
      </c>
    </row>
    <row r="140" customFormat="false" ht="15" hidden="false" customHeight="false" outlineLevel="0" collapsed="false">
      <c r="A140" s="7" t="s">
        <v>469</v>
      </c>
      <c r="B140" s="7" t="s">
        <v>38</v>
      </c>
      <c r="C140" s="7" t="s">
        <v>470</v>
      </c>
      <c r="D140" s="7" t="s">
        <v>27</v>
      </c>
      <c r="E140" s="7" t="s">
        <v>183</v>
      </c>
      <c r="F140" s="7" t="n">
        <v>0.5</v>
      </c>
      <c r="G140" s="7" t="s">
        <v>50</v>
      </c>
      <c r="H140" s="7" t="s">
        <v>128</v>
      </c>
      <c r="I140" s="7" t="s">
        <v>398</v>
      </c>
      <c r="J140" s="7" t="s">
        <v>471</v>
      </c>
      <c r="K140" s="7" t="s">
        <v>46</v>
      </c>
    </row>
    <row r="141" customFormat="false" ht="15" hidden="false" customHeight="false" outlineLevel="0" collapsed="false">
      <c r="A141" s="4" t="s">
        <v>472</v>
      </c>
      <c r="B141" s="4" t="s">
        <v>38</v>
      </c>
      <c r="C141" s="4" t="s">
        <v>473</v>
      </c>
      <c r="D141" s="4" t="s">
        <v>18</v>
      </c>
      <c r="E141" s="4" t="s">
        <v>43</v>
      </c>
      <c r="F141" s="4" t="n">
        <v>1</v>
      </c>
      <c r="G141" s="4" t="s">
        <v>50</v>
      </c>
      <c r="H141" s="4" t="s">
        <v>128</v>
      </c>
      <c r="I141" s="4" t="s">
        <v>398</v>
      </c>
      <c r="J141" s="4" t="s">
        <v>474</v>
      </c>
      <c r="K141" s="4" t="s">
        <v>46</v>
      </c>
    </row>
    <row r="142" customFormat="false" ht="15" hidden="false" customHeight="false" outlineLevel="0" collapsed="false">
      <c r="A142" s="7" t="s">
        <v>475</v>
      </c>
      <c r="B142" s="7" t="s">
        <v>38</v>
      </c>
      <c r="C142" s="7" t="s">
        <v>476</v>
      </c>
      <c r="D142" s="7" t="s">
        <v>18</v>
      </c>
      <c r="E142" s="7" t="s">
        <v>43</v>
      </c>
      <c r="F142" s="7" t="n">
        <v>0.75</v>
      </c>
      <c r="G142" s="7" t="s">
        <v>50</v>
      </c>
      <c r="H142" s="7" t="s">
        <v>128</v>
      </c>
      <c r="I142" s="7" t="s">
        <v>398</v>
      </c>
      <c r="J142" s="7" t="s">
        <v>477</v>
      </c>
      <c r="K142" s="7" t="s">
        <v>46</v>
      </c>
    </row>
    <row r="143" customFormat="false" ht="15" hidden="false" customHeight="false" outlineLevel="0" collapsed="false">
      <c r="A143" s="4" t="s">
        <v>478</v>
      </c>
      <c r="B143" s="4" t="s">
        <v>38</v>
      </c>
      <c r="C143" s="4" t="s">
        <v>479</v>
      </c>
      <c r="D143" s="4" t="s">
        <v>18</v>
      </c>
      <c r="E143" s="4" t="s">
        <v>43</v>
      </c>
      <c r="F143" s="4" t="n">
        <v>0.75</v>
      </c>
      <c r="G143" s="4" t="s">
        <v>50</v>
      </c>
      <c r="H143" s="4" t="s">
        <v>44</v>
      </c>
      <c r="I143" s="4" t="s">
        <v>398</v>
      </c>
      <c r="J143" s="4" t="s">
        <v>480</v>
      </c>
      <c r="K143" s="4" t="s">
        <v>46</v>
      </c>
    </row>
    <row r="144" customFormat="false" ht="15" hidden="false" customHeight="false" outlineLevel="0" collapsed="false">
      <c r="A144" s="7" t="s">
        <v>481</v>
      </c>
      <c r="B144" s="7" t="s">
        <v>38</v>
      </c>
      <c r="C144" s="7" t="s">
        <v>482</v>
      </c>
      <c r="D144" s="7" t="s">
        <v>24</v>
      </c>
      <c r="E144" s="7" t="s">
        <v>183</v>
      </c>
      <c r="F144" s="7" t="n">
        <v>0.5</v>
      </c>
      <c r="G144" s="7" t="s">
        <v>50</v>
      </c>
      <c r="H144" s="7" t="s">
        <v>128</v>
      </c>
      <c r="I144" s="7" t="s">
        <v>483</v>
      </c>
      <c r="J144" s="7" t="s">
        <v>484</v>
      </c>
      <c r="K144" s="7" t="s">
        <v>46</v>
      </c>
    </row>
    <row r="145" customFormat="false" ht="15" hidden="false" customHeight="false" outlineLevel="0" collapsed="false">
      <c r="A145" s="4" t="s">
        <v>485</v>
      </c>
      <c r="B145" s="4" t="s">
        <v>38</v>
      </c>
      <c r="C145" s="4" t="s">
        <v>486</v>
      </c>
      <c r="D145" s="4" t="s">
        <v>24</v>
      </c>
      <c r="E145" s="4" t="s">
        <v>183</v>
      </c>
      <c r="F145" s="4" t="n">
        <v>0.75</v>
      </c>
      <c r="G145" s="4" t="s">
        <v>50</v>
      </c>
      <c r="H145" s="4" t="s">
        <v>128</v>
      </c>
      <c r="I145" s="4" t="s">
        <v>483</v>
      </c>
      <c r="J145" s="4" t="s">
        <v>487</v>
      </c>
      <c r="K145" s="4" t="s">
        <v>46</v>
      </c>
    </row>
    <row r="146" customFormat="false" ht="23.85" hidden="false" customHeight="false" outlineLevel="0" collapsed="false">
      <c r="A146" s="7" t="s">
        <v>488</v>
      </c>
      <c r="B146" s="7" t="s">
        <v>38</v>
      </c>
      <c r="C146" s="7" t="s">
        <v>489</v>
      </c>
      <c r="D146" s="7" t="s">
        <v>24</v>
      </c>
      <c r="E146" s="7" t="s">
        <v>183</v>
      </c>
      <c r="F146" s="7" t="n">
        <v>0.75</v>
      </c>
      <c r="G146" s="7" t="s">
        <v>50</v>
      </c>
      <c r="H146" s="7" t="s">
        <v>128</v>
      </c>
      <c r="I146" s="7" t="s">
        <v>483</v>
      </c>
      <c r="J146" s="7" t="s">
        <v>490</v>
      </c>
      <c r="K146" s="7" t="s">
        <v>46</v>
      </c>
    </row>
    <row r="147" customFormat="false" ht="15" hidden="false" customHeight="false" outlineLevel="0" collapsed="false">
      <c r="A147" s="4" t="s">
        <v>491</v>
      </c>
      <c r="B147" s="4" t="s">
        <v>38</v>
      </c>
      <c r="C147" s="4" t="s">
        <v>492</v>
      </c>
      <c r="D147" s="4" t="s">
        <v>24</v>
      </c>
      <c r="E147" s="4" t="s">
        <v>183</v>
      </c>
      <c r="F147" s="4" t="n">
        <v>1</v>
      </c>
      <c r="G147" s="4" t="s">
        <v>50</v>
      </c>
      <c r="H147" s="4" t="s">
        <v>44</v>
      </c>
      <c r="I147" s="4" t="s">
        <v>483</v>
      </c>
      <c r="J147" s="4" t="s">
        <v>493</v>
      </c>
      <c r="K147" s="4" t="s">
        <v>46</v>
      </c>
    </row>
    <row r="148" customFormat="false" ht="15" hidden="false" customHeight="false" outlineLevel="0" collapsed="false">
      <c r="A148" s="7" t="s">
        <v>494</v>
      </c>
      <c r="B148" s="7" t="s">
        <v>38</v>
      </c>
      <c r="C148" s="7" t="s">
        <v>495</v>
      </c>
      <c r="D148" s="7" t="s">
        <v>15</v>
      </c>
      <c r="E148" s="7" t="s">
        <v>43</v>
      </c>
      <c r="F148" s="7" t="n">
        <v>0.5</v>
      </c>
      <c r="G148" s="7" t="s">
        <v>50</v>
      </c>
      <c r="H148" s="7" t="s">
        <v>128</v>
      </c>
      <c r="I148" s="7" t="s">
        <v>483</v>
      </c>
      <c r="J148" s="7" t="s">
        <v>496</v>
      </c>
      <c r="K148" s="7" t="s">
        <v>46</v>
      </c>
    </row>
    <row r="149" customFormat="false" ht="15" hidden="false" customHeight="false" outlineLevel="0" collapsed="false">
      <c r="A149" s="4" t="s">
        <v>497</v>
      </c>
      <c r="B149" s="4" t="s">
        <v>38</v>
      </c>
      <c r="C149" s="4" t="s">
        <v>498</v>
      </c>
      <c r="D149" s="4" t="s">
        <v>24</v>
      </c>
      <c r="E149" s="4" t="s">
        <v>183</v>
      </c>
      <c r="F149" s="4" t="n">
        <v>0.75</v>
      </c>
      <c r="G149" s="4" t="s">
        <v>50</v>
      </c>
      <c r="H149" s="4" t="s">
        <v>128</v>
      </c>
      <c r="I149" s="4" t="s">
        <v>483</v>
      </c>
      <c r="J149" s="4" t="s">
        <v>499</v>
      </c>
      <c r="K149" s="4" t="s">
        <v>46</v>
      </c>
    </row>
    <row r="150" customFormat="false" ht="15" hidden="false" customHeight="false" outlineLevel="0" collapsed="false">
      <c r="A150" s="7" t="s">
        <v>500</v>
      </c>
      <c r="B150" s="7" t="s">
        <v>38</v>
      </c>
      <c r="C150" s="7" t="s">
        <v>501</v>
      </c>
      <c r="D150" s="7" t="s">
        <v>24</v>
      </c>
      <c r="E150" s="7" t="s">
        <v>183</v>
      </c>
      <c r="F150" s="7" t="n">
        <v>0.5</v>
      </c>
      <c r="G150" s="7" t="s">
        <v>50</v>
      </c>
      <c r="H150" s="7" t="s">
        <v>128</v>
      </c>
      <c r="I150" s="7" t="s">
        <v>483</v>
      </c>
      <c r="J150" s="7" t="s">
        <v>502</v>
      </c>
      <c r="K150" s="7" t="s">
        <v>46</v>
      </c>
    </row>
    <row r="151" customFormat="false" ht="15" hidden="false" customHeight="false" outlineLevel="0" collapsed="false">
      <c r="A151" s="4" t="s">
        <v>503</v>
      </c>
      <c r="B151" s="4" t="s">
        <v>38</v>
      </c>
      <c r="C151" s="4" t="s">
        <v>504</v>
      </c>
      <c r="D151" s="4" t="s">
        <v>18</v>
      </c>
      <c r="E151" s="4" t="s">
        <v>43</v>
      </c>
      <c r="F151" s="4" t="n">
        <v>0.5</v>
      </c>
      <c r="G151" s="4" t="s">
        <v>50</v>
      </c>
      <c r="H151" s="4" t="s">
        <v>128</v>
      </c>
      <c r="I151" s="4" t="s">
        <v>483</v>
      </c>
      <c r="J151" s="4" t="s">
        <v>505</v>
      </c>
      <c r="K151" s="4" t="s">
        <v>46</v>
      </c>
    </row>
    <row r="152" customFormat="false" ht="23.85" hidden="false" customHeight="false" outlineLevel="0" collapsed="false">
      <c r="A152" s="7" t="s">
        <v>506</v>
      </c>
      <c r="B152" s="7" t="s">
        <v>38</v>
      </c>
      <c r="C152" s="7" t="s">
        <v>507</v>
      </c>
      <c r="D152" s="7" t="s">
        <v>15</v>
      </c>
      <c r="E152" s="7" t="s">
        <v>43</v>
      </c>
      <c r="F152" s="7" t="n">
        <v>0.5</v>
      </c>
      <c r="G152" s="7" t="s">
        <v>50</v>
      </c>
      <c r="H152" s="7" t="s">
        <v>128</v>
      </c>
      <c r="I152" s="7" t="s">
        <v>483</v>
      </c>
      <c r="J152" s="7" t="s">
        <v>508</v>
      </c>
      <c r="K152" s="7" t="s">
        <v>46</v>
      </c>
    </row>
    <row r="153" customFormat="false" ht="15" hidden="false" customHeight="false" outlineLevel="0" collapsed="false">
      <c r="A153" s="4" t="s">
        <v>509</v>
      </c>
      <c r="B153" s="4" t="s">
        <v>38</v>
      </c>
      <c r="C153" s="4" t="s">
        <v>510</v>
      </c>
      <c r="D153" s="4" t="s">
        <v>15</v>
      </c>
      <c r="E153" s="4" t="s">
        <v>43</v>
      </c>
      <c r="F153" s="4" t="n">
        <v>0.5</v>
      </c>
      <c r="G153" s="4" t="s">
        <v>50</v>
      </c>
      <c r="H153" s="4" t="s">
        <v>44</v>
      </c>
      <c r="I153" s="4" t="s">
        <v>483</v>
      </c>
      <c r="J153" s="4" t="s">
        <v>511</v>
      </c>
      <c r="K153" s="4" t="s">
        <v>46</v>
      </c>
    </row>
    <row r="154" customFormat="false" ht="15" hidden="false" customHeight="false" outlineLevel="0" collapsed="false">
      <c r="A154" s="7" t="s">
        <v>512</v>
      </c>
      <c r="B154" s="7" t="s">
        <v>38</v>
      </c>
      <c r="C154" s="7" t="s">
        <v>513</v>
      </c>
      <c r="D154" s="7" t="s">
        <v>15</v>
      </c>
      <c r="E154" s="7" t="s">
        <v>43</v>
      </c>
      <c r="F154" s="7" t="n">
        <v>0.5</v>
      </c>
      <c r="G154" s="7" t="s">
        <v>50</v>
      </c>
      <c r="H154" s="7" t="s">
        <v>128</v>
      </c>
      <c r="I154" s="7" t="s">
        <v>483</v>
      </c>
      <c r="J154" s="7" t="s">
        <v>514</v>
      </c>
      <c r="K154" s="7" t="s">
        <v>46</v>
      </c>
    </row>
    <row r="155" customFormat="false" ht="15" hidden="false" customHeight="false" outlineLevel="0" collapsed="false">
      <c r="A155" s="4" t="s">
        <v>515</v>
      </c>
      <c r="B155" s="4" t="s">
        <v>38</v>
      </c>
      <c r="C155" s="4" t="s">
        <v>516</v>
      </c>
      <c r="D155" s="4" t="s">
        <v>15</v>
      </c>
      <c r="E155" s="4" t="s">
        <v>43</v>
      </c>
      <c r="F155" s="4" t="n">
        <v>0.5</v>
      </c>
      <c r="G155" s="4" t="s">
        <v>50</v>
      </c>
      <c r="H155" s="4" t="s">
        <v>128</v>
      </c>
      <c r="I155" s="4" t="s">
        <v>483</v>
      </c>
      <c r="J155" s="4" t="s">
        <v>517</v>
      </c>
      <c r="K155" s="4" t="s">
        <v>46</v>
      </c>
    </row>
    <row r="156" customFormat="false" ht="15" hidden="false" customHeight="false" outlineLevel="0" collapsed="false">
      <c r="A156" s="7" t="s">
        <v>518</v>
      </c>
      <c r="B156" s="7" t="s">
        <v>38</v>
      </c>
      <c r="C156" s="7" t="s">
        <v>519</v>
      </c>
      <c r="D156" s="7" t="s">
        <v>15</v>
      </c>
      <c r="E156" s="7" t="s">
        <v>43</v>
      </c>
      <c r="F156" s="7" t="n">
        <v>0.5</v>
      </c>
      <c r="G156" s="7" t="s">
        <v>50</v>
      </c>
      <c r="H156" s="7" t="s">
        <v>44</v>
      </c>
      <c r="I156" s="7" t="s">
        <v>483</v>
      </c>
      <c r="J156" s="7" t="s">
        <v>520</v>
      </c>
      <c r="K156" s="7" t="s">
        <v>46</v>
      </c>
    </row>
    <row r="157" customFormat="false" ht="23.85" hidden="false" customHeight="false" outlineLevel="0" collapsed="false">
      <c r="A157" s="4" t="s">
        <v>521</v>
      </c>
      <c r="B157" s="4" t="s">
        <v>38</v>
      </c>
      <c r="C157" s="4" t="s">
        <v>522</v>
      </c>
      <c r="D157" s="4" t="s">
        <v>18</v>
      </c>
      <c r="E157" s="4" t="s">
        <v>43</v>
      </c>
      <c r="F157" s="4" t="n">
        <v>0.5</v>
      </c>
      <c r="G157" s="4" t="s">
        <v>50</v>
      </c>
      <c r="H157" s="4" t="s">
        <v>44</v>
      </c>
      <c r="I157" s="4" t="s">
        <v>483</v>
      </c>
      <c r="J157" s="4" t="s">
        <v>523</v>
      </c>
      <c r="K157" s="4" t="s">
        <v>46</v>
      </c>
    </row>
    <row r="158" customFormat="false" ht="15" hidden="false" customHeight="false" outlineLevel="0" collapsed="false">
      <c r="A158" s="7" t="s">
        <v>524</v>
      </c>
      <c r="B158" s="7" t="s">
        <v>38</v>
      </c>
      <c r="C158" s="7" t="s">
        <v>525</v>
      </c>
      <c r="D158" s="7" t="s">
        <v>15</v>
      </c>
      <c r="E158" s="7" t="s">
        <v>43</v>
      </c>
      <c r="F158" s="7" t="n">
        <v>0.75</v>
      </c>
      <c r="G158" s="7" t="s">
        <v>50</v>
      </c>
      <c r="H158" s="7" t="s">
        <v>44</v>
      </c>
      <c r="I158" s="7" t="s">
        <v>483</v>
      </c>
      <c r="J158" s="7" t="s">
        <v>526</v>
      </c>
      <c r="K158" s="7" t="s">
        <v>46</v>
      </c>
    </row>
    <row r="159" customFormat="false" ht="15" hidden="false" customHeight="false" outlineLevel="0" collapsed="false">
      <c r="A159" s="4" t="s">
        <v>527</v>
      </c>
      <c r="B159" s="4" t="s">
        <v>38</v>
      </c>
      <c r="C159" s="4" t="s">
        <v>528</v>
      </c>
      <c r="D159" s="4" t="s">
        <v>15</v>
      </c>
      <c r="E159" s="4" t="s">
        <v>43</v>
      </c>
      <c r="F159" s="4" t="n">
        <v>0.5</v>
      </c>
      <c r="G159" s="4" t="s">
        <v>50</v>
      </c>
      <c r="H159" s="4" t="s">
        <v>128</v>
      </c>
      <c r="I159" s="4" t="s">
        <v>151</v>
      </c>
      <c r="J159" s="4" t="s">
        <v>529</v>
      </c>
      <c r="K159" s="4" t="s">
        <v>46</v>
      </c>
    </row>
    <row r="160" customFormat="false" ht="23.85" hidden="false" customHeight="false" outlineLevel="0" collapsed="false">
      <c r="A160" s="7" t="s">
        <v>530</v>
      </c>
      <c r="B160" s="7" t="s">
        <v>38</v>
      </c>
      <c r="C160" s="7" t="s">
        <v>531</v>
      </c>
      <c r="D160" s="7" t="s">
        <v>15</v>
      </c>
      <c r="E160" s="7" t="s">
        <v>43</v>
      </c>
      <c r="F160" s="7" t="n">
        <v>0.5</v>
      </c>
      <c r="G160" s="7" t="s">
        <v>50</v>
      </c>
      <c r="H160" s="7" t="s">
        <v>128</v>
      </c>
      <c r="I160" s="7" t="s">
        <v>151</v>
      </c>
      <c r="J160" s="7" t="s">
        <v>532</v>
      </c>
      <c r="K160" s="7" t="s">
        <v>46</v>
      </c>
    </row>
    <row r="161" customFormat="false" ht="15" hidden="false" customHeight="false" outlineLevel="0" collapsed="false">
      <c r="A161" s="4" t="s">
        <v>533</v>
      </c>
      <c r="B161" s="4" t="s">
        <v>38</v>
      </c>
      <c r="C161" s="4" t="s">
        <v>534</v>
      </c>
      <c r="D161" s="4" t="s">
        <v>15</v>
      </c>
      <c r="E161" s="4" t="s">
        <v>43</v>
      </c>
      <c r="F161" s="4" t="n">
        <v>0.5</v>
      </c>
      <c r="G161" s="4" t="s">
        <v>50</v>
      </c>
      <c r="H161" s="4" t="s">
        <v>128</v>
      </c>
      <c r="I161" s="4" t="s">
        <v>151</v>
      </c>
      <c r="J161" s="4" t="s">
        <v>535</v>
      </c>
      <c r="K161" s="4" t="s">
        <v>46</v>
      </c>
    </row>
    <row r="162" customFormat="false" ht="15" hidden="false" customHeight="false" outlineLevel="0" collapsed="false">
      <c r="A162" s="7" t="s">
        <v>536</v>
      </c>
      <c r="B162" s="7" t="s">
        <v>38</v>
      </c>
      <c r="C162" s="7" t="s">
        <v>537</v>
      </c>
      <c r="D162" s="7" t="s">
        <v>15</v>
      </c>
      <c r="E162" s="7" t="s">
        <v>43</v>
      </c>
      <c r="F162" s="7" t="n">
        <v>0.5</v>
      </c>
      <c r="G162" s="7" t="s">
        <v>50</v>
      </c>
      <c r="H162" s="7" t="s">
        <v>44</v>
      </c>
      <c r="I162" s="7" t="s">
        <v>151</v>
      </c>
      <c r="J162" s="7" t="s">
        <v>538</v>
      </c>
      <c r="K162" s="7" t="s">
        <v>46</v>
      </c>
    </row>
    <row r="163" customFormat="false" ht="15" hidden="false" customHeight="false" outlineLevel="0" collapsed="false">
      <c r="A163" s="4" t="s">
        <v>539</v>
      </c>
      <c r="B163" s="4" t="s">
        <v>38</v>
      </c>
      <c r="C163" s="4" t="s">
        <v>540</v>
      </c>
      <c r="D163" s="4" t="s">
        <v>15</v>
      </c>
      <c r="E163" s="4" t="s">
        <v>43</v>
      </c>
      <c r="F163" s="4" t="n">
        <v>0.5</v>
      </c>
      <c r="G163" s="4" t="s">
        <v>50</v>
      </c>
      <c r="H163" s="4" t="s">
        <v>128</v>
      </c>
      <c r="I163" s="4" t="s">
        <v>151</v>
      </c>
      <c r="J163" s="4" t="s">
        <v>541</v>
      </c>
      <c r="K163" s="4" t="s">
        <v>46</v>
      </c>
    </row>
    <row r="164" customFormat="false" ht="23.85" hidden="false" customHeight="false" outlineLevel="0" collapsed="false">
      <c r="A164" s="7" t="s">
        <v>542</v>
      </c>
      <c r="B164" s="7" t="s">
        <v>38</v>
      </c>
      <c r="C164" s="7" t="s">
        <v>543</v>
      </c>
      <c r="D164" s="7" t="s">
        <v>18</v>
      </c>
      <c r="E164" s="7" t="s">
        <v>43</v>
      </c>
      <c r="F164" s="7" t="n">
        <v>0.5</v>
      </c>
      <c r="G164" s="7" t="s">
        <v>50</v>
      </c>
      <c r="H164" s="7" t="s">
        <v>128</v>
      </c>
      <c r="I164" s="7" t="s">
        <v>151</v>
      </c>
      <c r="J164" s="7" t="s">
        <v>544</v>
      </c>
      <c r="K164" s="7" t="s">
        <v>46</v>
      </c>
    </row>
    <row r="165" customFormat="false" ht="15" hidden="false" customHeight="false" outlineLevel="0" collapsed="false">
      <c r="A165" s="4" t="s">
        <v>545</v>
      </c>
      <c r="B165" s="4" t="s">
        <v>38</v>
      </c>
      <c r="C165" s="4" t="s">
        <v>546</v>
      </c>
      <c r="D165" s="4" t="s">
        <v>15</v>
      </c>
      <c r="E165" s="4" t="s">
        <v>43</v>
      </c>
      <c r="F165" s="4" t="n">
        <v>0.5</v>
      </c>
      <c r="G165" s="4" t="s">
        <v>50</v>
      </c>
      <c r="H165" s="4" t="s">
        <v>128</v>
      </c>
      <c r="I165" s="4" t="s">
        <v>151</v>
      </c>
      <c r="J165" s="4" t="s">
        <v>547</v>
      </c>
      <c r="K165" s="4" t="s">
        <v>46</v>
      </c>
    </row>
    <row r="166" customFormat="false" ht="23.85" hidden="false" customHeight="false" outlineLevel="0" collapsed="false">
      <c r="A166" s="7" t="s">
        <v>548</v>
      </c>
      <c r="B166" s="7" t="s">
        <v>38</v>
      </c>
      <c r="C166" s="7" t="s">
        <v>549</v>
      </c>
      <c r="D166" s="7" t="s">
        <v>12</v>
      </c>
      <c r="E166" s="7" t="s">
        <v>43</v>
      </c>
      <c r="F166" s="7" t="n">
        <v>0.5</v>
      </c>
      <c r="G166" s="7" t="s">
        <v>50</v>
      </c>
      <c r="H166" s="7" t="s">
        <v>128</v>
      </c>
      <c r="I166" s="7" t="s">
        <v>151</v>
      </c>
      <c r="J166" s="7" t="s">
        <v>550</v>
      </c>
      <c r="K166" s="7" t="s">
        <v>46</v>
      </c>
    </row>
    <row r="167" customFormat="false" ht="23.85" hidden="false" customHeight="false" outlineLevel="0" collapsed="false">
      <c r="A167" s="4" t="s">
        <v>551</v>
      </c>
      <c r="B167" s="4" t="s">
        <v>38</v>
      </c>
      <c r="C167" s="4" t="s">
        <v>552</v>
      </c>
      <c r="D167" s="4" t="s">
        <v>15</v>
      </c>
      <c r="E167" s="4" t="s">
        <v>43</v>
      </c>
      <c r="F167" s="4" t="n">
        <v>0.5</v>
      </c>
      <c r="G167" s="4" t="s">
        <v>50</v>
      </c>
      <c r="H167" s="4" t="s">
        <v>128</v>
      </c>
      <c r="I167" s="4" t="s">
        <v>328</v>
      </c>
      <c r="J167" s="4" t="s">
        <v>553</v>
      </c>
      <c r="K167" s="4" t="s">
        <v>46</v>
      </c>
    </row>
    <row r="168" customFormat="false" ht="23.85" hidden="false" customHeight="false" outlineLevel="0" collapsed="false">
      <c r="A168" s="7" t="s">
        <v>554</v>
      </c>
      <c r="B168" s="7" t="s">
        <v>38</v>
      </c>
      <c r="C168" s="7" t="s">
        <v>555</v>
      </c>
      <c r="D168" s="7" t="s">
        <v>15</v>
      </c>
      <c r="E168" s="7" t="s">
        <v>43</v>
      </c>
      <c r="F168" s="7" t="n">
        <v>0.5</v>
      </c>
      <c r="G168" s="7" t="s">
        <v>50</v>
      </c>
      <c r="H168" s="7" t="s">
        <v>128</v>
      </c>
      <c r="I168" s="7" t="s">
        <v>328</v>
      </c>
      <c r="J168" s="7" t="s">
        <v>556</v>
      </c>
      <c r="K168" s="7" t="s">
        <v>46</v>
      </c>
    </row>
    <row r="169" customFormat="false" ht="23.85" hidden="false" customHeight="false" outlineLevel="0" collapsed="false">
      <c r="A169" s="4" t="s">
        <v>557</v>
      </c>
      <c r="B169" s="4" t="s">
        <v>38</v>
      </c>
      <c r="C169" s="4" t="s">
        <v>558</v>
      </c>
      <c r="D169" s="4" t="s">
        <v>15</v>
      </c>
      <c r="E169" s="4" t="s">
        <v>43</v>
      </c>
      <c r="F169" s="4" t="n">
        <v>0.5</v>
      </c>
      <c r="G169" s="4" t="s">
        <v>50</v>
      </c>
      <c r="H169" s="4" t="s">
        <v>128</v>
      </c>
      <c r="I169" s="4" t="s">
        <v>328</v>
      </c>
      <c r="J169" s="4" t="s">
        <v>559</v>
      </c>
      <c r="K169" s="4" t="s">
        <v>46</v>
      </c>
    </row>
    <row r="170" customFormat="false" ht="23.85" hidden="false" customHeight="false" outlineLevel="0" collapsed="false">
      <c r="A170" s="7" t="s">
        <v>560</v>
      </c>
      <c r="B170" s="7" t="s">
        <v>38</v>
      </c>
      <c r="C170" s="7" t="s">
        <v>561</v>
      </c>
      <c r="D170" s="7" t="s">
        <v>15</v>
      </c>
      <c r="E170" s="7" t="s">
        <v>43</v>
      </c>
      <c r="F170" s="7" t="n">
        <v>0.5</v>
      </c>
      <c r="G170" s="7" t="s">
        <v>50</v>
      </c>
      <c r="H170" s="7" t="s">
        <v>128</v>
      </c>
      <c r="I170" s="7" t="s">
        <v>328</v>
      </c>
      <c r="J170" s="7" t="s">
        <v>562</v>
      </c>
      <c r="K170" s="7" t="s">
        <v>46</v>
      </c>
    </row>
    <row r="171" customFormat="false" ht="15" hidden="false" customHeight="false" outlineLevel="0" collapsed="false">
      <c r="A171" s="4" t="s">
        <v>563</v>
      </c>
      <c r="B171" s="4" t="s">
        <v>38</v>
      </c>
      <c r="C171" s="4" t="s">
        <v>564</v>
      </c>
      <c r="D171" s="4" t="s">
        <v>15</v>
      </c>
      <c r="E171" s="4" t="s">
        <v>43</v>
      </c>
      <c r="F171" s="4" t="n">
        <v>0.5</v>
      </c>
      <c r="G171" s="4" t="s">
        <v>50</v>
      </c>
      <c r="H171" s="4" t="s">
        <v>44</v>
      </c>
      <c r="I171" s="4" t="s">
        <v>328</v>
      </c>
      <c r="J171" s="4" t="s">
        <v>565</v>
      </c>
      <c r="K171" s="4" t="s">
        <v>46</v>
      </c>
    </row>
    <row r="172" customFormat="false" ht="23.85" hidden="false" customHeight="false" outlineLevel="0" collapsed="false">
      <c r="A172" s="7" t="s">
        <v>566</v>
      </c>
      <c r="B172" s="7" t="s">
        <v>38</v>
      </c>
      <c r="C172" s="7" t="s">
        <v>567</v>
      </c>
      <c r="D172" s="7" t="s">
        <v>18</v>
      </c>
      <c r="E172" s="7" t="s">
        <v>43</v>
      </c>
      <c r="F172" s="7" t="n">
        <v>0.5</v>
      </c>
      <c r="G172" s="7" t="s">
        <v>50</v>
      </c>
      <c r="H172" s="7" t="s">
        <v>128</v>
      </c>
      <c r="I172" s="7" t="s">
        <v>328</v>
      </c>
      <c r="J172" s="7" t="s">
        <v>568</v>
      </c>
      <c r="K172" s="7" t="s">
        <v>46</v>
      </c>
    </row>
    <row r="173" customFormat="false" ht="23.85" hidden="false" customHeight="false" outlineLevel="0" collapsed="false">
      <c r="A173" s="4" t="s">
        <v>569</v>
      </c>
      <c r="B173" s="4" t="s">
        <v>38</v>
      </c>
      <c r="C173" s="4" t="s">
        <v>570</v>
      </c>
      <c r="D173" s="4" t="s">
        <v>18</v>
      </c>
      <c r="E173" s="4" t="s">
        <v>43</v>
      </c>
      <c r="F173" s="4" t="n">
        <v>0.5</v>
      </c>
      <c r="G173" s="4" t="s">
        <v>50</v>
      </c>
      <c r="H173" s="4" t="s">
        <v>128</v>
      </c>
      <c r="I173" s="4" t="s">
        <v>328</v>
      </c>
      <c r="J173" s="4" t="s">
        <v>571</v>
      </c>
      <c r="K173" s="4" t="s">
        <v>46</v>
      </c>
    </row>
    <row r="174" customFormat="false" ht="23.85" hidden="false" customHeight="false" outlineLevel="0" collapsed="false">
      <c r="A174" s="7" t="s">
        <v>572</v>
      </c>
      <c r="B174" s="7" t="s">
        <v>38</v>
      </c>
      <c r="C174" s="7" t="s">
        <v>573</v>
      </c>
      <c r="D174" s="7" t="s">
        <v>18</v>
      </c>
      <c r="E174" s="7" t="s">
        <v>43</v>
      </c>
      <c r="F174" s="7" t="n">
        <v>0.5</v>
      </c>
      <c r="G174" s="7" t="s">
        <v>50</v>
      </c>
      <c r="H174" s="7" t="s">
        <v>128</v>
      </c>
      <c r="I174" s="7" t="s">
        <v>328</v>
      </c>
      <c r="J174" s="7" t="s">
        <v>574</v>
      </c>
      <c r="K174" s="7" t="s">
        <v>46</v>
      </c>
    </row>
    <row r="175" customFormat="false" ht="23.85" hidden="false" customHeight="false" outlineLevel="0" collapsed="false">
      <c r="A175" s="4" t="s">
        <v>575</v>
      </c>
      <c r="B175" s="4" t="s">
        <v>38</v>
      </c>
      <c r="C175" s="4" t="s">
        <v>576</v>
      </c>
      <c r="D175" s="4" t="s">
        <v>18</v>
      </c>
      <c r="E175" s="4" t="s">
        <v>43</v>
      </c>
      <c r="F175" s="4" t="n">
        <v>1.125</v>
      </c>
      <c r="G175" s="4" t="s">
        <v>50</v>
      </c>
      <c r="H175" s="4" t="s">
        <v>44</v>
      </c>
      <c r="I175" s="4" t="s">
        <v>328</v>
      </c>
      <c r="J175" s="4" t="s">
        <v>577</v>
      </c>
      <c r="K175" s="4" t="s">
        <v>46</v>
      </c>
    </row>
    <row r="176" customFormat="false" ht="23.85" hidden="false" customHeight="false" outlineLevel="0" collapsed="false">
      <c r="A176" s="7" t="s">
        <v>578</v>
      </c>
      <c r="B176" s="7" t="s">
        <v>38</v>
      </c>
      <c r="C176" s="7" t="s">
        <v>579</v>
      </c>
      <c r="D176" s="7" t="s">
        <v>18</v>
      </c>
      <c r="E176" s="7" t="s">
        <v>43</v>
      </c>
      <c r="F176" s="7" t="n">
        <v>1.125</v>
      </c>
      <c r="G176" s="7" t="s">
        <v>50</v>
      </c>
      <c r="H176" s="7" t="s">
        <v>128</v>
      </c>
      <c r="I176" s="7" t="s">
        <v>328</v>
      </c>
      <c r="J176" s="7" t="s">
        <v>580</v>
      </c>
      <c r="K176" s="7" t="s">
        <v>46</v>
      </c>
    </row>
    <row r="177" customFormat="false" ht="23.85" hidden="false" customHeight="false" outlineLevel="0" collapsed="false">
      <c r="A177" s="4" t="s">
        <v>581</v>
      </c>
      <c r="B177" s="4" t="s">
        <v>38</v>
      </c>
      <c r="C177" s="4" t="s">
        <v>582</v>
      </c>
      <c r="D177" s="4" t="s">
        <v>18</v>
      </c>
      <c r="E177" s="4" t="s">
        <v>43</v>
      </c>
      <c r="F177" s="4" t="n">
        <v>1.125</v>
      </c>
      <c r="G177" s="4" t="s">
        <v>50</v>
      </c>
      <c r="H177" s="4" t="s">
        <v>128</v>
      </c>
      <c r="I177" s="4" t="s">
        <v>328</v>
      </c>
      <c r="J177" s="4" t="s">
        <v>583</v>
      </c>
      <c r="K177" s="4" t="s">
        <v>46</v>
      </c>
    </row>
    <row r="178" customFormat="false" ht="23.85" hidden="false" customHeight="false" outlineLevel="0" collapsed="false">
      <c r="A178" s="7" t="s">
        <v>584</v>
      </c>
      <c r="B178" s="7" t="s">
        <v>38</v>
      </c>
      <c r="C178" s="7" t="s">
        <v>585</v>
      </c>
      <c r="D178" s="7" t="s">
        <v>18</v>
      </c>
      <c r="E178" s="7" t="s">
        <v>43</v>
      </c>
      <c r="F178" s="7" t="n">
        <v>0.75</v>
      </c>
      <c r="G178" s="7" t="s">
        <v>50</v>
      </c>
      <c r="H178" s="7" t="s">
        <v>128</v>
      </c>
      <c r="I178" s="7" t="s">
        <v>328</v>
      </c>
      <c r="J178" s="7" t="s">
        <v>586</v>
      </c>
      <c r="K178" s="7" t="s">
        <v>46</v>
      </c>
    </row>
    <row r="179" customFormat="false" ht="23.85" hidden="false" customHeight="false" outlineLevel="0" collapsed="false">
      <c r="A179" s="4" t="s">
        <v>587</v>
      </c>
      <c r="B179" s="4" t="s">
        <v>38</v>
      </c>
      <c r="C179" s="4" t="s">
        <v>588</v>
      </c>
      <c r="D179" s="4" t="s">
        <v>18</v>
      </c>
      <c r="E179" s="4" t="s">
        <v>43</v>
      </c>
      <c r="F179" s="4" t="n">
        <v>0.75</v>
      </c>
      <c r="G179" s="4" t="s">
        <v>50</v>
      </c>
      <c r="H179" s="4" t="s">
        <v>128</v>
      </c>
      <c r="I179" s="4" t="s">
        <v>328</v>
      </c>
      <c r="J179" s="4" t="s">
        <v>589</v>
      </c>
      <c r="K179" s="4" t="s">
        <v>46</v>
      </c>
    </row>
    <row r="180" customFormat="false" ht="23.85" hidden="false" customHeight="false" outlineLevel="0" collapsed="false">
      <c r="A180" s="7" t="s">
        <v>590</v>
      </c>
      <c r="B180" s="7" t="s">
        <v>38</v>
      </c>
      <c r="C180" s="7" t="s">
        <v>591</v>
      </c>
      <c r="D180" s="7" t="s">
        <v>18</v>
      </c>
      <c r="E180" s="7" t="s">
        <v>43</v>
      </c>
      <c r="F180" s="7" t="n">
        <v>0.75</v>
      </c>
      <c r="G180" s="7" t="s">
        <v>50</v>
      </c>
      <c r="H180" s="7" t="s">
        <v>128</v>
      </c>
      <c r="I180" s="7" t="s">
        <v>328</v>
      </c>
      <c r="J180" s="7" t="s">
        <v>592</v>
      </c>
      <c r="K180" s="7" t="s">
        <v>46</v>
      </c>
    </row>
    <row r="181" customFormat="false" ht="23.85" hidden="false" customHeight="false" outlineLevel="0" collapsed="false">
      <c r="A181" s="4" t="s">
        <v>593</v>
      </c>
      <c r="B181" s="4" t="s">
        <v>38</v>
      </c>
      <c r="C181" s="4" t="s">
        <v>594</v>
      </c>
      <c r="D181" s="4" t="s">
        <v>18</v>
      </c>
      <c r="E181" s="4" t="s">
        <v>43</v>
      </c>
      <c r="F181" s="4" t="n">
        <v>0.75</v>
      </c>
      <c r="G181" s="4" t="s">
        <v>50</v>
      </c>
      <c r="H181" s="4" t="s">
        <v>128</v>
      </c>
      <c r="I181" s="4" t="s">
        <v>328</v>
      </c>
      <c r="J181" s="4" t="s">
        <v>595</v>
      </c>
      <c r="K181" s="4" t="s">
        <v>46</v>
      </c>
    </row>
    <row r="182" customFormat="false" ht="23.85" hidden="false" customHeight="false" outlineLevel="0" collapsed="false">
      <c r="A182" s="7" t="s">
        <v>596</v>
      </c>
      <c r="B182" s="7" t="s">
        <v>38</v>
      </c>
      <c r="C182" s="7" t="s">
        <v>597</v>
      </c>
      <c r="D182" s="7" t="s">
        <v>18</v>
      </c>
      <c r="E182" s="7" t="s">
        <v>43</v>
      </c>
      <c r="F182" s="7" t="n">
        <v>0.75</v>
      </c>
      <c r="G182" s="7" t="s">
        <v>50</v>
      </c>
      <c r="H182" s="7" t="s">
        <v>128</v>
      </c>
      <c r="I182" s="7" t="s">
        <v>328</v>
      </c>
      <c r="J182" s="7" t="s">
        <v>598</v>
      </c>
      <c r="K182" s="7" t="s">
        <v>46</v>
      </c>
    </row>
    <row r="183" customFormat="false" ht="23.85" hidden="false" customHeight="false" outlineLevel="0" collapsed="false">
      <c r="A183" s="4" t="s">
        <v>599</v>
      </c>
      <c r="B183" s="4" t="s">
        <v>38</v>
      </c>
      <c r="C183" s="4" t="s">
        <v>600</v>
      </c>
      <c r="D183" s="4" t="s">
        <v>18</v>
      </c>
      <c r="E183" s="4" t="s">
        <v>43</v>
      </c>
      <c r="F183" s="4" t="n">
        <v>0.75</v>
      </c>
      <c r="G183" s="4" t="s">
        <v>50</v>
      </c>
      <c r="H183" s="4" t="s">
        <v>128</v>
      </c>
      <c r="I183" s="4" t="s">
        <v>328</v>
      </c>
      <c r="J183" s="4" t="s">
        <v>601</v>
      </c>
      <c r="K183" s="4" t="s">
        <v>46</v>
      </c>
    </row>
    <row r="184" customFormat="false" ht="23.85" hidden="false" customHeight="false" outlineLevel="0" collapsed="false">
      <c r="A184" s="7" t="s">
        <v>602</v>
      </c>
      <c r="B184" s="7" t="s">
        <v>38</v>
      </c>
      <c r="C184" s="7" t="s">
        <v>603</v>
      </c>
      <c r="D184" s="7" t="s">
        <v>18</v>
      </c>
      <c r="E184" s="7" t="s">
        <v>43</v>
      </c>
      <c r="F184" s="7" t="n">
        <v>0.75</v>
      </c>
      <c r="G184" s="7" t="s">
        <v>50</v>
      </c>
      <c r="H184" s="7" t="s">
        <v>44</v>
      </c>
      <c r="I184" s="7" t="s">
        <v>328</v>
      </c>
      <c r="J184" s="7" t="s">
        <v>604</v>
      </c>
      <c r="K184" s="7" t="s">
        <v>46</v>
      </c>
    </row>
    <row r="185" customFormat="false" ht="23.85" hidden="false" customHeight="false" outlineLevel="0" collapsed="false">
      <c r="A185" s="4" t="s">
        <v>605</v>
      </c>
      <c r="B185" s="4" t="s">
        <v>38</v>
      </c>
      <c r="C185" s="4" t="s">
        <v>606</v>
      </c>
      <c r="D185" s="4" t="s">
        <v>18</v>
      </c>
      <c r="E185" s="4" t="s">
        <v>43</v>
      </c>
      <c r="F185" s="4" t="n">
        <v>1.125</v>
      </c>
      <c r="G185" s="4" t="s">
        <v>50</v>
      </c>
      <c r="H185" s="4" t="s">
        <v>128</v>
      </c>
      <c r="I185" s="4" t="s">
        <v>328</v>
      </c>
      <c r="J185" s="4" t="s">
        <v>607</v>
      </c>
      <c r="K185" s="4" t="s">
        <v>46</v>
      </c>
    </row>
    <row r="186" customFormat="false" ht="23.85" hidden="false" customHeight="false" outlineLevel="0" collapsed="false">
      <c r="A186" s="7" t="s">
        <v>608</v>
      </c>
      <c r="B186" s="7" t="s">
        <v>38</v>
      </c>
      <c r="C186" s="7" t="s">
        <v>609</v>
      </c>
      <c r="D186" s="7" t="s">
        <v>15</v>
      </c>
      <c r="E186" s="7" t="s">
        <v>43</v>
      </c>
      <c r="F186" s="7" t="n">
        <v>0.75</v>
      </c>
      <c r="G186" s="7" t="s">
        <v>50</v>
      </c>
      <c r="H186" s="7" t="s">
        <v>128</v>
      </c>
      <c r="I186" s="7" t="s">
        <v>328</v>
      </c>
      <c r="J186" s="7" t="s">
        <v>610</v>
      </c>
      <c r="K186" s="7" t="s">
        <v>46</v>
      </c>
    </row>
    <row r="187" customFormat="false" ht="23.85" hidden="false" customHeight="false" outlineLevel="0" collapsed="false">
      <c r="A187" s="4" t="s">
        <v>611</v>
      </c>
      <c r="B187" s="4" t="s">
        <v>38</v>
      </c>
      <c r="C187" s="4" t="s">
        <v>612</v>
      </c>
      <c r="D187" s="4" t="s">
        <v>15</v>
      </c>
      <c r="E187" s="4" t="s">
        <v>43</v>
      </c>
      <c r="F187" s="4" t="n">
        <v>0.75</v>
      </c>
      <c r="G187" s="4" t="s">
        <v>50</v>
      </c>
      <c r="H187" s="4" t="s">
        <v>128</v>
      </c>
      <c r="I187" s="4" t="s">
        <v>328</v>
      </c>
      <c r="J187" s="4" t="s">
        <v>613</v>
      </c>
      <c r="K187" s="4" t="s">
        <v>46</v>
      </c>
    </row>
    <row r="188" customFormat="false" ht="23.85" hidden="false" customHeight="false" outlineLevel="0" collapsed="false">
      <c r="A188" s="7" t="s">
        <v>614</v>
      </c>
      <c r="B188" s="7" t="s">
        <v>38</v>
      </c>
      <c r="C188" s="7" t="s">
        <v>615</v>
      </c>
      <c r="D188" s="7" t="s">
        <v>18</v>
      </c>
      <c r="E188" s="7" t="s">
        <v>43</v>
      </c>
      <c r="F188" s="7" t="n">
        <v>0.75</v>
      </c>
      <c r="G188" s="7" t="s">
        <v>50</v>
      </c>
      <c r="H188" s="7" t="s">
        <v>128</v>
      </c>
      <c r="I188" s="7" t="s">
        <v>328</v>
      </c>
      <c r="J188" s="7" t="s">
        <v>616</v>
      </c>
      <c r="K188" s="7" t="s">
        <v>46</v>
      </c>
    </row>
    <row r="189" customFormat="false" ht="23.85" hidden="false" customHeight="false" outlineLevel="0" collapsed="false">
      <c r="A189" s="4" t="s">
        <v>617</v>
      </c>
      <c r="B189" s="4" t="s">
        <v>38</v>
      </c>
      <c r="C189" s="4" t="s">
        <v>618</v>
      </c>
      <c r="D189" s="4" t="s">
        <v>18</v>
      </c>
      <c r="E189" s="4" t="s">
        <v>43</v>
      </c>
      <c r="F189" s="4" t="n">
        <v>0.75</v>
      </c>
      <c r="G189" s="4" t="s">
        <v>50</v>
      </c>
      <c r="H189" s="4" t="s">
        <v>128</v>
      </c>
      <c r="I189" s="4" t="s">
        <v>328</v>
      </c>
      <c r="J189" s="4" t="s">
        <v>619</v>
      </c>
      <c r="K189" s="4" t="s">
        <v>46</v>
      </c>
    </row>
    <row r="190" customFormat="false" ht="23.85" hidden="false" customHeight="false" outlineLevel="0" collapsed="false">
      <c r="A190" s="7" t="s">
        <v>620</v>
      </c>
      <c r="B190" s="7" t="s">
        <v>38</v>
      </c>
      <c r="C190" s="7" t="s">
        <v>621</v>
      </c>
      <c r="D190" s="7" t="s">
        <v>18</v>
      </c>
      <c r="E190" s="7" t="s">
        <v>43</v>
      </c>
      <c r="F190" s="7" t="n">
        <v>0.75</v>
      </c>
      <c r="G190" s="7" t="s">
        <v>50</v>
      </c>
      <c r="H190" s="7" t="s">
        <v>128</v>
      </c>
      <c r="I190" s="7" t="s">
        <v>328</v>
      </c>
      <c r="J190" s="7" t="s">
        <v>622</v>
      </c>
      <c r="K190" s="7" t="s">
        <v>46</v>
      </c>
    </row>
    <row r="191" customFormat="false" ht="23.85" hidden="false" customHeight="false" outlineLevel="0" collapsed="false">
      <c r="A191" s="4" t="s">
        <v>623</v>
      </c>
      <c r="B191" s="4" t="s">
        <v>38</v>
      </c>
      <c r="C191" s="4" t="s">
        <v>624</v>
      </c>
      <c r="D191" s="4" t="s">
        <v>18</v>
      </c>
      <c r="E191" s="4" t="s">
        <v>43</v>
      </c>
      <c r="F191" s="4" t="n">
        <v>0.75</v>
      </c>
      <c r="G191" s="4" t="s">
        <v>50</v>
      </c>
      <c r="H191" s="4" t="s">
        <v>128</v>
      </c>
      <c r="I191" s="4" t="s">
        <v>328</v>
      </c>
      <c r="J191" s="4" t="s">
        <v>625</v>
      </c>
      <c r="K191" s="4" t="s">
        <v>46</v>
      </c>
    </row>
    <row r="192" customFormat="false" ht="23.85" hidden="false" customHeight="false" outlineLevel="0" collapsed="false">
      <c r="A192" s="7" t="s">
        <v>626</v>
      </c>
      <c r="B192" s="7" t="s">
        <v>38</v>
      </c>
      <c r="C192" s="7" t="s">
        <v>627</v>
      </c>
      <c r="D192" s="7" t="s">
        <v>18</v>
      </c>
      <c r="E192" s="7" t="s">
        <v>43</v>
      </c>
      <c r="F192" s="7" t="n">
        <v>0.75</v>
      </c>
      <c r="G192" s="7" t="s">
        <v>50</v>
      </c>
      <c r="H192" s="7" t="s">
        <v>128</v>
      </c>
      <c r="I192" s="7" t="s">
        <v>328</v>
      </c>
      <c r="J192" s="7" t="s">
        <v>628</v>
      </c>
      <c r="K192" s="7" t="s">
        <v>46</v>
      </c>
    </row>
    <row r="193" customFormat="false" ht="23.85" hidden="false" customHeight="false" outlineLevel="0" collapsed="false">
      <c r="A193" s="4" t="s">
        <v>629</v>
      </c>
      <c r="B193" s="4" t="s">
        <v>38</v>
      </c>
      <c r="C193" s="4" t="s">
        <v>630</v>
      </c>
      <c r="D193" s="4" t="s">
        <v>18</v>
      </c>
      <c r="E193" s="4" t="s">
        <v>43</v>
      </c>
      <c r="F193" s="4" t="n">
        <v>0.75</v>
      </c>
      <c r="G193" s="4" t="s">
        <v>50</v>
      </c>
      <c r="H193" s="4" t="s">
        <v>128</v>
      </c>
      <c r="I193" s="4" t="s">
        <v>328</v>
      </c>
      <c r="J193" s="4" t="s">
        <v>631</v>
      </c>
      <c r="K193" s="4" t="s">
        <v>46</v>
      </c>
    </row>
    <row r="194" customFormat="false" ht="23.85" hidden="false" customHeight="false" outlineLevel="0" collapsed="false">
      <c r="A194" s="7" t="s">
        <v>632</v>
      </c>
      <c r="B194" s="7" t="s">
        <v>38</v>
      </c>
      <c r="C194" s="7" t="s">
        <v>633</v>
      </c>
      <c r="D194" s="7" t="s">
        <v>18</v>
      </c>
      <c r="E194" s="7" t="s">
        <v>43</v>
      </c>
      <c r="F194" s="7" t="n">
        <v>0.75</v>
      </c>
      <c r="G194" s="7" t="s">
        <v>50</v>
      </c>
      <c r="H194" s="7" t="s">
        <v>128</v>
      </c>
      <c r="I194" s="7" t="s">
        <v>328</v>
      </c>
      <c r="J194" s="7" t="s">
        <v>634</v>
      </c>
      <c r="K194" s="7" t="s">
        <v>46</v>
      </c>
    </row>
    <row r="195" customFormat="false" ht="23.85" hidden="false" customHeight="false" outlineLevel="0" collapsed="false">
      <c r="A195" s="4" t="s">
        <v>635</v>
      </c>
      <c r="B195" s="4" t="s">
        <v>38</v>
      </c>
      <c r="C195" s="4" t="s">
        <v>636</v>
      </c>
      <c r="D195" s="4" t="s">
        <v>15</v>
      </c>
      <c r="E195" s="4" t="s">
        <v>43</v>
      </c>
      <c r="F195" s="4" t="n">
        <v>0.75</v>
      </c>
      <c r="G195" s="4" t="s">
        <v>50</v>
      </c>
      <c r="H195" s="4" t="s">
        <v>128</v>
      </c>
      <c r="I195" s="4" t="s">
        <v>328</v>
      </c>
      <c r="J195" s="4" t="s">
        <v>637</v>
      </c>
      <c r="K195" s="4" t="s">
        <v>46</v>
      </c>
    </row>
    <row r="196" customFormat="false" ht="15" hidden="false" customHeight="false" outlineLevel="0" collapsed="false">
      <c r="A196" s="7" t="s">
        <v>638</v>
      </c>
      <c r="B196" s="7" t="s">
        <v>38</v>
      </c>
      <c r="C196" s="7" t="s">
        <v>639</v>
      </c>
      <c r="D196" s="7" t="s">
        <v>18</v>
      </c>
      <c r="E196" s="7" t="s">
        <v>43</v>
      </c>
      <c r="F196" s="7" t="n">
        <v>0.75</v>
      </c>
      <c r="G196" s="7" t="s">
        <v>50</v>
      </c>
      <c r="H196" s="7" t="s">
        <v>128</v>
      </c>
      <c r="I196" s="7" t="s">
        <v>328</v>
      </c>
      <c r="J196" s="7" t="s">
        <v>640</v>
      </c>
      <c r="K196" s="7" t="s">
        <v>46</v>
      </c>
    </row>
    <row r="197" customFormat="false" ht="23.85" hidden="false" customHeight="false" outlineLevel="0" collapsed="false">
      <c r="A197" s="4" t="s">
        <v>641</v>
      </c>
      <c r="B197" s="4" t="s">
        <v>38</v>
      </c>
      <c r="C197" s="4" t="s">
        <v>642</v>
      </c>
      <c r="D197" s="4" t="s">
        <v>21</v>
      </c>
      <c r="E197" s="4" t="s">
        <v>183</v>
      </c>
      <c r="F197" s="4" t="n">
        <v>0.75</v>
      </c>
      <c r="G197" s="4" t="s">
        <v>50</v>
      </c>
      <c r="H197" s="4" t="s">
        <v>128</v>
      </c>
      <c r="I197" s="4" t="s">
        <v>328</v>
      </c>
      <c r="J197" s="4" t="s">
        <v>643</v>
      </c>
      <c r="K197" s="4" t="s">
        <v>46</v>
      </c>
    </row>
    <row r="198" customFormat="false" ht="23.85" hidden="false" customHeight="false" outlineLevel="0" collapsed="false">
      <c r="A198" s="7" t="s">
        <v>644</v>
      </c>
      <c r="B198" s="7" t="s">
        <v>38</v>
      </c>
      <c r="C198" s="7" t="s">
        <v>645</v>
      </c>
      <c r="D198" s="7" t="s">
        <v>15</v>
      </c>
      <c r="E198" s="7" t="s">
        <v>43</v>
      </c>
      <c r="F198" s="7" t="n">
        <v>0.75</v>
      </c>
      <c r="G198" s="7" t="s">
        <v>50</v>
      </c>
      <c r="H198" s="7" t="s">
        <v>128</v>
      </c>
      <c r="I198" s="7" t="s">
        <v>328</v>
      </c>
      <c r="J198" s="7" t="s">
        <v>646</v>
      </c>
      <c r="K198" s="7" t="s">
        <v>46</v>
      </c>
    </row>
    <row r="199" customFormat="false" ht="23.85" hidden="false" customHeight="false" outlineLevel="0" collapsed="false">
      <c r="A199" s="4" t="s">
        <v>647</v>
      </c>
      <c r="B199" s="4" t="s">
        <v>38</v>
      </c>
      <c r="C199" s="4" t="s">
        <v>648</v>
      </c>
      <c r="D199" s="4" t="s">
        <v>21</v>
      </c>
      <c r="E199" s="4" t="s">
        <v>183</v>
      </c>
      <c r="F199" s="4" t="n">
        <v>0.75</v>
      </c>
      <c r="G199" s="4" t="s">
        <v>50</v>
      </c>
      <c r="H199" s="4" t="s">
        <v>44</v>
      </c>
      <c r="I199" s="4" t="s">
        <v>328</v>
      </c>
      <c r="J199" s="4" t="s">
        <v>649</v>
      </c>
      <c r="K199" s="4" t="s">
        <v>46</v>
      </c>
    </row>
    <row r="200" customFormat="false" ht="23.85" hidden="false" customHeight="false" outlineLevel="0" collapsed="false">
      <c r="A200" s="7" t="s">
        <v>650</v>
      </c>
      <c r="B200" s="7" t="s">
        <v>38</v>
      </c>
      <c r="C200" s="7" t="s">
        <v>651</v>
      </c>
      <c r="D200" s="7" t="s">
        <v>18</v>
      </c>
      <c r="E200" s="7" t="s">
        <v>43</v>
      </c>
      <c r="F200" s="7" t="n">
        <v>1.125</v>
      </c>
      <c r="G200" s="7" t="s">
        <v>50</v>
      </c>
      <c r="H200" s="7" t="s">
        <v>128</v>
      </c>
      <c r="I200" s="7" t="s">
        <v>328</v>
      </c>
      <c r="J200" s="7" t="s">
        <v>652</v>
      </c>
      <c r="K200" s="7" t="s">
        <v>46</v>
      </c>
    </row>
    <row r="201" customFormat="false" ht="23.85" hidden="false" customHeight="false" outlineLevel="0" collapsed="false">
      <c r="A201" s="4" t="s">
        <v>653</v>
      </c>
      <c r="B201" s="4" t="s">
        <v>38</v>
      </c>
      <c r="C201" s="4" t="s">
        <v>654</v>
      </c>
      <c r="D201" s="4" t="s">
        <v>15</v>
      </c>
      <c r="E201" s="4" t="s">
        <v>43</v>
      </c>
      <c r="F201" s="4" t="n">
        <v>0.75</v>
      </c>
      <c r="G201" s="4" t="s">
        <v>50</v>
      </c>
      <c r="H201" s="4" t="s">
        <v>128</v>
      </c>
      <c r="I201" s="4" t="s">
        <v>328</v>
      </c>
      <c r="J201" s="4" t="s">
        <v>655</v>
      </c>
      <c r="K201" s="4" t="s">
        <v>46</v>
      </c>
    </row>
    <row r="202" customFormat="false" ht="23.85" hidden="false" customHeight="false" outlineLevel="0" collapsed="false">
      <c r="A202" s="7" t="s">
        <v>656</v>
      </c>
      <c r="B202" s="7" t="s">
        <v>38</v>
      </c>
      <c r="C202" s="7" t="s">
        <v>657</v>
      </c>
      <c r="D202" s="7" t="s">
        <v>18</v>
      </c>
      <c r="E202" s="7" t="s">
        <v>43</v>
      </c>
      <c r="F202" s="7" t="n">
        <v>0.75</v>
      </c>
      <c r="G202" s="7" t="s">
        <v>50</v>
      </c>
      <c r="H202" s="7" t="s">
        <v>128</v>
      </c>
      <c r="I202" s="7" t="s">
        <v>328</v>
      </c>
      <c r="J202" s="7" t="s">
        <v>658</v>
      </c>
      <c r="K202" s="7" t="s">
        <v>46</v>
      </c>
    </row>
    <row r="203" customFormat="false" ht="23.85" hidden="false" customHeight="false" outlineLevel="0" collapsed="false">
      <c r="A203" s="4" t="s">
        <v>659</v>
      </c>
      <c r="B203" s="4" t="s">
        <v>38</v>
      </c>
      <c r="C203" s="4" t="s">
        <v>660</v>
      </c>
      <c r="D203" s="4" t="s">
        <v>15</v>
      </c>
      <c r="E203" s="4" t="s">
        <v>43</v>
      </c>
      <c r="F203" s="4" t="n">
        <v>0.75</v>
      </c>
      <c r="G203" s="4" t="s">
        <v>50</v>
      </c>
      <c r="H203" s="4" t="s">
        <v>128</v>
      </c>
      <c r="I203" s="4" t="s">
        <v>328</v>
      </c>
      <c r="J203" s="4" t="s">
        <v>661</v>
      </c>
      <c r="K203" s="4" t="s">
        <v>46</v>
      </c>
    </row>
    <row r="204" customFormat="false" ht="23.85" hidden="false" customHeight="false" outlineLevel="0" collapsed="false">
      <c r="A204" s="7" t="s">
        <v>662</v>
      </c>
      <c r="B204" s="7" t="s">
        <v>38</v>
      </c>
      <c r="C204" s="7" t="s">
        <v>663</v>
      </c>
      <c r="D204" s="7" t="s">
        <v>18</v>
      </c>
      <c r="E204" s="7" t="s">
        <v>43</v>
      </c>
      <c r="F204" s="7" t="n">
        <v>0.75</v>
      </c>
      <c r="G204" s="7" t="s">
        <v>50</v>
      </c>
      <c r="H204" s="7" t="s">
        <v>128</v>
      </c>
      <c r="I204" s="7" t="s">
        <v>328</v>
      </c>
      <c r="J204" s="7" t="s">
        <v>664</v>
      </c>
      <c r="K204" s="7" t="s">
        <v>46</v>
      </c>
    </row>
    <row r="205" customFormat="false" ht="23.85" hidden="false" customHeight="false" outlineLevel="0" collapsed="false">
      <c r="A205" s="4" t="s">
        <v>665</v>
      </c>
      <c r="B205" s="4" t="s">
        <v>38</v>
      </c>
      <c r="C205" s="4" t="s">
        <v>666</v>
      </c>
      <c r="D205" s="4" t="s">
        <v>18</v>
      </c>
      <c r="E205" s="4" t="s">
        <v>43</v>
      </c>
      <c r="F205" s="4" t="n">
        <v>0.75</v>
      </c>
      <c r="G205" s="4" t="s">
        <v>50</v>
      </c>
      <c r="H205" s="4" t="s">
        <v>128</v>
      </c>
      <c r="I205" s="4" t="s">
        <v>328</v>
      </c>
      <c r="J205" s="4" t="s">
        <v>667</v>
      </c>
      <c r="K205" s="4" t="s">
        <v>46</v>
      </c>
    </row>
    <row r="206" customFormat="false" ht="23.85" hidden="false" customHeight="false" outlineLevel="0" collapsed="false">
      <c r="A206" s="7" t="s">
        <v>668</v>
      </c>
      <c r="B206" s="7" t="s">
        <v>38</v>
      </c>
      <c r="C206" s="7" t="s">
        <v>669</v>
      </c>
      <c r="D206" s="7" t="s">
        <v>18</v>
      </c>
      <c r="E206" s="7" t="s">
        <v>43</v>
      </c>
      <c r="F206" s="7" t="n">
        <v>0.75</v>
      </c>
      <c r="G206" s="7" t="s">
        <v>50</v>
      </c>
      <c r="H206" s="7" t="s">
        <v>128</v>
      </c>
      <c r="I206" s="7" t="s">
        <v>328</v>
      </c>
      <c r="J206" s="7" t="s">
        <v>670</v>
      </c>
      <c r="K206" s="7" t="s">
        <v>46</v>
      </c>
    </row>
    <row r="207" customFormat="false" ht="23.85" hidden="false" customHeight="false" outlineLevel="0" collapsed="false">
      <c r="A207" s="4" t="s">
        <v>671</v>
      </c>
      <c r="B207" s="4" t="s">
        <v>38</v>
      </c>
      <c r="C207" s="4" t="s">
        <v>672</v>
      </c>
      <c r="D207" s="4" t="s">
        <v>15</v>
      </c>
      <c r="E207" s="4" t="s">
        <v>43</v>
      </c>
      <c r="F207" s="4" t="n">
        <v>0.75</v>
      </c>
      <c r="G207" s="4" t="s">
        <v>50</v>
      </c>
      <c r="H207" s="4" t="s">
        <v>128</v>
      </c>
      <c r="I207" s="4" t="s">
        <v>328</v>
      </c>
      <c r="J207" s="4" t="s">
        <v>673</v>
      </c>
      <c r="K207" s="4" t="s">
        <v>46</v>
      </c>
    </row>
    <row r="208" customFormat="false" ht="15" hidden="false" customHeight="false" outlineLevel="0" collapsed="false">
      <c r="A208" s="7" t="s">
        <v>674</v>
      </c>
      <c r="B208" s="7" t="s">
        <v>38</v>
      </c>
      <c r="C208" s="7" t="s">
        <v>675</v>
      </c>
      <c r="D208" s="7" t="s">
        <v>21</v>
      </c>
      <c r="E208" s="7" t="s">
        <v>183</v>
      </c>
      <c r="F208" s="7" t="n">
        <v>0.75</v>
      </c>
      <c r="G208" s="7" t="s">
        <v>50</v>
      </c>
      <c r="H208" s="7" t="s">
        <v>128</v>
      </c>
      <c r="I208" s="7" t="s">
        <v>328</v>
      </c>
      <c r="J208" s="7" t="s">
        <v>676</v>
      </c>
      <c r="K208" s="7" t="s">
        <v>46</v>
      </c>
    </row>
    <row r="209" customFormat="false" ht="15" hidden="false" customHeight="false" outlineLevel="0" collapsed="false">
      <c r="A209" s="4" t="s">
        <v>677</v>
      </c>
      <c r="B209" s="4" t="s">
        <v>38</v>
      </c>
      <c r="C209" s="4" t="s">
        <v>678</v>
      </c>
      <c r="D209" s="4" t="s">
        <v>18</v>
      </c>
      <c r="E209" s="4" t="s">
        <v>43</v>
      </c>
      <c r="F209" s="4" t="n">
        <v>0.75</v>
      </c>
      <c r="G209" s="4" t="s">
        <v>50</v>
      </c>
      <c r="H209" s="4" t="s">
        <v>128</v>
      </c>
      <c r="I209" s="4" t="s">
        <v>328</v>
      </c>
      <c r="J209" s="4" t="s">
        <v>679</v>
      </c>
      <c r="K209" s="4" t="s">
        <v>46</v>
      </c>
    </row>
    <row r="210" customFormat="false" ht="15" hidden="false" customHeight="false" outlineLevel="0" collapsed="false">
      <c r="A210" s="7" t="s">
        <v>680</v>
      </c>
      <c r="B210" s="7" t="s">
        <v>38</v>
      </c>
      <c r="C210" s="7" t="s">
        <v>681</v>
      </c>
      <c r="D210" s="7" t="s">
        <v>21</v>
      </c>
      <c r="E210" s="7" t="s">
        <v>183</v>
      </c>
      <c r="F210" s="7" t="n">
        <v>0.75</v>
      </c>
      <c r="G210" s="7" t="s">
        <v>50</v>
      </c>
      <c r="H210" s="7" t="s">
        <v>128</v>
      </c>
      <c r="I210" s="7" t="s">
        <v>328</v>
      </c>
      <c r="J210" s="7" t="s">
        <v>682</v>
      </c>
      <c r="K210" s="7" t="s">
        <v>46</v>
      </c>
    </row>
    <row r="211" customFormat="false" ht="15" hidden="false" customHeight="false" outlineLevel="0" collapsed="false">
      <c r="A211" s="4" t="s">
        <v>683</v>
      </c>
      <c r="B211" s="4" t="s">
        <v>38</v>
      </c>
      <c r="C211" s="4" t="s">
        <v>684</v>
      </c>
      <c r="D211" s="4" t="s">
        <v>21</v>
      </c>
      <c r="E211" s="4" t="s">
        <v>183</v>
      </c>
      <c r="F211" s="4" t="n">
        <v>0.75</v>
      </c>
      <c r="G211" s="4" t="s">
        <v>50</v>
      </c>
      <c r="H211" s="4" t="s">
        <v>44</v>
      </c>
      <c r="I211" s="4" t="s">
        <v>328</v>
      </c>
      <c r="J211" s="4" t="s">
        <v>685</v>
      </c>
      <c r="K211" s="4" t="s">
        <v>46</v>
      </c>
    </row>
    <row r="212" customFormat="false" ht="23.85" hidden="false" customHeight="false" outlineLevel="0" collapsed="false">
      <c r="A212" s="7" t="s">
        <v>686</v>
      </c>
      <c r="B212" s="7" t="s">
        <v>38</v>
      </c>
      <c r="C212" s="7" t="s">
        <v>687</v>
      </c>
      <c r="D212" s="7" t="s">
        <v>15</v>
      </c>
      <c r="E212" s="7" t="s">
        <v>43</v>
      </c>
      <c r="F212" s="7" t="n">
        <v>0.5</v>
      </c>
      <c r="G212" s="7" t="s">
        <v>50</v>
      </c>
      <c r="H212" s="7" t="s">
        <v>128</v>
      </c>
      <c r="I212" s="7" t="s">
        <v>173</v>
      </c>
      <c r="J212" s="7" t="s">
        <v>688</v>
      </c>
      <c r="K212" s="7" t="s">
        <v>46</v>
      </c>
    </row>
    <row r="213" customFormat="false" ht="23.85" hidden="false" customHeight="false" outlineLevel="0" collapsed="false">
      <c r="A213" s="4" t="s">
        <v>689</v>
      </c>
      <c r="B213" s="4" t="s">
        <v>38</v>
      </c>
      <c r="C213" s="4" t="s">
        <v>690</v>
      </c>
      <c r="D213" s="4" t="s">
        <v>15</v>
      </c>
      <c r="E213" s="4" t="s">
        <v>43</v>
      </c>
      <c r="F213" s="4" t="n">
        <v>0.5</v>
      </c>
      <c r="G213" s="4" t="s">
        <v>50</v>
      </c>
      <c r="H213" s="4" t="s">
        <v>128</v>
      </c>
      <c r="I213" s="4" t="s">
        <v>173</v>
      </c>
      <c r="J213" s="4" t="s">
        <v>691</v>
      </c>
      <c r="K213" s="4" t="s">
        <v>46</v>
      </c>
    </row>
    <row r="214" customFormat="false" ht="23.85" hidden="false" customHeight="false" outlineLevel="0" collapsed="false">
      <c r="A214" s="7" t="s">
        <v>692</v>
      </c>
      <c r="B214" s="7" t="s">
        <v>38</v>
      </c>
      <c r="C214" s="7" t="s">
        <v>693</v>
      </c>
      <c r="D214" s="7" t="s">
        <v>15</v>
      </c>
      <c r="E214" s="7" t="s">
        <v>43</v>
      </c>
      <c r="F214" s="7" t="n">
        <v>0.5</v>
      </c>
      <c r="G214" s="7" t="s">
        <v>50</v>
      </c>
      <c r="H214" s="7" t="s">
        <v>128</v>
      </c>
      <c r="I214" s="7" t="s">
        <v>173</v>
      </c>
      <c r="J214" s="7" t="s">
        <v>694</v>
      </c>
      <c r="K214" s="7" t="s">
        <v>46</v>
      </c>
    </row>
    <row r="215" customFormat="false" ht="23.85" hidden="false" customHeight="false" outlineLevel="0" collapsed="false">
      <c r="A215" s="4" t="s">
        <v>695</v>
      </c>
      <c r="B215" s="4" t="s">
        <v>38</v>
      </c>
      <c r="C215" s="4" t="s">
        <v>696</v>
      </c>
      <c r="D215" s="4" t="s">
        <v>15</v>
      </c>
      <c r="E215" s="4" t="s">
        <v>43</v>
      </c>
      <c r="F215" s="4" t="n">
        <v>0.5</v>
      </c>
      <c r="G215" s="4" t="s">
        <v>50</v>
      </c>
      <c r="H215" s="4" t="s">
        <v>128</v>
      </c>
      <c r="I215" s="4" t="s">
        <v>173</v>
      </c>
      <c r="J215" s="4" t="s">
        <v>697</v>
      </c>
      <c r="K215" s="4" t="s">
        <v>46</v>
      </c>
    </row>
    <row r="216" customFormat="false" ht="23.85" hidden="false" customHeight="false" outlineLevel="0" collapsed="false">
      <c r="A216" s="7" t="s">
        <v>698</v>
      </c>
      <c r="B216" s="7" t="s">
        <v>38</v>
      </c>
      <c r="C216" s="7" t="s">
        <v>699</v>
      </c>
      <c r="D216" s="7" t="s">
        <v>18</v>
      </c>
      <c r="E216" s="7" t="s">
        <v>43</v>
      </c>
      <c r="F216" s="7" t="n">
        <v>0.5</v>
      </c>
      <c r="G216" s="7" t="s">
        <v>50</v>
      </c>
      <c r="H216" s="7" t="s">
        <v>128</v>
      </c>
      <c r="I216" s="7" t="s">
        <v>173</v>
      </c>
      <c r="J216" s="7" t="s">
        <v>700</v>
      </c>
      <c r="K216" s="7" t="s">
        <v>46</v>
      </c>
    </row>
    <row r="217" customFormat="false" ht="23.85" hidden="false" customHeight="false" outlineLevel="0" collapsed="false">
      <c r="A217" s="4" t="s">
        <v>701</v>
      </c>
      <c r="B217" s="4" t="s">
        <v>38</v>
      </c>
      <c r="C217" s="4" t="s">
        <v>702</v>
      </c>
      <c r="D217" s="4" t="s">
        <v>18</v>
      </c>
      <c r="E217" s="4" t="s">
        <v>43</v>
      </c>
      <c r="F217" s="4" t="n">
        <v>0.5</v>
      </c>
      <c r="G217" s="4" t="s">
        <v>50</v>
      </c>
      <c r="H217" s="4" t="s">
        <v>128</v>
      </c>
      <c r="I217" s="4" t="s">
        <v>173</v>
      </c>
      <c r="J217" s="4" t="s">
        <v>703</v>
      </c>
      <c r="K217" s="4" t="s">
        <v>46</v>
      </c>
    </row>
    <row r="218" customFormat="false" ht="23.85" hidden="false" customHeight="false" outlineLevel="0" collapsed="false">
      <c r="A218" s="7" t="s">
        <v>704</v>
      </c>
      <c r="B218" s="7" t="s">
        <v>38</v>
      </c>
      <c r="C218" s="7" t="s">
        <v>705</v>
      </c>
      <c r="D218" s="7" t="s">
        <v>15</v>
      </c>
      <c r="E218" s="7" t="s">
        <v>43</v>
      </c>
      <c r="F218" s="7" t="n">
        <v>0.5</v>
      </c>
      <c r="G218" s="7" t="s">
        <v>50</v>
      </c>
      <c r="H218" s="7" t="s">
        <v>128</v>
      </c>
      <c r="I218" s="7" t="s">
        <v>173</v>
      </c>
      <c r="J218" s="7" t="s">
        <v>706</v>
      </c>
      <c r="K218" s="7" t="s">
        <v>46</v>
      </c>
    </row>
    <row r="219" customFormat="false" ht="23.85" hidden="false" customHeight="false" outlineLevel="0" collapsed="false">
      <c r="A219" s="4" t="s">
        <v>707</v>
      </c>
      <c r="B219" s="4" t="s">
        <v>38</v>
      </c>
      <c r="C219" s="4" t="s">
        <v>708</v>
      </c>
      <c r="D219" s="4" t="s">
        <v>15</v>
      </c>
      <c r="E219" s="4" t="s">
        <v>43</v>
      </c>
      <c r="F219" s="4" t="n">
        <v>0.5</v>
      </c>
      <c r="G219" s="4" t="s">
        <v>50</v>
      </c>
      <c r="H219" s="4" t="s">
        <v>128</v>
      </c>
      <c r="I219" s="4" t="s">
        <v>173</v>
      </c>
      <c r="J219" s="4" t="s">
        <v>709</v>
      </c>
      <c r="K219" s="4" t="s">
        <v>46</v>
      </c>
    </row>
    <row r="220" customFormat="false" ht="23.85" hidden="false" customHeight="false" outlineLevel="0" collapsed="false">
      <c r="A220" s="7" t="s">
        <v>710</v>
      </c>
      <c r="B220" s="7" t="s">
        <v>38</v>
      </c>
      <c r="C220" s="7" t="s">
        <v>711</v>
      </c>
      <c r="D220" s="7" t="s">
        <v>15</v>
      </c>
      <c r="E220" s="7" t="s">
        <v>43</v>
      </c>
      <c r="F220" s="7" t="n">
        <v>0.75</v>
      </c>
      <c r="G220" s="7" t="s">
        <v>50</v>
      </c>
      <c r="H220" s="7" t="s">
        <v>128</v>
      </c>
      <c r="I220" s="7" t="s">
        <v>173</v>
      </c>
      <c r="J220" s="7" t="s">
        <v>712</v>
      </c>
      <c r="K220" s="7" t="s">
        <v>46</v>
      </c>
    </row>
    <row r="221" customFormat="false" ht="23.85" hidden="false" customHeight="false" outlineLevel="0" collapsed="false">
      <c r="A221" s="4" t="s">
        <v>713</v>
      </c>
      <c r="B221" s="4" t="s">
        <v>38</v>
      </c>
      <c r="C221" s="4" t="s">
        <v>714</v>
      </c>
      <c r="D221" s="4" t="s">
        <v>18</v>
      </c>
      <c r="E221" s="4" t="s">
        <v>43</v>
      </c>
      <c r="F221" s="4" t="n">
        <v>0.5</v>
      </c>
      <c r="G221" s="4" t="s">
        <v>50</v>
      </c>
      <c r="H221" s="4" t="s">
        <v>128</v>
      </c>
      <c r="I221" s="4" t="s">
        <v>173</v>
      </c>
      <c r="J221" s="4" t="s">
        <v>715</v>
      </c>
      <c r="K221" s="4" t="s">
        <v>46</v>
      </c>
    </row>
    <row r="222" customFormat="false" ht="23.85" hidden="false" customHeight="false" outlineLevel="0" collapsed="false">
      <c r="A222" s="7" t="s">
        <v>716</v>
      </c>
      <c r="B222" s="7" t="s">
        <v>38</v>
      </c>
      <c r="C222" s="7" t="s">
        <v>717</v>
      </c>
      <c r="D222" s="7" t="s">
        <v>15</v>
      </c>
      <c r="E222" s="7" t="s">
        <v>43</v>
      </c>
      <c r="F222" s="7" t="n">
        <v>0.5</v>
      </c>
      <c r="G222" s="7" t="s">
        <v>50</v>
      </c>
      <c r="H222" s="7" t="s">
        <v>128</v>
      </c>
      <c r="I222" s="7" t="s">
        <v>173</v>
      </c>
      <c r="J222" s="7" t="s">
        <v>718</v>
      </c>
      <c r="K222" s="7" t="s">
        <v>46</v>
      </c>
    </row>
    <row r="223" customFormat="false" ht="23.85" hidden="false" customHeight="false" outlineLevel="0" collapsed="false">
      <c r="A223" s="4" t="s">
        <v>719</v>
      </c>
      <c r="B223" s="4" t="s">
        <v>38</v>
      </c>
      <c r="C223" s="4" t="s">
        <v>720</v>
      </c>
      <c r="D223" s="4" t="s">
        <v>18</v>
      </c>
      <c r="E223" s="4" t="s">
        <v>43</v>
      </c>
      <c r="F223" s="4" t="n">
        <v>0.5</v>
      </c>
      <c r="G223" s="4" t="s">
        <v>50</v>
      </c>
      <c r="H223" s="4" t="s">
        <v>128</v>
      </c>
      <c r="I223" s="4" t="s">
        <v>173</v>
      </c>
      <c r="J223" s="4" t="s">
        <v>721</v>
      </c>
      <c r="K223" s="4" t="s">
        <v>46</v>
      </c>
    </row>
    <row r="224" customFormat="false" ht="23.85" hidden="false" customHeight="false" outlineLevel="0" collapsed="false">
      <c r="A224" s="7" t="s">
        <v>722</v>
      </c>
      <c r="B224" s="7" t="s">
        <v>38</v>
      </c>
      <c r="C224" s="7" t="s">
        <v>723</v>
      </c>
      <c r="D224" s="7" t="s">
        <v>15</v>
      </c>
      <c r="E224" s="7" t="s">
        <v>43</v>
      </c>
      <c r="F224" s="7" t="n">
        <v>0.5</v>
      </c>
      <c r="G224" s="7" t="s">
        <v>50</v>
      </c>
      <c r="H224" s="7" t="s">
        <v>128</v>
      </c>
      <c r="I224" s="7" t="s">
        <v>173</v>
      </c>
      <c r="J224" s="7" t="s">
        <v>724</v>
      </c>
      <c r="K224" s="7" t="s">
        <v>46</v>
      </c>
    </row>
    <row r="225" customFormat="false" ht="23.85" hidden="false" customHeight="false" outlineLevel="0" collapsed="false">
      <c r="A225" s="4" t="s">
        <v>725</v>
      </c>
      <c r="B225" s="4" t="s">
        <v>38</v>
      </c>
      <c r="C225" s="4" t="s">
        <v>726</v>
      </c>
      <c r="D225" s="4" t="s">
        <v>18</v>
      </c>
      <c r="E225" s="4" t="s">
        <v>43</v>
      </c>
      <c r="F225" s="4" t="n">
        <v>0.75</v>
      </c>
      <c r="G225" s="4" t="s">
        <v>50</v>
      </c>
      <c r="H225" s="4" t="s">
        <v>128</v>
      </c>
      <c r="I225" s="4" t="s">
        <v>398</v>
      </c>
      <c r="J225" s="4" t="s">
        <v>727</v>
      </c>
      <c r="K225" s="4" t="s">
        <v>46</v>
      </c>
    </row>
    <row r="226" customFormat="false" ht="23.85" hidden="false" customHeight="false" outlineLevel="0" collapsed="false">
      <c r="A226" s="7" t="s">
        <v>728</v>
      </c>
      <c r="B226" s="7" t="s">
        <v>38</v>
      </c>
      <c r="C226" s="7" t="s">
        <v>729</v>
      </c>
      <c r="D226" s="7" t="s">
        <v>18</v>
      </c>
      <c r="E226" s="7" t="s">
        <v>43</v>
      </c>
      <c r="F226" s="7" t="n">
        <v>0.75</v>
      </c>
      <c r="G226" s="7" t="s">
        <v>50</v>
      </c>
      <c r="H226" s="7" t="s">
        <v>128</v>
      </c>
      <c r="I226" s="7" t="s">
        <v>398</v>
      </c>
      <c r="J226" s="7" t="s">
        <v>730</v>
      </c>
      <c r="K226" s="7" t="s">
        <v>46</v>
      </c>
    </row>
    <row r="227" customFormat="false" ht="23.85" hidden="false" customHeight="false" outlineLevel="0" collapsed="false">
      <c r="A227" s="4" t="s">
        <v>731</v>
      </c>
      <c r="B227" s="4" t="s">
        <v>38</v>
      </c>
      <c r="C227" s="4" t="s">
        <v>732</v>
      </c>
      <c r="D227" s="4" t="s">
        <v>18</v>
      </c>
      <c r="E227" s="4" t="s">
        <v>43</v>
      </c>
      <c r="F227" s="4" t="n">
        <v>0.75</v>
      </c>
      <c r="G227" s="4" t="s">
        <v>50</v>
      </c>
      <c r="H227" s="4" t="s">
        <v>128</v>
      </c>
      <c r="I227" s="4" t="s">
        <v>398</v>
      </c>
      <c r="J227" s="4" t="s">
        <v>733</v>
      </c>
      <c r="K227" s="4" t="s">
        <v>46</v>
      </c>
    </row>
    <row r="228" customFormat="false" ht="23.85" hidden="false" customHeight="false" outlineLevel="0" collapsed="false">
      <c r="A228" s="7" t="s">
        <v>734</v>
      </c>
      <c r="B228" s="7" t="s">
        <v>38</v>
      </c>
      <c r="C228" s="7" t="s">
        <v>735</v>
      </c>
      <c r="D228" s="7" t="s">
        <v>18</v>
      </c>
      <c r="E228" s="7" t="s">
        <v>43</v>
      </c>
      <c r="F228" s="7" t="n">
        <v>0.75</v>
      </c>
      <c r="G228" s="7" t="s">
        <v>50</v>
      </c>
      <c r="H228" s="7" t="s">
        <v>44</v>
      </c>
      <c r="I228" s="7" t="s">
        <v>398</v>
      </c>
      <c r="J228" s="7" t="s">
        <v>736</v>
      </c>
      <c r="K228" s="7" t="s">
        <v>46</v>
      </c>
    </row>
    <row r="229" customFormat="false" ht="23.85" hidden="false" customHeight="false" outlineLevel="0" collapsed="false">
      <c r="A229" s="4" t="s">
        <v>737</v>
      </c>
      <c r="B229" s="4" t="s">
        <v>38</v>
      </c>
      <c r="C229" s="4" t="s">
        <v>738</v>
      </c>
      <c r="D229" s="4" t="s">
        <v>21</v>
      </c>
      <c r="E229" s="4" t="s">
        <v>183</v>
      </c>
      <c r="F229" s="4" t="n">
        <v>1.125</v>
      </c>
      <c r="G229" s="4" t="s">
        <v>50</v>
      </c>
      <c r="H229" s="4" t="s">
        <v>128</v>
      </c>
      <c r="I229" s="4" t="s">
        <v>398</v>
      </c>
      <c r="J229" s="4" t="s">
        <v>739</v>
      </c>
      <c r="K229" s="4" t="s">
        <v>46</v>
      </c>
    </row>
    <row r="230" customFormat="false" ht="23.85" hidden="false" customHeight="false" outlineLevel="0" collapsed="false">
      <c r="A230" s="7" t="s">
        <v>740</v>
      </c>
      <c r="B230" s="7" t="s">
        <v>38</v>
      </c>
      <c r="C230" s="7" t="s">
        <v>741</v>
      </c>
      <c r="D230" s="7" t="s">
        <v>18</v>
      </c>
      <c r="E230" s="7" t="s">
        <v>43</v>
      </c>
      <c r="F230" s="7" t="n">
        <v>1.125</v>
      </c>
      <c r="G230" s="7" t="s">
        <v>50</v>
      </c>
      <c r="H230" s="7" t="s">
        <v>128</v>
      </c>
      <c r="I230" s="7" t="s">
        <v>398</v>
      </c>
      <c r="J230" s="7" t="s">
        <v>742</v>
      </c>
      <c r="K230" s="7" t="s">
        <v>46</v>
      </c>
    </row>
    <row r="231" customFormat="false" ht="23.85" hidden="false" customHeight="false" outlineLevel="0" collapsed="false">
      <c r="A231" s="4" t="s">
        <v>743</v>
      </c>
      <c r="B231" s="4" t="s">
        <v>38</v>
      </c>
      <c r="C231" s="4" t="s">
        <v>744</v>
      </c>
      <c r="D231" s="4" t="s">
        <v>21</v>
      </c>
      <c r="E231" s="4" t="s">
        <v>183</v>
      </c>
      <c r="F231" s="4" t="n">
        <v>1.125</v>
      </c>
      <c r="G231" s="4" t="s">
        <v>50</v>
      </c>
      <c r="H231" s="4" t="s">
        <v>128</v>
      </c>
      <c r="I231" s="4" t="s">
        <v>398</v>
      </c>
      <c r="J231" s="4" t="s">
        <v>745</v>
      </c>
      <c r="K231" s="4" t="s">
        <v>46</v>
      </c>
    </row>
    <row r="232" customFormat="false" ht="23.85" hidden="false" customHeight="false" outlineLevel="0" collapsed="false">
      <c r="A232" s="7" t="s">
        <v>746</v>
      </c>
      <c r="B232" s="7" t="s">
        <v>38</v>
      </c>
      <c r="C232" s="7" t="s">
        <v>747</v>
      </c>
      <c r="D232" s="7" t="s">
        <v>21</v>
      </c>
      <c r="E232" s="7" t="s">
        <v>183</v>
      </c>
      <c r="F232" s="7" t="n">
        <v>0.75</v>
      </c>
      <c r="G232" s="7" t="s">
        <v>50</v>
      </c>
      <c r="H232" s="7" t="s">
        <v>128</v>
      </c>
      <c r="I232" s="7" t="s">
        <v>398</v>
      </c>
      <c r="J232" s="7" t="s">
        <v>748</v>
      </c>
      <c r="K232" s="7" t="s">
        <v>46</v>
      </c>
    </row>
    <row r="233" customFormat="false" ht="23.85" hidden="false" customHeight="false" outlineLevel="0" collapsed="false">
      <c r="A233" s="4" t="s">
        <v>749</v>
      </c>
      <c r="B233" s="4" t="s">
        <v>38</v>
      </c>
      <c r="C233" s="4" t="s">
        <v>750</v>
      </c>
      <c r="D233" s="4" t="s">
        <v>18</v>
      </c>
      <c r="E233" s="4" t="s">
        <v>43</v>
      </c>
      <c r="F233" s="4" t="n">
        <v>0.75</v>
      </c>
      <c r="G233" s="4" t="s">
        <v>50</v>
      </c>
      <c r="H233" s="4" t="s">
        <v>128</v>
      </c>
      <c r="I233" s="4" t="s">
        <v>398</v>
      </c>
      <c r="J233" s="4" t="s">
        <v>751</v>
      </c>
      <c r="K233" s="4" t="s">
        <v>46</v>
      </c>
    </row>
    <row r="234" customFormat="false" ht="23.85" hidden="false" customHeight="false" outlineLevel="0" collapsed="false">
      <c r="A234" s="7" t="s">
        <v>752</v>
      </c>
      <c r="B234" s="7" t="s">
        <v>38</v>
      </c>
      <c r="C234" s="7" t="s">
        <v>753</v>
      </c>
      <c r="D234" s="7" t="s">
        <v>21</v>
      </c>
      <c r="E234" s="7" t="s">
        <v>183</v>
      </c>
      <c r="F234" s="7" t="n">
        <v>0.75</v>
      </c>
      <c r="G234" s="7" t="s">
        <v>50</v>
      </c>
      <c r="H234" s="7" t="s">
        <v>128</v>
      </c>
      <c r="I234" s="7" t="s">
        <v>398</v>
      </c>
      <c r="J234" s="7" t="s">
        <v>754</v>
      </c>
      <c r="K234" s="7" t="s">
        <v>46</v>
      </c>
    </row>
    <row r="235" customFormat="false" ht="23.85" hidden="false" customHeight="false" outlineLevel="0" collapsed="false">
      <c r="A235" s="4" t="s">
        <v>755</v>
      </c>
      <c r="B235" s="4" t="s">
        <v>38</v>
      </c>
      <c r="C235" s="4" t="s">
        <v>756</v>
      </c>
      <c r="D235" s="4" t="s">
        <v>18</v>
      </c>
      <c r="E235" s="4" t="s">
        <v>43</v>
      </c>
      <c r="F235" s="4" t="n">
        <v>0.75</v>
      </c>
      <c r="G235" s="4" t="s">
        <v>50</v>
      </c>
      <c r="H235" s="4" t="s">
        <v>128</v>
      </c>
      <c r="I235" s="4" t="s">
        <v>398</v>
      </c>
      <c r="J235" s="4" t="s">
        <v>757</v>
      </c>
      <c r="K235" s="4" t="s">
        <v>46</v>
      </c>
    </row>
    <row r="236" customFormat="false" ht="23.85" hidden="false" customHeight="false" outlineLevel="0" collapsed="false">
      <c r="A236" s="7" t="s">
        <v>758</v>
      </c>
      <c r="B236" s="7" t="s">
        <v>38</v>
      </c>
      <c r="C236" s="7" t="s">
        <v>759</v>
      </c>
      <c r="D236" s="7" t="s">
        <v>18</v>
      </c>
      <c r="E236" s="7" t="s">
        <v>43</v>
      </c>
      <c r="F236" s="7" t="n">
        <v>1.125</v>
      </c>
      <c r="G236" s="7" t="s">
        <v>50</v>
      </c>
      <c r="H236" s="7" t="s">
        <v>128</v>
      </c>
      <c r="I236" s="7" t="s">
        <v>398</v>
      </c>
      <c r="J236" s="7" t="s">
        <v>760</v>
      </c>
      <c r="K236" s="7" t="s">
        <v>46</v>
      </c>
    </row>
    <row r="237" customFormat="false" ht="23.85" hidden="false" customHeight="false" outlineLevel="0" collapsed="false">
      <c r="A237" s="4" t="s">
        <v>761</v>
      </c>
      <c r="B237" s="4" t="s">
        <v>38</v>
      </c>
      <c r="C237" s="4" t="s">
        <v>762</v>
      </c>
      <c r="D237" s="4" t="s">
        <v>15</v>
      </c>
      <c r="E237" s="4" t="s">
        <v>43</v>
      </c>
      <c r="F237" s="4" t="n">
        <v>0.5</v>
      </c>
      <c r="G237" s="4" t="s">
        <v>50</v>
      </c>
      <c r="H237" s="4" t="s">
        <v>128</v>
      </c>
      <c r="I237" s="4" t="s">
        <v>129</v>
      </c>
      <c r="J237" s="4" t="s">
        <v>763</v>
      </c>
      <c r="K237" s="4" t="s">
        <v>46</v>
      </c>
    </row>
    <row r="238" customFormat="false" ht="23.85" hidden="false" customHeight="false" outlineLevel="0" collapsed="false">
      <c r="A238" s="7" t="s">
        <v>764</v>
      </c>
      <c r="B238" s="7" t="s">
        <v>38</v>
      </c>
      <c r="C238" s="7" t="s">
        <v>765</v>
      </c>
      <c r="D238" s="7" t="s">
        <v>15</v>
      </c>
      <c r="E238" s="7" t="s">
        <v>43</v>
      </c>
      <c r="F238" s="7" t="n">
        <v>0.5</v>
      </c>
      <c r="G238" s="7" t="s">
        <v>50</v>
      </c>
      <c r="H238" s="7" t="s">
        <v>128</v>
      </c>
      <c r="I238" s="7" t="s">
        <v>129</v>
      </c>
      <c r="J238" s="7" t="s">
        <v>766</v>
      </c>
      <c r="K238" s="7" t="s">
        <v>46</v>
      </c>
    </row>
    <row r="239" customFormat="false" ht="23.85" hidden="false" customHeight="false" outlineLevel="0" collapsed="false">
      <c r="A239" s="4" t="s">
        <v>767</v>
      </c>
      <c r="B239" s="4" t="s">
        <v>38</v>
      </c>
      <c r="C239" s="4" t="s">
        <v>768</v>
      </c>
      <c r="D239" s="4" t="s">
        <v>15</v>
      </c>
      <c r="E239" s="4" t="s">
        <v>43</v>
      </c>
      <c r="F239" s="4" t="n">
        <v>1</v>
      </c>
      <c r="G239" s="4" t="s">
        <v>50</v>
      </c>
      <c r="H239" s="4" t="s">
        <v>128</v>
      </c>
      <c r="I239" s="4" t="s">
        <v>129</v>
      </c>
      <c r="J239" s="4" t="s">
        <v>769</v>
      </c>
      <c r="K239" s="4" t="s">
        <v>46</v>
      </c>
    </row>
    <row r="240" customFormat="false" ht="23.85" hidden="false" customHeight="false" outlineLevel="0" collapsed="false">
      <c r="A240" s="7" t="s">
        <v>770</v>
      </c>
      <c r="B240" s="7" t="s">
        <v>38</v>
      </c>
      <c r="C240" s="7" t="s">
        <v>771</v>
      </c>
      <c r="D240" s="7" t="s">
        <v>15</v>
      </c>
      <c r="E240" s="7" t="s">
        <v>43</v>
      </c>
      <c r="F240" s="7" t="n">
        <v>0.5</v>
      </c>
      <c r="G240" s="7" t="s">
        <v>50</v>
      </c>
      <c r="H240" s="7" t="s">
        <v>128</v>
      </c>
      <c r="I240" s="7" t="s">
        <v>129</v>
      </c>
      <c r="J240" s="7" t="s">
        <v>772</v>
      </c>
      <c r="K240" s="7" t="s">
        <v>46</v>
      </c>
    </row>
    <row r="241" customFormat="false" ht="23.85" hidden="false" customHeight="false" outlineLevel="0" collapsed="false">
      <c r="A241" s="4" t="s">
        <v>773</v>
      </c>
      <c r="B241" s="4" t="s">
        <v>38</v>
      </c>
      <c r="C241" s="4" t="s">
        <v>774</v>
      </c>
      <c r="D241" s="4" t="s">
        <v>15</v>
      </c>
      <c r="E241" s="4" t="s">
        <v>43</v>
      </c>
      <c r="F241" s="4" t="n">
        <v>1</v>
      </c>
      <c r="G241" s="4" t="s">
        <v>50</v>
      </c>
      <c r="H241" s="4" t="s">
        <v>44</v>
      </c>
      <c r="I241" s="4" t="s">
        <v>129</v>
      </c>
      <c r="J241" s="4" t="s">
        <v>775</v>
      </c>
      <c r="K241" s="4" t="s">
        <v>46</v>
      </c>
    </row>
    <row r="242" customFormat="false" ht="23.85" hidden="false" customHeight="false" outlineLevel="0" collapsed="false">
      <c r="A242" s="7" t="s">
        <v>776</v>
      </c>
      <c r="B242" s="7" t="s">
        <v>38</v>
      </c>
      <c r="C242" s="7" t="s">
        <v>777</v>
      </c>
      <c r="D242" s="7" t="s">
        <v>15</v>
      </c>
      <c r="E242" s="7" t="s">
        <v>43</v>
      </c>
      <c r="F242" s="7" t="n">
        <v>0.75</v>
      </c>
      <c r="G242" s="7" t="s">
        <v>50</v>
      </c>
      <c r="H242" s="7" t="s">
        <v>128</v>
      </c>
      <c r="I242" s="7" t="s">
        <v>129</v>
      </c>
      <c r="J242" s="7" t="s">
        <v>778</v>
      </c>
      <c r="K242" s="7" t="s">
        <v>46</v>
      </c>
    </row>
    <row r="243" customFormat="false" ht="23.85" hidden="false" customHeight="false" outlineLevel="0" collapsed="false">
      <c r="A243" s="4" t="s">
        <v>779</v>
      </c>
      <c r="B243" s="4" t="s">
        <v>38</v>
      </c>
      <c r="C243" s="4" t="s">
        <v>780</v>
      </c>
      <c r="D243" s="4" t="s">
        <v>15</v>
      </c>
      <c r="E243" s="4" t="s">
        <v>43</v>
      </c>
      <c r="F243" s="4" t="n">
        <v>1</v>
      </c>
      <c r="G243" s="4" t="s">
        <v>50</v>
      </c>
      <c r="H243" s="4" t="s">
        <v>128</v>
      </c>
      <c r="I243" s="4" t="s">
        <v>129</v>
      </c>
      <c r="J243" s="4" t="s">
        <v>781</v>
      </c>
      <c r="K243" s="4" t="s">
        <v>46</v>
      </c>
    </row>
    <row r="244" customFormat="false" ht="23.85" hidden="false" customHeight="false" outlineLevel="0" collapsed="false">
      <c r="A244" s="7" t="s">
        <v>782</v>
      </c>
      <c r="B244" s="7" t="s">
        <v>38</v>
      </c>
      <c r="C244" s="7" t="s">
        <v>783</v>
      </c>
      <c r="D244" s="7" t="s">
        <v>18</v>
      </c>
      <c r="E244" s="7" t="s">
        <v>43</v>
      </c>
      <c r="F244" s="7" t="n">
        <v>0.75</v>
      </c>
      <c r="G244" s="7" t="s">
        <v>50</v>
      </c>
      <c r="H244" s="7" t="s">
        <v>44</v>
      </c>
      <c r="I244" s="7" t="s">
        <v>129</v>
      </c>
      <c r="J244" s="7" t="s">
        <v>784</v>
      </c>
      <c r="K244" s="7" t="s">
        <v>46</v>
      </c>
    </row>
    <row r="245" customFormat="false" ht="23.85" hidden="false" customHeight="false" outlineLevel="0" collapsed="false">
      <c r="A245" s="4" t="s">
        <v>785</v>
      </c>
      <c r="B245" s="4" t="s">
        <v>38</v>
      </c>
      <c r="C245" s="4" t="s">
        <v>786</v>
      </c>
      <c r="D245" s="4" t="s">
        <v>18</v>
      </c>
      <c r="E245" s="4" t="s">
        <v>43</v>
      </c>
      <c r="F245" s="4" t="n">
        <v>0.75</v>
      </c>
      <c r="G245" s="4" t="s">
        <v>50</v>
      </c>
      <c r="H245" s="4" t="s">
        <v>128</v>
      </c>
      <c r="I245" s="4" t="s">
        <v>129</v>
      </c>
      <c r="J245" s="4" t="s">
        <v>787</v>
      </c>
      <c r="K245" s="4" t="s">
        <v>46</v>
      </c>
    </row>
    <row r="246" customFormat="false" ht="23.85" hidden="false" customHeight="false" outlineLevel="0" collapsed="false">
      <c r="A246" s="7" t="s">
        <v>788</v>
      </c>
      <c r="B246" s="7" t="s">
        <v>38</v>
      </c>
      <c r="C246" s="7" t="s">
        <v>789</v>
      </c>
      <c r="D246" s="7" t="s">
        <v>18</v>
      </c>
      <c r="E246" s="7" t="s">
        <v>43</v>
      </c>
      <c r="F246" s="7" t="n">
        <v>0.75</v>
      </c>
      <c r="G246" s="7" t="s">
        <v>50</v>
      </c>
      <c r="H246" s="7" t="s">
        <v>128</v>
      </c>
      <c r="I246" s="7" t="s">
        <v>129</v>
      </c>
      <c r="J246" s="7" t="s">
        <v>790</v>
      </c>
      <c r="K246" s="7" t="s">
        <v>46</v>
      </c>
    </row>
    <row r="247" customFormat="false" ht="23.85" hidden="false" customHeight="false" outlineLevel="0" collapsed="false">
      <c r="A247" s="4" t="s">
        <v>791</v>
      </c>
      <c r="B247" s="4" t="s">
        <v>792</v>
      </c>
      <c r="C247" s="4" t="s">
        <v>793</v>
      </c>
      <c r="D247" s="4" t="s">
        <v>15</v>
      </c>
      <c r="E247" s="4" t="s">
        <v>183</v>
      </c>
      <c r="F247" s="4" t="n">
        <v>1</v>
      </c>
      <c r="G247" s="4"/>
      <c r="H247" s="4" t="s">
        <v>44</v>
      </c>
      <c r="I247" s="4" t="s">
        <v>794</v>
      </c>
      <c r="J247" s="4"/>
      <c r="K247" s="4" t="s">
        <v>46</v>
      </c>
    </row>
    <row r="248" customFormat="false" ht="15" hidden="false" customHeight="false" outlineLevel="0" collapsed="false">
      <c r="A248" s="7" t="s">
        <v>795</v>
      </c>
      <c r="B248" s="7" t="s">
        <v>792</v>
      </c>
      <c r="C248" s="7" t="s">
        <v>796</v>
      </c>
      <c r="D248" s="7" t="s">
        <v>15</v>
      </c>
      <c r="E248" s="7" t="s">
        <v>183</v>
      </c>
      <c r="F248" s="7" t="n">
        <v>0.5</v>
      </c>
      <c r="G248" s="7"/>
      <c r="H248" s="7" t="s">
        <v>44</v>
      </c>
      <c r="I248" s="7" t="s">
        <v>797</v>
      </c>
      <c r="J248" s="7"/>
      <c r="K248" s="7" t="s">
        <v>46</v>
      </c>
    </row>
    <row r="249" customFormat="false" ht="15" hidden="false" customHeight="false" outlineLevel="0" collapsed="false">
      <c r="A249" s="4" t="s">
        <v>798</v>
      </c>
      <c r="B249" s="4" t="s">
        <v>792</v>
      </c>
      <c r="C249" s="4" t="s">
        <v>799</v>
      </c>
      <c r="D249" s="4" t="s">
        <v>18</v>
      </c>
      <c r="E249" s="4" t="s">
        <v>183</v>
      </c>
      <c r="F249" s="4" t="n">
        <v>1</v>
      </c>
      <c r="G249" s="4"/>
      <c r="H249" s="4" t="s">
        <v>44</v>
      </c>
      <c r="I249" s="4" t="s">
        <v>800</v>
      </c>
      <c r="J249" s="4"/>
      <c r="K249" s="4" t="s">
        <v>46</v>
      </c>
    </row>
    <row r="250" customFormat="false" ht="23.85" hidden="false" customHeight="false" outlineLevel="0" collapsed="false">
      <c r="A250" s="7" t="s">
        <v>801</v>
      </c>
      <c r="B250" s="7" t="s">
        <v>792</v>
      </c>
      <c r="C250" s="7" t="s">
        <v>802</v>
      </c>
      <c r="D250" s="7" t="s">
        <v>21</v>
      </c>
      <c r="E250" s="7" t="s">
        <v>183</v>
      </c>
      <c r="F250" s="7" t="n">
        <v>3</v>
      </c>
      <c r="G250" s="7"/>
      <c r="H250" s="7" t="s">
        <v>44</v>
      </c>
      <c r="I250" s="7" t="s">
        <v>803</v>
      </c>
      <c r="J250" s="7"/>
      <c r="K250" s="7" t="s">
        <v>46</v>
      </c>
    </row>
    <row r="251" customFormat="false" ht="15" hidden="false" customHeight="false" outlineLevel="0" collapsed="false">
      <c r="A251" s="4" t="s">
        <v>804</v>
      </c>
      <c r="B251" s="4" t="s">
        <v>805</v>
      </c>
      <c r="C251" s="4" t="s">
        <v>806</v>
      </c>
      <c r="D251" s="4" t="s">
        <v>15</v>
      </c>
      <c r="E251" s="4" t="s">
        <v>43</v>
      </c>
      <c r="F251" s="4" t="n">
        <v>2</v>
      </c>
      <c r="G251" s="4"/>
      <c r="H251" s="4" t="s">
        <v>44</v>
      </c>
      <c r="I251" s="4" t="s">
        <v>807</v>
      </c>
      <c r="J251" s="4"/>
      <c r="K251" s="4" t="s">
        <v>46</v>
      </c>
    </row>
    <row r="252" customFormat="false" ht="15" hidden="false" customHeight="false" outlineLevel="0" collapsed="false">
      <c r="A252" s="7" t="s">
        <v>808</v>
      </c>
      <c r="B252" s="7" t="s">
        <v>805</v>
      </c>
      <c r="C252" s="7" t="s">
        <v>809</v>
      </c>
      <c r="D252" s="7" t="s">
        <v>15</v>
      </c>
      <c r="E252" s="7" t="s">
        <v>43</v>
      </c>
      <c r="F252" s="7" t="n">
        <v>2</v>
      </c>
      <c r="G252" s="7"/>
      <c r="H252" s="7" t="s">
        <v>44</v>
      </c>
      <c r="I252" s="7" t="s">
        <v>59</v>
      </c>
      <c r="J252" s="7"/>
      <c r="K252" s="7" t="s">
        <v>46</v>
      </c>
    </row>
    <row r="253" customFormat="false" ht="15" hidden="false" customHeight="false" outlineLevel="0" collapsed="false">
      <c r="A253" s="4" t="s">
        <v>810</v>
      </c>
      <c r="B253" s="4" t="s">
        <v>805</v>
      </c>
      <c r="C253" s="4" t="s">
        <v>811</v>
      </c>
      <c r="D253" s="4" t="s">
        <v>15</v>
      </c>
      <c r="E253" s="4" t="s">
        <v>43</v>
      </c>
      <c r="F253" s="4" t="n">
        <v>2</v>
      </c>
      <c r="G253" s="4"/>
      <c r="H253" s="4" t="s">
        <v>44</v>
      </c>
      <c r="I253" s="4" t="s">
        <v>812</v>
      </c>
      <c r="J253" s="4"/>
      <c r="K253" s="4" t="s">
        <v>46</v>
      </c>
    </row>
    <row r="254" customFormat="false" ht="15" hidden="false" customHeight="false" outlineLevel="0" collapsed="false">
      <c r="A254" s="7" t="s">
        <v>813</v>
      </c>
      <c r="B254" s="7" t="s">
        <v>805</v>
      </c>
      <c r="C254" s="7" t="s">
        <v>814</v>
      </c>
      <c r="D254" s="7" t="s">
        <v>15</v>
      </c>
      <c r="E254" s="7" t="s">
        <v>43</v>
      </c>
      <c r="F254" s="7" t="n">
        <v>1.5</v>
      </c>
      <c r="G254" s="7"/>
      <c r="H254" s="7" t="s">
        <v>44</v>
      </c>
      <c r="I254" s="7" t="s">
        <v>815</v>
      </c>
      <c r="J254" s="7"/>
      <c r="K254" s="7" t="s">
        <v>46</v>
      </c>
    </row>
    <row r="255" customFormat="false" ht="15" hidden="false" customHeight="false" outlineLevel="0" collapsed="false">
      <c r="A255" s="4" t="s">
        <v>816</v>
      </c>
      <c r="B255" s="4" t="s">
        <v>805</v>
      </c>
      <c r="C255" s="4" t="s">
        <v>817</v>
      </c>
      <c r="D255" s="4" t="s">
        <v>18</v>
      </c>
      <c r="E255" s="4" t="s">
        <v>43</v>
      </c>
      <c r="F255" s="4" t="n">
        <v>4</v>
      </c>
      <c r="G255" s="4"/>
      <c r="H255" s="4" t="s">
        <v>44</v>
      </c>
      <c r="I255" s="4" t="s">
        <v>818</v>
      </c>
      <c r="J255" s="4"/>
      <c r="K255" s="4" t="s">
        <v>46</v>
      </c>
    </row>
    <row r="256" customFormat="false" ht="15" hidden="false" customHeight="false" outlineLevel="0" collapsed="false">
      <c r="A256" s="7" t="s">
        <v>819</v>
      </c>
      <c r="B256" s="7" t="s">
        <v>805</v>
      </c>
      <c r="C256" s="7" t="s">
        <v>820</v>
      </c>
      <c r="D256" s="7" t="s">
        <v>18</v>
      </c>
      <c r="E256" s="7" t="s">
        <v>43</v>
      </c>
      <c r="F256" s="7" t="n">
        <v>2</v>
      </c>
      <c r="G256" s="7"/>
      <c r="H256" s="7" t="s">
        <v>44</v>
      </c>
      <c r="I256" s="7" t="s">
        <v>821</v>
      </c>
      <c r="J256" s="7"/>
      <c r="K256" s="7" t="s">
        <v>46</v>
      </c>
    </row>
    <row r="257" customFormat="false" ht="15" hidden="false" customHeight="false" outlineLevel="0" collapsed="false">
      <c r="A257" s="4" t="s">
        <v>822</v>
      </c>
      <c r="B257" s="4" t="s">
        <v>805</v>
      </c>
      <c r="C257" s="4" t="s">
        <v>823</v>
      </c>
      <c r="D257" s="4" t="s">
        <v>15</v>
      </c>
      <c r="E257" s="4" t="s">
        <v>43</v>
      </c>
      <c r="F257" s="4" t="n">
        <v>1</v>
      </c>
      <c r="G257" s="4"/>
      <c r="H257" s="4" t="s">
        <v>44</v>
      </c>
      <c r="I257" s="4" t="s">
        <v>824</v>
      </c>
      <c r="J257" s="4"/>
      <c r="K257" s="4" t="s">
        <v>46</v>
      </c>
    </row>
    <row r="258" customFormat="false" ht="15" hidden="false" customHeight="false" outlineLevel="0" collapsed="false">
      <c r="A258" s="7" t="s">
        <v>825</v>
      </c>
      <c r="B258" s="7" t="s">
        <v>826</v>
      </c>
      <c r="C258" s="7" t="s">
        <v>827</v>
      </c>
      <c r="D258" s="7" t="s">
        <v>15</v>
      </c>
      <c r="E258" s="7" t="s">
        <v>43</v>
      </c>
      <c r="F258" s="7" t="n">
        <v>0.5</v>
      </c>
      <c r="G258" s="7"/>
      <c r="H258" s="7" t="s">
        <v>826</v>
      </c>
      <c r="I258" s="7" t="s">
        <v>828</v>
      </c>
      <c r="J258" s="7"/>
      <c r="K258" s="7" t="s">
        <v>46</v>
      </c>
    </row>
    <row r="259" customFormat="false" ht="15" hidden="false" customHeight="false" outlineLevel="0" collapsed="false">
      <c r="A259" s="4" t="s">
        <v>829</v>
      </c>
      <c r="B259" s="4" t="s">
        <v>826</v>
      </c>
      <c r="C259" s="4" t="s">
        <v>830</v>
      </c>
      <c r="D259" s="4" t="s">
        <v>15</v>
      </c>
      <c r="E259" s="4" t="s">
        <v>43</v>
      </c>
      <c r="F259" s="4" t="n">
        <v>0.5</v>
      </c>
      <c r="G259" s="4"/>
      <c r="H259" s="4" t="s">
        <v>826</v>
      </c>
      <c r="I259" s="4" t="s">
        <v>116</v>
      </c>
      <c r="J259" s="4"/>
      <c r="K259" s="4" t="s">
        <v>46</v>
      </c>
    </row>
    <row r="260" customFormat="false" ht="15" hidden="false" customHeight="false" outlineLevel="0" collapsed="false">
      <c r="A260" s="7" t="s">
        <v>831</v>
      </c>
      <c r="B260" s="7" t="s">
        <v>826</v>
      </c>
      <c r="C260" s="7" t="s">
        <v>832</v>
      </c>
      <c r="D260" s="7" t="s">
        <v>18</v>
      </c>
      <c r="E260" s="7" t="s">
        <v>43</v>
      </c>
      <c r="F260" s="7" t="n">
        <v>2</v>
      </c>
      <c r="G260" s="7"/>
      <c r="H260" s="7" t="s">
        <v>826</v>
      </c>
      <c r="I260" s="7" t="s">
        <v>833</v>
      </c>
      <c r="J260" s="7"/>
      <c r="K260" s="7" t="s">
        <v>46</v>
      </c>
    </row>
    <row r="261" customFormat="false" ht="15" hidden="false" customHeight="false" outlineLevel="0" collapsed="false">
      <c r="A261" s="4" t="s">
        <v>834</v>
      </c>
      <c r="B261" s="4" t="s">
        <v>826</v>
      </c>
      <c r="C261" s="4" t="s">
        <v>835</v>
      </c>
      <c r="D261" s="4" t="s">
        <v>18</v>
      </c>
      <c r="E261" s="4" t="s">
        <v>43</v>
      </c>
      <c r="F261" s="4" t="n">
        <v>0.5</v>
      </c>
      <c r="G261" s="4"/>
      <c r="H261" s="4" t="s">
        <v>826</v>
      </c>
      <c r="I261" s="4" t="s">
        <v>836</v>
      </c>
      <c r="J261" s="4"/>
      <c r="K261" s="4" t="s">
        <v>46</v>
      </c>
    </row>
    <row r="262" customFormat="false" ht="15" hidden="false" customHeight="false" outlineLevel="0" collapsed="false">
      <c r="A262" s="7" t="s">
        <v>837</v>
      </c>
      <c r="B262" s="7" t="s">
        <v>826</v>
      </c>
      <c r="C262" s="7" t="s">
        <v>838</v>
      </c>
      <c r="D262" s="7" t="s">
        <v>24</v>
      </c>
      <c r="E262" s="7" t="s">
        <v>43</v>
      </c>
      <c r="F262" s="7" t="n">
        <v>1</v>
      </c>
      <c r="G262" s="7"/>
      <c r="H262" s="7" t="s">
        <v>826</v>
      </c>
      <c r="I262" s="7" t="s">
        <v>119</v>
      </c>
      <c r="J262" s="7"/>
      <c r="K262" s="7" t="s">
        <v>46</v>
      </c>
    </row>
  </sheetData>
  <dataValidations count="1">
    <dataValidation allowBlank="true" errorStyle="stop" operator="between" showDropDown="false" showErrorMessage="false" showInputMessage="false" sqref="K2:K262" type="list">
      <formula1>"Chưa,Đang,Xong,Bỏ"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23.85" hidden="false" customHeight="false" outlineLevel="0" collapsed="false">
      <c r="A1" s="6" t="s">
        <v>839</v>
      </c>
      <c r="B1" s="6" t="s">
        <v>840</v>
      </c>
      <c r="C1" s="6" t="s">
        <v>841</v>
      </c>
      <c r="D1" s="6" t="s">
        <v>842</v>
      </c>
      <c r="E1" s="6" t="s">
        <v>843</v>
      </c>
      <c r="F1" s="6" t="s">
        <v>844</v>
      </c>
    </row>
    <row r="2" customFormat="false" ht="15" hidden="false" customHeight="false" outlineLevel="0" collapsed="false">
      <c r="A2" s="7" t="s">
        <v>845</v>
      </c>
      <c r="B2" s="7" t="s">
        <v>846</v>
      </c>
      <c r="C2" s="7" t="s">
        <v>847</v>
      </c>
      <c r="D2" s="7" t="s">
        <v>848</v>
      </c>
      <c r="E2" s="7" t="s">
        <v>849</v>
      </c>
      <c r="F2" s="7" t="s">
        <v>850</v>
      </c>
    </row>
    <row r="3" customFormat="false" ht="15" hidden="false" customHeight="false" outlineLevel="0" collapsed="false">
      <c r="A3" s="4" t="s">
        <v>845</v>
      </c>
      <c r="B3" s="4" t="s">
        <v>851</v>
      </c>
      <c r="C3" s="4" t="s">
        <v>852</v>
      </c>
      <c r="D3" s="4" t="s">
        <v>848</v>
      </c>
      <c r="E3" s="4" t="s">
        <v>853</v>
      </c>
      <c r="F3" s="4" t="s">
        <v>850</v>
      </c>
    </row>
    <row r="4" customFormat="false" ht="15" hidden="false" customHeight="false" outlineLevel="0" collapsed="false">
      <c r="A4" s="7" t="s">
        <v>845</v>
      </c>
      <c r="B4" s="7" t="s">
        <v>854</v>
      </c>
      <c r="C4" s="7" t="s">
        <v>855</v>
      </c>
      <c r="D4" s="7" t="s">
        <v>848</v>
      </c>
      <c r="E4" s="7" t="s">
        <v>856</v>
      </c>
      <c r="F4" s="7" t="s">
        <v>857</v>
      </c>
    </row>
    <row r="5" customFormat="false" ht="15" hidden="false" customHeight="false" outlineLevel="0" collapsed="false">
      <c r="A5" s="4" t="s">
        <v>845</v>
      </c>
      <c r="B5" s="4" t="s">
        <v>858</v>
      </c>
      <c r="C5" s="4" t="s">
        <v>859</v>
      </c>
      <c r="D5" s="4" t="s">
        <v>848</v>
      </c>
      <c r="E5" s="4" t="s">
        <v>860</v>
      </c>
      <c r="F5" s="4" t="s">
        <v>861</v>
      </c>
    </row>
    <row r="6" customFormat="false" ht="15" hidden="false" customHeight="false" outlineLevel="0" collapsed="false">
      <c r="A6" s="7" t="s">
        <v>845</v>
      </c>
      <c r="B6" s="7" t="s">
        <v>862</v>
      </c>
      <c r="C6" s="7" t="s">
        <v>863</v>
      </c>
      <c r="D6" s="7" t="s">
        <v>848</v>
      </c>
      <c r="E6" s="7" t="s">
        <v>864</v>
      </c>
      <c r="F6" s="7" t="s">
        <v>865</v>
      </c>
    </row>
    <row r="7" customFormat="false" ht="15" hidden="false" customHeight="false" outlineLevel="0" collapsed="false">
      <c r="A7" s="4" t="s">
        <v>866</v>
      </c>
      <c r="B7" s="4" t="s">
        <v>867</v>
      </c>
      <c r="C7" s="4" t="s">
        <v>868</v>
      </c>
      <c r="D7" s="4" t="s">
        <v>848</v>
      </c>
      <c r="E7" s="4" t="s">
        <v>869</v>
      </c>
      <c r="F7" s="4" t="s">
        <v>870</v>
      </c>
    </row>
    <row r="8" customFormat="false" ht="15" hidden="false" customHeight="false" outlineLevel="0" collapsed="false">
      <c r="A8" s="7" t="s">
        <v>871</v>
      </c>
      <c r="B8" s="7" t="s">
        <v>872</v>
      </c>
      <c r="C8" s="7" t="s">
        <v>873</v>
      </c>
      <c r="D8" s="7" t="s">
        <v>874</v>
      </c>
      <c r="E8" s="7" t="s">
        <v>875</v>
      </c>
      <c r="F8" s="7" t="s">
        <v>876</v>
      </c>
    </row>
    <row r="9" customFormat="false" ht="15" hidden="false" customHeight="false" outlineLevel="0" collapsed="false">
      <c r="A9" s="4" t="s">
        <v>871</v>
      </c>
      <c r="B9" s="4" t="s">
        <v>877</v>
      </c>
      <c r="C9" s="4" t="s">
        <v>878</v>
      </c>
      <c r="D9" s="4" t="s">
        <v>879</v>
      </c>
      <c r="E9" s="4" t="s">
        <v>880</v>
      </c>
      <c r="F9" s="4" t="s">
        <v>881</v>
      </c>
    </row>
    <row r="10" customFormat="false" ht="15" hidden="false" customHeight="false" outlineLevel="0" collapsed="false">
      <c r="A10" s="7" t="s">
        <v>871</v>
      </c>
      <c r="B10" s="7" t="s">
        <v>882</v>
      </c>
      <c r="C10" s="7" t="s">
        <v>883</v>
      </c>
      <c r="D10" s="7" t="s">
        <v>884</v>
      </c>
      <c r="E10" s="7" t="s">
        <v>885</v>
      </c>
      <c r="F10" s="7" t="s">
        <v>886</v>
      </c>
    </row>
    <row r="11" customFormat="false" ht="15" hidden="false" customHeight="false" outlineLevel="0" collapsed="false">
      <c r="A11" s="4" t="s">
        <v>887</v>
      </c>
      <c r="B11" s="4" t="s">
        <v>888</v>
      </c>
      <c r="C11" s="4" t="s">
        <v>889</v>
      </c>
      <c r="D11" s="4" t="s">
        <v>890</v>
      </c>
      <c r="E11" s="4" t="s">
        <v>891</v>
      </c>
      <c r="F11" s="4" t="s">
        <v>892</v>
      </c>
    </row>
    <row r="12" customFormat="false" ht="15" hidden="false" customHeight="false" outlineLevel="0" collapsed="false">
      <c r="A12" s="7" t="s">
        <v>887</v>
      </c>
      <c r="B12" s="7" t="s">
        <v>893</v>
      </c>
      <c r="C12" s="7" t="s">
        <v>894</v>
      </c>
      <c r="D12" s="7" t="s">
        <v>890</v>
      </c>
      <c r="E12" s="7" t="s">
        <v>895</v>
      </c>
      <c r="F12" s="7" t="s">
        <v>896</v>
      </c>
    </row>
    <row r="13" customFormat="false" ht="15" hidden="false" customHeight="false" outlineLevel="0" collapsed="false">
      <c r="A13" s="4" t="s">
        <v>887</v>
      </c>
      <c r="B13" s="4" t="s">
        <v>897</v>
      </c>
      <c r="C13" s="4" t="s">
        <v>898</v>
      </c>
      <c r="D13" s="4" t="s">
        <v>890</v>
      </c>
      <c r="E13" s="4" t="s">
        <v>899</v>
      </c>
      <c r="F13" s="4" t="s">
        <v>900</v>
      </c>
    </row>
    <row r="14" customFormat="false" ht="15" hidden="false" customHeight="false" outlineLevel="0" collapsed="false">
      <c r="A14" s="7" t="s">
        <v>887</v>
      </c>
      <c r="B14" s="7" t="s">
        <v>901</v>
      </c>
      <c r="C14" s="7" t="s">
        <v>902</v>
      </c>
      <c r="D14" s="7" t="s">
        <v>890</v>
      </c>
      <c r="E14" s="7" t="s">
        <v>903</v>
      </c>
      <c r="F14" s="7" t="s">
        <v>904</v>
      </c>
    </row>
    <row r="15" customFormat="false" ht="15" hidden="false" customHeight="false" outlineLevel="0" collapsed="false">
      <c r="A15" s="4" t="s">
        <v>905</v>
      </c>
      <c r="B15" s="4" t="s">
        <v>906</v>
      </c>
      <c r="C15" s="4" t="s">
        <v>907</v>
      </c>
      <c r="D15" s="4" t="s">
        <v>890</v>
      </c>
      <c r="E15" s="4" t="s">
        <v>908</v>
      </c>
      <c r="F15" s="4" t="s">
        <v>909</v>
      </c>
    </row>
    <row r="16" customFormat="false" ht="15" hidden="false" customHeight="false" outlineLevel="0" collapsed="false">
      <c r="A16" s="7" t="s">
        <v>910</v>
      </c>
      <c r="B16" s="7" t="s">
        <v>911</v>
      </c>
      <c r="C16" s="7" t="s">
        <v>912</v>
      </c>
      <c r="D16" s="7" t="s">
        <v>848</v>
      </c>
      <c r="E16" s="7" t="s">
        <v>913</v>
      </c>
      <c r="F16" s="7" t="s">
        <v>914</v>
      </c>
    </row>
    <row r="17" customFormat="false" ht="15" hidden="false" customHeight="false" outlineLevel="0" collapsed="false">
      <c r="A17" s="4" t="s">
        <v>910</v>
      </c>
      <c r="B17" s="4" t="s">
        <v>906</v>
      </c>
      <c r="C17" s="4" t="s">
        <v>907</v>
      </c>
      <c r="D17" s="4" t="s">
        <v>890</v>
      </c>
      <c r="E17" s="4" t="s">
        <v>908</v>
      </c>
      <c r="F17" s="4" t="s">
        <v>909</v>
      </c>
    </row>
    <row r="18" customFormat="false" ht="15" hidden="false" customHeight="false" outlineLevel="0" collapsed="false">
      <c r="A18" s="7" t="s">
        <v>915</v>
      </c>
      <c r="B18" s="7" t="s">
        <v>882</v>
      </c>
      <c r="C18" s="7" t="s">
        <v>883</v>
      </c>
      <c r="D18" s="7" t="s">
        <v>884</v>
      </c>
      <c r="E18" s="7" t="s">
        <v>885</v>
      </c>
      <c r="F18" s="7" t="s">
        <v>886</v>
      </c>
    </row>
    <row r="19" customFormat="false" ht="15" hidden="false" customHeight="false" outlineLevel="0" collapsed="false">
      <c r="A19" s="4" t="s">
        <v>915</v>
      </c>
      <c r="B19" s="4" t="s">
        <v>916</v>
      </c>
      <c r="C19" s="4" t="s">
        <v>917</v>
      </c>
      <c r="D19" s="4" t="s">
        <v>918</v>
      </c>
      <c r="E19" s="4" t="s">
        <v>919</v>
      </c>
      <c r="F19" s="4" t="s">
        <v>920</v>
      </c>
    </row>
    <row r="20" customFormat="false" ht="15" hidden="false" customHeight="false" outlineLevel="0" collapsed="false">
      <c r="A20" s="7" t="s">
        <v>921</v>
      </c>
      <c r="B20" s="7" t="s">
        <v>922</v>
      </c>
      <c r="C20" s="7" t="s">
        <v>923</v>
      </c>
      <c r="D20" s="7" t="s">
        <v>918</v>
      </c>
      <c r="E20" s="7" t="s">
        <v>924</v>
      </c>
      <c r="F20" s="7" t="s">
        <v>925</v>
      </c>
    </row>
    <row r="21" customFormat="false" ht="15" hidden="false" customHeight="false" outlineLevel="0" collapsed="false">
      <c r="A21" s="4" t="s">
        <v>926</v>
      </c>
      <c r="B21" s="4" t="s">
        <v>916</v>
      </c>
      <c r="C21" s="4" t="s">
        <v>917</v>
      </c>
      <c r="D21" s="4" t="s">
        <v>918</v>
      </c>
      <c r="E21" s="4" t="s">
        <v>919</v>
      </c>
      <c r="F21" s="4" t="s">
        <v>920</v>
      </c>
    </row>
    <row r="22" customFormat="false" ht="15" hidden="false" customHeight="false" outlineLevel="0" collapsed="false">
      <c r="A22" s="7" t="s">
        <v>926</v>
      </c>
      <c r="B22" s="7" t="s">
        <v>927</v>
      </c>
      <c r="C22" s="7" t="s">
        <v>928</v>
      </c>
      <c r="D22" s="7" t="s">
        <v>879</v>
      </c>
      <c r="E22" s="7" t="s">
        <v>929</v>
      </c>
      <c r="F22" s="7" t="s">
        <v>930</v>
      </c>
    </row>
    <row r="23" customFormat="false" ht="15" hidden="false" customHeight="false" outlineLevel="0" collapsed="false">
      <c r="A23" s="4" t="s">
        <v>926</v>
      </c>
      <c r="B23" s="4" t="s">
        <v>931</v>
      </c>
      <c r="C23" s="4" t="s">
        <v>932</v>
      </c>
      <c r="D23" s="4" t="s">
        <v>879</v>
      </c>
      <c r="E23" s="4" t="s">
        <v>933</v>
      </c>
      <c r="F23" s="4" t="s">
        <v>934</v>
      </c>
    </row>
    <row r="24" customFormat="false" ht="15" hidden="false" customHeight="false" outlineLevel="0" collapsed="false">
      <c r="A24" s="7" t="s">
        <v>935</v>
      </c>
      <c r="B24" s="7" t="s">
        <v>901</v>
      </c>
      <c r="C24" s="7" t="s">
        <v>902</v>
      </c>
      <c r="D24" s="7" t="s">
        <v>890</v>
      </c>
      <c r="E24" s="7" t="s">
        <v>903</v>
      </c>
      <c r="F24" s="7" t="s">
        <v>904</v>
      </c>
    </row>
    <row r="25" customFormat="false" ht="15" hidden="false" customHeight="false" outlineLevel="0" collapsed="false">
      <c r="A25" s="4" t="s">
        <v>935</v>
      </c>
      <c r="B25" s="4" t="s">
        <v>936</v>
      </c>
      <c r="C25" s="4" t="s">
        <v>937</v>
      </c>
      <c r="D25" s="4" t="s">
        <v>918</v>
      </c>
      <c r="E25" s="4" t="s">
        <v>938</v>
      </c>
      <c r="F25" s="4" t="s">
        <v>939</v>
      </c>
    </row>
    <row r="26" customFormat="false" ht="15" hidden="false" customHeight="false" outlineLevel="0" collapsed="false">
      <c r="A26" s="7" t="s">
        <v>940</v>
      </c>
      <c r="B26" s="7" t="s">
        <v>941</v>
      </c>
      <c r="C26" s="7" t="s">
        <v>942</v>
      </c>
      <c r="D26" s="7" t="s">
        <v>884</v>
      </c>
      <c r="E26" s="7" t="s">
        <v>943</v>
      </c>
      <c r="F26" s="7" t="s">
        <v>886</v>
      </c>
    </row>
    <row r="27" customFormat="false" ht="15" hidden="false" customHeight="false" outlineLevel="0" collapsed="false">
      <c r="A27" s="4" t="s">
        <v>940</v>
      </c>
      <c r="B27" s="4" t="s">
        <v>916</v>
      </c>
      <c r="C27" s="4" t="s">
        <v>917</v>
      </c>
      <c r="D27" s="4" t="s">
        <v>918</v>
      </c>
      <c r="E27" s="4" t="s">
        <v>919</v>
      </c>
      <c r="F27" s="4" t="s">
        <v>920</v>
      </c>
    </row>
    <row r="28" customFormat="false" ht="15" hidden="false" customHeight="false" outlineLevel="0" collapsed="false">
      <c r="A28" s="7" t="s">
        <v>940</v>
      </c>
      <c r="B28" s="7" t="s">
        <v>882</v>
      </c>
      <c r="C28" s="7" t="s">
        <v>883</v>
      </c>
      <c r="D28" s="7" t="s">
        <v>884</v>
      </c>
      <c r="E28" s="7" t="s">
        <v>885</v>
      </c>
      <c r="F28" s="7" t="s">
        <v>886</v>
      </c>
    </row>
    <row r="29" customFormat="false" ht="15" hidden="false" customHeight="false" outlineLevel="0" collapsed="false">
      <c r="A29" s="4" t="s">
        <v>940</v>
      </c>
      <c r="B29" s="4" t="s">
        <v>944</v>
      </c>
      <c r="C29" s="4" t="s">
        <v>945</v>
      </c>
      <c r="D29" s="4" t="s">
        <v>879</v>
      </c>
      <c r="E29" s="4" t="s">
        <v>946</v>
      </c>
      <c r="F29" s="4" t="s">
        <v>947</v>
      </c>
    </row>
    <row r="30" customFormat="false" ht="15" hidden="false" customHeight="false" outlineLevel="0" collapsed="false">
      <c r="A30" s="7" t="s">
        <v>948</v>
      </c>
      <c r="B30" s="7" t="s">
        <v>949</v>
      </c>
      <c r="C30" s="7" t="s">
        <v>950</v>
      </c>
      <c r="D30" s="7" t="s">
        <v>874</v>
      </c>
      <c r="E30" s="7" t="s">
        <v>951</v>
      </c>
      <c r="F30" s="7" t="s">
        <v>952</v>
      </c>
    </row>
    <row r="31" customFormat="false" ht="15" hidden="false" customHeight="false" outlineLevel="0" collapsed="false">
      <c r="A31" s="4" t="s">
        <v>948</v>
      </c>
      <c r="B31" s="4" t="s">
        <v>953</v>
      </c>
      <c r="C31" s="4" t="s">
        <v>954</v>
      </c>
      <c r="D31" s="4" t="s">
        <v>874</v>
      </c>
      <c r="E31" s="4" t="s">
        <v>955</v>
      </c>
      <c r="F31" s="4" t="s">
        <v>952</v>
      </c>
    </row>
    <row r="32" customFormat="false" ht="15" hidden="false" customHeight="false" outlineLevel="0" collapsed="false">
      <c r="A32" s="7" t="s">
        <v>948</v>
      </c>
      <c r="B32" s="7" t="s">
        <v>956</v>
      </c>
      <c r="C32" s="7" t="s">
        <v>957</v>
      </c>
      <c r="D32" s="7" t="s">
        <v>874</v>
      </c>
      <c r="E32" s="7" t="s">
        <v>958</v>
      </c>
      <c r="F32" s="7" t="s">
        <v>959</v>
      </c>
    </row>
    <row r="33" customFormat="false" ht="15" hidden="false" customHeight="false" outlineLevel="0" collapsed="false">
      <c r="A33" s="4" t="s">
        <v>948</v>
      </c>
      <c r="B33" s="4" t="s">
        <v>960</v>
      </c>
      <c r="C33" s="4" t="s">
        <v>961</v>
      </c>
      <c r="D33" s="4" t="s">
        <v>874</v>
      </c>
      <c r="E33" s="4" t="s">
        <v>962</v>
      </c>
      <c r="F33" s="4" t="s">
        <v>939</v>
      </c>
    </row>
    <row r="34" customFormat="false" ht="15" hidden="false" customHeight="false" outlineLevel="0" collapsed="false">
      <c r="A34" s="7" t="s">
        <v>963</v>
      </c>
      <c r="B34" s="7" t="s">
        <v>911</v>
      </c>
      <c r="C34" s="7" t="s">
        <v>912</v>
      </c>
      <c r="D34" s="7" t="s">
        <v>848</v>
      </c>
      <c r="E34" s="7" t="s">
        <v>913</v>
      </c>
      <c r="F34" s="7" t="s">
        <v>914</v>
      </c>
    </row>
    <row r="35" customFormat="false" ht="15" hidden="false" customHeight="false" outlineLevel="0" collapsed="false">
      <c r="A35" s="4" t="s">
        <v>963</v>
      </c>
      <c r="B35" s="4" t="s">
        <v>862</v>
      </c>
      <c r="C35" s="4" t="s">
        <v>863</v>
      </c>
      <c r="D35" s="4" t="s">
        <v>848</v>
      </c>
      <c r="E35" s="4" t="s">
        <v>864</v>
      </c>
      <c r="F35" s="4" t="s">
        <v>865</v>
      </c>
    </row>
    <row r="36" customFormat="false" ht="15" hidden="false" customHeight="false" outlineLevel="0" collapsed="false">
      <c r="A36" s="7" t="s">
        <v>964</v>
      </c>
      <c r="B36" s="7" t="s">
        <v>965</v>
      </c>
      <c r="C36" s="7" t="s">
        <v>966</v>
      </c>
      <c r="D36" s="7" t="s">
        <v>890</v>
      </c>
      <c r="E36" s="7" t="s">
        <v>967</v>
      </c>
      <c r="F36" s="7" t="s">
        <v>968</v>
      </c>
    </row>
    <row r="37" customFormat="false" ht="15" hidden="false" customHeight="false" outlineLevel="0" collapsed="false">
      <c r="A37" s="4" t="s">
        <v>964</v>
      </c>
      <c r="B37" s="4" t="s">
        <v>893</v>
      </c>
      <c r="C37" s="4" t="s">
        <v>894</v>
      </c>
      <c r="D37" s="4" t="s">
        <v>890</v>
      </c>
      <c r="E37" s="4" t="s">
        <v>895</v>
      </c>
      <c r="F37" s="4" t="s">
        <v>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6" t="s">
        <v>969</v>
      </c>
      <c r="B1" s="6" t="s">
        <v>36</v>
      </c>
      <c r="C1" s="6" t="s">
        <v>970</v>
      </c>
    </row>
    <row r="2" customFormat="false" ht="15" hidden="false" customHeight="false" outlineLevel="0" collapsed="false">
      <c r="A2" s="7" t="s">
        <v>971</v>
      </c>
      <c r="B2" s="7" t="s">
        <v>972</v>
      </c>
      <c r="C2" s="7" t="s">
        <v>973</v>
      </c>
    </row>
    <row r="3" customFormat="false" ht="15" hidden="false" customHeight="false" outlineLevel="0" collapsed="false">
      <c r="A3" s="4" t="s">
        <v>974</v>
      </c>
      <c r="B3" s="4" t="s">
        <v>975</v>
      </c>
      <c r="C3" s="4" t="s">
        <v>976</v>
      </c>
    </row>
    <row r="4" customFormat="false" ht="23.85" hidden="false" customHeight="false" outlineLevel="0" collapsed="false">
      <c r="A4" s="7" t="s">
        <v>977</v>
      </c>
      <c r="B4" s="7" t="s">
        <v>978</v>
      </c>
      <c r="C4" s="7" t="s">
        <v>979</v>
      </c>
    </row>
    <row r="5" customFormat="false" ht="15" hidden="false" customHeight="false" outlineLevel="0" collapsed="false">
      <c r="A5" s="4" t="s">
        <v>980</v>
      </c>
      <c r="B5" s="4" t="s">
        <v>981</v>
      </c>
      <c r="C5" s="4" t="s">
        <v>982</v>
      </c>
    </row>
    <row r="6" customFormat="false" ht="15" hidden="false" customHeight="false" outlineLevel="0" collapsed="false">
      <c r="A6" s="7" t="s">
        <v>983</v>
      </c>
      <c r="B6" s="7" t="s">
        <v>984</v>
      </c>
      <c r="C6" s="7" t="s">
        <v>985</v>
      </c>
    </row>
    <row r="7" customFormat="false" ht="15" hidden="false" customHeight="false" outlineLevel="0" collapsed="false">
      <c r="A7" s="4" t="s">
        <v>986</v>
      </c>
      <c r="B7" s="4" t="s">
        <v>826</v>
      </c>
      <c r="C7" s="4" t="s">
        <v>987</v>
      </c>
    </row>
    <row r="8" customFormat="false" ht="15" hidden="false" customHeight="false" outlineLevel="0" collapsed="false">
      <c r="A8" s="7" t="s">
        <v>792</v>
      </c>
      <c r="B8" s="7" t="s">
        <v>988</v>
      </c>
      <c r="C8" s="7" t="s">
        <v>989</v>
      </c>
    </row>
    <row r="9" customFormat="false" ht="15" hidden="false" customHeight="false" outlineLevel="0" collapsed="false">
      <c r="A9" s="4" t="s">
        <v>990</v>
      </c>
      <c r="B9" s="4" t="s">
        <v>826</v>
      </c>
      <c r="C9" s="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8" t="s">
        <v>991</v>
      </c>
    </row>
    <row r="3" customFormat="false" ht="15" hidden="false" customHeight="false" outlineLevel="0" collapsed="false">
      <c r="A3" s="0" t="s">
        <v>992</v>
      </c>
      <c r="B3" s="0" t="n">
        <f aca="false">COUNTA('2. Backlog'!A:A)-1</f>
        <v>261</v>
      </c>
    </row>
    <row r="4" customFormat="false" ht="15" hidden="false" customHeight="false" outlineLevel="0" collapsed="false">
      <c r="A4" s="0" t="s">
        <v>993</v>
      </c>
      <c r="B4" s="0" t="n">
        <f aca="false">SUM('2. Backlog'!F:F)</f>
        <v>277.375</v>
      </c>
    </row>
    <row r="5" customFormat="false" ht="15" hidden="false" customHeight="false" outlineLevel="0" collapsed="false">
      <c r="A5" s="0" t="s">
        <v>10</v>
      </c>
      <c r="B5" s="0" t="n">
        <f aca="false">COUNTIF('2. Backlog'!K:K,"Xong")</f>
        <v>0</v>
      </c>
    </row>
    <row r="6" customFormat="false" ht="15" hidden="false" customHeight="false" outlineLevel="0" collapsed="false">
      <c r="A6" s="0" t="s">
        <v>11</v>
      </c>
      <c r="B6" s="9" t="n">
        <f aca="false">B5/B3</f>
        <v>0</v>
      </c>
    </row>
    <row r="8" customFormat="false" ht="15" hidden="false" customHeight="false" outlineLevel="0" collapsed="false">
      <c r="A8" s="10" t="s">
        <v>994</v>
      </c>
    </row>
    <row r="9" customFormat="false" ht="15" hidden="false" customHeight="false" outlineLevel="0" collapsed="false">
      <c r="A9" s="0" t="s">
        <v>41</v>
      </c>
      <c r="B9" s="0" t="n">
        <f aca="false">COUNTIF('2. Backlog'!B:B,"Hạ tầng")</f>
        <v>26</v>
      </c>
      <c r="C9" s="0" t="n">
        <f aca="false">SUMIF('2. Backlog'!B:B,"Hạ tầng",'2. Backlog'!F:F)</f>
        <v>92</v>
      </c>
    </row>
    <row r="10" customFormat="false" ht="15" hidden="false" customHeight="false" outlineLevel="0" collapsed="false">
      <c r="A10" s="0" t="s">
        <v>38</v>
      </c>
      <c r="B10" s="0" t="n">
        <f aca="false">COUNTIF('2. Backlog'!B:B,"Năng lực")</f>
        <v>219</v>
      </c>
      <c r="C10" s="0" t="n">
        <f aca="false">SUMIF('2. Backlog'!B:B,"Năng lực",'2. Backlog'!F:F)</f>
        <v>160.875</v>
      </c>
    </row>
    <row r="11" customFormat="false" ht="15" hidden="false" customHeight="false" outlineLevel="0" collapsed="false">
      <c r="A11" s="0" t="s">
        <v>792</v>
      </c>
      <c r="B11" s="0" t="n">
        <f aca="false">COUNTIF('2. Backlog'!B:B,"Tài liệu")</f>
        <v>4</v>
      </c>
      <c r="C11" s="0" t="n">
        <f aca="false">SUMIF('2. Backlog'!B:B,"Tài liệu",'2. Backlog'!F:F)</f>
        <v>5.5</v>
      </c>
    </row>
    <row r="12" customFormat="false" ht="15" hidden="false" customHeight="false" outlineLevel="0" collapsed="false">
      <c r="A12" s="0" t="s">
        <v>805</v>
      </c>
      <c r="B12" s="0" t="n">
        <f aca="false">COUNTIF('2. Backlog'!B:B,"Kiểm thử")</f>
        <v>7</v>
      </c>
      <c r="C12" s="0" t="n">
        <f aca="false">SUMIF('2. Backlog'!B:B,"Kiểm thử",'2. Backlog'!F:F)</f>
        <v>14.5</v>
      </c>
    </row>
    <row r="13" customFormat="false" ht="15" hidden="false" customHeight="false" outlineLevel="0" collapsed="false">
      <c r="A13" s="0" t="s">
        <v>826</v>
      </c>
      <c r="B13" s="0" t="n">
        <f aca="false">COUNTIF('2. Backlog'!B:B,"Người")</f>
        <v>5</v>
      </c>
      <c r="C13" s="0" t="n">
        <f aca="false">SUMIF('2. Backlog'!B:B,"Người",'2. Backlog'!F:F)</f>
        <v>4.5</v>
      </c>
    </row>
    <row r="15" customFormat="false" ht="15" hidden="false" customHeight="false" outlineLevel="0" collapsed="false">
      <c r="A15" s="10" t="s">
        <v>995</v>
      </c>
    </row>
    <row r="16" customFormat="false" ht="15" hidden="false" customHeight="false" outlineLevel="0" collapsed="false">
      <c r="A16" s="0" t="s">
        <v>128</v>
      </c>
      <c r="B16" s="0" t="n">
        <f aca="false">COUNTIF('2. Backlog'!H:H,"AI làm")</f>
        <v>187</v>
      </c>
      <c r="C16" s="0" t="n">
        <f aca="false">SUMIF('2. Backlog'!H:H,"AI làm",'2. Backlog'!F:F)</f>
        <v>132.875</v>
      </c>
    </row>
    <row r="17" customFormat="false" ht="15" hidden="false" customHeight="false" outlineLevel="0" collapsed="false">
      <c r="A17" s="0" t="s">
        <v>44</v>
      </c>
      <c r="B17" s="0" t="n">
        <f aca="false">COUNTIF('2. Backlog'!H:H,"AI làm/người duyệt")</f>
        <v>67</v>
      </c>
      <c r="C17" s="0" t="n">
        <f aca="false">SUMIF('2. Backlog'!H:H,"AI làm/người duyệt",'2. Backlog'!F:F)</f>
        <v>121</v>
      </c>
    </row>
    <row r="18" customFormat="false" ht="15" hidden="false" customHeight="false" outlineLevel="0" collapsed="false">
      <c r="A18" s="0" t="s">
        <v>109</v>
      </c>
      <c r="B18" s="0" t="n">
        <f aca="false">COUNTIF('2. Backlog'!H:H,"AI làm/người duyệt (Swift)")</f>
        <v>3</v>
      </c>
      <c r="C18" s="0" t="n">
        <f aca="false">SUMIF('2. Backlog'!H:H,"AI làm/người duyệt (Swift)",'2. Backlog'!F:F)</f>
        <v>19</v>
      </c>
    </row>
    <row r="19" customFormat="false" ht="15" hidden="false" customHeight="false" outlineLevel="0" collapsed="false">
      <c r="A19" s="0" t="s">
        <v>826</v>
      </c>
      <c r="B19" s="0" t="n">
        <f aca="false">COUNTIF('2. Backlog'!H:H,"Người")</f>
        <v>5</v>
      </c>
      <c r="C19" s="0" t="n">
        <f aca="false">SUMIF('2. Backlog'!H:H,"Người",'2. Backlog'!F:F)</f>
        <v>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2026-09-05T22:59:40Z</dcterms:created>
  <dc:creator>openpyxl</dc:creator>
  <dc:description/>
  <dc:language>en-US</dc:language>
  <cp:lastModifiedBy/>
  <dcterms:modified xsi:type="dcterms:W3CDTF">2026-09-05T22:59:40Z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