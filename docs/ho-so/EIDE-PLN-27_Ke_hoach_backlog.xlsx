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Hướng dẫn" sheetId="1" state="visible" r:id="rId1"/>
    <sheet name="1. Mốc" sheetId="2" state="visible" r:id="rId2"/>
    <sheet name="2. Backlog" sheetId="3" state="visible" r:id="rId3"/>
    <sheet name="3. Truy vết hợp nhất" sheetId="4" state="visible" r:id="rId4"/>
    <sheet name="4. Phân công Người–AI" sheetId="5" state="visible" r:id="rId5"/>
    <sheet name="5. Thống k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B8121F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121F"/>
      <sz val="12"/>
    </font>
  </fonts>
  <fills count="5">
    <fill>
      <patternFill/>
    </fill>
    <fill>
      <patternFill patternType="gray125"/>
    </fill>
    <fill>
      <patternFill patternType="solid">
        <fgColor rgb="00B8121F"/>
      </patternFill>
    </fill>
    <fill>
      <patternFill patternType="solid">
        <fgColor rgb="00F2F6FB"/>
      </patternFill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Backlog" displayName="Backlog" ref="A1:K262" headerRowCount="1">
  <autoFilter ref="A1:K262"/>
  <tableColumns count="11">
    <tableColumn id="1" name="Mã việc"/>
    <tableColumn id="2" name="Loại"/>
    <tableColumn id="3" name="Việc"/>
    <tableColumn id="4" name="Mốc"/>
    <tableColumn id="5" name="Ưu tiên"/>
    <tableColumn id="6" name="Ước lượng (ngày)"/>
    <tableColumn id="7" name="Phụ thuộc"/>
    <tableColumn id="8" name="Ai làm"/>
    <tableColumn id="9" name="Tài liệu tham chiếu"/>
    <tableColumn id="10" name="Năng lực"/>
    <tableColumn id="11" name="Trạng thái"/>
  </tableColumns>
  <tableStyleInfo name="TableStyleLight1" showRowStripes="0"/>
</table>
</file>

<file path=xl/tables/table2.xml><?xml version="1.0" encoding="utf-8"?>
<table xmlns="http://schemas.openxmlformats.org/spreadsheetml/2006/main" id="2" name="TruyVet" displayName="TruyVet" ref="A1:F37" headerRowCount="1">
  <autoFilter ref="A1:F37"/>
  <tableColumns count="6">
    <tableColumn id="1" name="Nhóm UR"/>
    <tableColumn id="2" name="Nhóm năng lực"/>
    <tableColumn id="3" name="FR (năng lực)"/>
    <tableColumn id="4" name="Thiết kế"/>
    <tableColumn id="5" name="Test case"/>
    <tableColumn id="6" name="Màn hình"/>
  </tableColumns>
  <tableStyleInfo name="TableStyleLight1" showRowStripes="0"/>
</table>
</file>

<file path=xl/tables/table3.xml><?xml version="1.0" encoding="utf-8"?>
<table xmlns="http://schemas.openxmlformats.org/spreadsheetml/2006/main" id="3" name="PhanCong" displayName="PhanCong" ref="A1:C9" headerRowCount="1">
  <autoFilter ref="A1:C9"/>
  <tableColumns count="3">
    <tableColumn id="1" name="Loại việc"/>
    <tableColumn id="2" name="Ai làm"/>
    <tableColumn id="3" name="Ghi chú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EIDE-PLN-27 — KẾ HOẠCH PHÁT TRIỂN VÀ BACKLOG THEO MỐC (v1.0)</t>
        </is>
      </c>
    </row>
    <row r="2">
      <c r="A2" s="2" t="inlineStr">
        <is>
          <t>Đề án tốt nghiệp Thạc sĩ ngành Kỹ thuật Điện tử — PTIT · Học viên: Vũ Trí Công · Người hướng dẫn: TS. Nguyễn Trung Hiếu · 05/09/2026</t>
        </is>
      </c>
    </row>
    <row r="3">
      <c r="A3" s="2" t="inlineStr">
        <is>
          <t>Sheet 1 Mốc: phạm vi, tiêu chí xong, số việc (công thức). Sheet 2 Backlog: một dòng cho mỗi việc (hạ tầng, năng lực, UI, tài liệu, test) với mốc, ưu tiên, ước lượng, phụ thuộc, ai làm (người/AI), tài liệu tham chiếu, trạng thái. Sheet 3 Truy vết hợp nhất: UR → FR/năng lực → thiết kế → TC → màn hình. Sheet 4 Phân công Người–AI: theo loại việc. Sheet 5 Thống kê (công thức).</t>
        </is>
      </c>
    </row>
    <row r="4">
      <c r="A4" s="2" t="inlineStr">
        <is>
          <t>Quy ước: ước lượng theo ngày công có AI hỗ trợ (tác tử coder viết phần lớn mã dưới sự duyệt của người); 'AI làm' = tác tử làm trọn, 'AI làm/người duyệt' = AI viết người review, 'Người' = quyết định/thiết kế/kiểm phần cứng.</t>
        </is>
      </c>
    </row>
    <row r="5">
      <c r="A5" s="2" t="inlineStr">
        <is>
          <t>Cột Trạng thái có danh sách chọn (Chưa · Đang · Xong · Bỏ). Lọc theo Mốc để lấy backlog của sprint.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50" customWidth="1" min="3" max="3"/>
    <col width="9" customWidth="1" min="4" max="4"/>
    <col width="12" customWidth="1" min="5" max="5"/>
    <col width="9" customWidth="1" min="6" max="6"/>
    <col width="9" customWidth="1" min="7" max="7"/>
  </cols>
  <sheetData>
    <row r="1">
      <c r="A1" s="3" t="inlineStr">
        <is>
          <t>Mốc</t>
        </is>
      </c>
      <c r="B1" s="3" t="inlineStr">
        <is>
          <t>Phạm vi</t>
        </is>
      </c>
      <c r="C1" s="3" t="inlineStr">
        <is>
          <t>Tiêu chí xong</t>
        </is>
      </c>
      <c r="D1" s="3" t="inlineStr">
        <is>
          <t>Số việc</t>
        </is>
      </c>
      <c r="E1" s="3" t="inlineStr">
        <is>
          <t>Ngày ước lượng</t>
        </is>
      </c>
      <c r="F1" s="3" t="inlineStr">
        <is>
          <t>Đã xong</t>
        </is>
      </c>
      <c r="G1" s="3" t="inlineStr">
        <is>
          <t>Tiến độ</t>
        </is>
      </c>
    </row>
    <row r="2">
      <c r="A2" s="4" t="inlineStr">
        <is>
          <t>M0</t>
        </is>
      </c>
      <c r="B2" s="4" t="inlineStr">
        <is>
          <t>Khung: schema, store, KG, SVD/ATDF, gateway, CLI — ĐÃ XONG (hkw-core)</t>
        </is>
      </c>
      <c r="C2" s="4" t="inlineStr">
        <is>
          <t>24 test đạt; 640 chip seed; 100/100 truy vấn</t>
        </is>
      </c>
      <c r="D2" s="4">
        <f>COUNTIF('2. Backlog'!D:D,"M0")</f>
        <v/>
      </c>
      <c r="E2" s="4">
        <f>SUMIF('2. Backlog'!D:D,"M0",'2. Backlog'!F:F)</f>
        <v/>
      </c>
      <c r="F2" s="4">
        <f>COUNTIFS('2. Backlog'!D:D,"M0",'2. Backlog'!K:K,"Xong")</f>
        <v/>
      </c>
      <c r="G2" s="5">
        <f>IF(D2=0,0,F2/D2)</f>
        <v/>
      </c>
    </row>
    <row r="3">
      <c r="A3" s="4" t="inlineStr">
        <is>
          <t>M1</t>
        </is>
      </c>
      <c r="B3" s="4" t="inlineStr">
        <is>
          <t>Lõi tác tử: registry năng lực, chính sách, orchestrator, ngữ cảnh, bộ nhớ, tool.*, extract PDF/ảnh/zip, RAG, plugin chat cơ bản, prompt</t>
        </is>
      </c>
      <c r="C3" s="4" t="inlineStr">
        <is>
          <t>Kịch bản Z-01…Z-10 chạy; ≤ 5 bấm với sim; TC M1 đạt</t>
        </is>
      </c>
      <c r="D3" s="4">
        <f>COUNTIF('2. Backlog'!D:D,"M1")</f>
        <v/>
      </c>
      <c r="E3" s="4">
        <f>SUMIF('2. Backlog'!D:D,"M1",'2. Backlog'!F:F)</f>
        <v/>
      </c>
      <c r="F3" s="4">
        <f>COUNTIFS('2. Backlog'!D:D,"M1",'2. Backlog'!K:K,"Xong")</f>
        <v/>
      </c>
      <c r="G3" s="5">
        <f>IF(D3=0,0,F3/D3)</f>
        <v/>
      </c>
    </row>
    <row r="4">
      <c r="A4" s="4" t="inlineStr">
        <is>
          <t>M2</t>
        </is>
      </c>
      <c r="B4" s="4" t="inlineStr">
        <is>
          <t>Mạch, kiến trúc, mã/merge tự động, lược đồ, tài liệu, dò board, target, sim, benchmark, installer, panel còn lại</t>
        </is>
      </c>
      <c r="C4" s="4" t="inlineStr">
        <is>
          <t>Kịch bản chuẩn 17 bước đầu-cuối trên Nucleo + Uno với 2 mô hình; tài liệu SRS/SAD sinh tự động</t>
        </is>
      </c>
      <c r="D4" s="4">
        <f>COUNTIF('2. Backlog'!D:D,"M2")</f>
        <v/>
      </c>
      <c r="E4" s="4">
        <f>SUMIF('2. Backlog'!D:D,"M2",'2. Backlog'!F:F)</f>
        <v/>
      </c>
      <c r="F4" s="4">
        <f>COUNTIFS('2. Backlog'!D:D,"M2",'2. Backlog'!K:K,"Xong")</f>
        <v/>
      </c>
      <c r="G4" s="5">
        <f>IF(D4=0,0,F4/D4)</f>
        <v/>
      </c>
    </row>
    <row r="5">
      <c r="A5" s="4" t="inlineStr">
        <is>
          <t>M3</t>
        </is>
      </c>
      <c r="B5" s="4" t="inlineStr">
        <is>
          <t>Quan sát: log lớn, probe, debug, sync lược đồ/tài liệu, measure</t>
        </is>
      </c>
      <c r="C5" s="4" t="inlineStr">
        <is>
          <t>Kịch bản C log ≥ 1 GB; HardFault chẩn đoán đúng ≥ 80%</t>
        </is>
      </c>
      <c r="D5" s="4">
        <f>COUNTIF('2. Backlog'!D:D,"M3")</f>
        <v/>
      </c>
      <c r="E5" s="4">
        <f>SUMIF('2. Backlog'!D:D,"M3",'2. Backlog'!F:F)</f>
        <v/>
      </c>
      <c r="F5" s="4">
        <f>COUNTIFS('2. Backlog'!D:D,"M3",'2. Backlog'!K:K,"Xong")</f>
        <v/>
      </c>
      <c r="G5" s="5">
        <f>IF(D5=0,0,F5/D5)</f>
        <v/>
      </c>
    </row>
    <row r="6">
      <c r="A6" s="4" t="inlineStr">
        <is>
          <t>M4</t>
        </is>
      </c>
      <c r="B6" s="4" t="inlineStr">
        <is>
          <t>Registry lớp, template, gói công cụ, ký, publish</t>
        </is>
      </c>
      <c r="C6" s="4" t="inlineStr">
        <is>
          <t>≥ 500 gói hạt giống + 20 kiểm định; tool.promote hoạt động</t>
        </is>
      </c>
      <c r="D6" s="4">
        <f>COUNTIF('2. Backlog'!D:D,"M4")</f>
        <v/>
      </c>
      <c r="E6" s="4">
        <f>SUMIF('2. Backlog'!D:D,"M4",'2. Backlog'!F:F)</f>
        <v/>
      </c>
      <c r="F6" s="4">
        <f>COUNTIFS('2. Backlog'!D:D,"M4",'2. Backlog'!K:K,"Xong")</f>
        <v/>
      </c>
      <c r="G6" s="5">
        <f>IF(D6=0,0,F6/D6)</f>
        <v/>
      </c>
    </row>
    <row r="7">
      <c r="A7" s="4" t="inlineStr">
        <is>
          <t>M5</t>
        </is>
      </c>
      <c r="B7" s="4" t="inlineStr">
        <is>
          <t>Mở rộng: PIC, chế độ cục bộ, đa người dùng, sigrok, Windows/Linux UI</t>
        </is>
      </c>
      <c r="C7" s="4" t="inlineStr">
        <is>
          <t>Theo nhu cầu</t>
        </is>
      </c>
      <c r="D7" s="4">
        <f>COUNTIF('2. Backlog'!D:D,"M5")</f>
        <v/>
      </c>
      <c r="E7" s="4">
        <f>SUMIF('2. Backlog'!D:D,"M5",'2. Backlog'!F:F)</f>
        <v/>
      </c>
      <c r="F7" s="4">
        <f>COUNTIFS('2. Backlog'!D:D,"M5",'2. Backlog'!K:K,"Xong")</f>
        <v/>
      </c>
      <c r="G7" s="5">
        <f>IF(D7=0,0,F7/D7)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0" customWidth="1" min="3" max="3"/>
    <col width="7" customWidth="1" min="4" max="4"/>
    <col width="8" customWidth="1" min="5" max="5"/>
    <col width="10" customWidth="1" min="6" max="6"/>
    <col width="16" customWidth="1" min="7" max="7"/>
    <col width="20" customWidth="1" min="8" max="8"/>
    <col width="24" customWidth="1" min="9" max="9"/>
    <col width="22" customWidth="1" min="10" max="10"/>
    <col width="10" customWidth="1" min="11" max="11"/>
  </cols>
  <sheetData>
    <row r="1">
      <c r="A1" s="6" t="inlineStr">
        <is>
          <t>Mã việc</t>
        </is>
      </c>
      <c r="B1" s="6" t="inlineStr">
        <is>
          <t>Loại</t>
        </is>
      </c>
      <c r="C1" s="6" t="inlineStr">
        <is>
          <t>Việc</t>
        </is>
      </c>
      <c r="D1" s="6" t="inlineStr">
        <is>
          <t>Mốc</t>
        </is>
      </c>
      <c r="E1" s="6" t="inlineStr">
        <is>
          <t>Ưu tiên</t>
        </is>
      </c>
      <c r="F1" s="6" t="inlineStr">
        <is>
          <t>Ước lượng (ngày)</t>
        </is>
      </c>
      <c r="G1" s="6" t="inlineStr">
        <is>
          <t>Phụ thuộc</t>
        </is>
      </c>
      <c r="H1" s="6" t="inlineStr">
        <is>
          <t>Ai làm</t>
        </is>
      </c>
      <c r="I1" s="6" t="inlineStr">
        <is>
          <t>Tài liệu tham chiếu</t>
        </is>
      </c>
      <c r="J1" s="6" t="inlineStr">
        <is>
          <t>Năng lực</t>
        </is>
      </c>
      <c r="K1" s="6" t="inlineStr">
        <is>
          <t>Trạng thái</t>
        </is>
      </c>
    </row>
    <row r="2">
      <c r="A2" s="7" t="inlineStr">
        <is>
          <t>WI-001</t>
        </is>
      </c>
      <c r="B2" s="7" t="inlineStr">
        <is>
          <t>Hạ tầng</t>
        </is>
      </c>
      <c r="C2" s="7" t="inlineStr">
        <is>
          <t>Khởi tạo kho eide: lõi eide_core/ tách riêng, CLI argparse, không kế thừa hkw-core</t>
        </is>
      </c>
      <c r="D2" s="7" t="inlineStr">
        <is>
          <t>M1</t>
        </is>
      </c>
      <c r="E2" s="7" t="inlineStr">
        <is>
          <t>M</t>
        </is>
      </c>
      <c r="F2" s="7" t="n">
        <v>1</v>
      </c>
      <c r="G2" s="7" t="inlineStr"/>
      <c r="H2" s="7" t="inlineStr">
        <is>
          <t>AI làm/người duyệt</t>
        </is>
      </c>
      <c r="I2" s="7" t="inlineStr">
        <is>
          <t>DEP-26, CON-28, SAD-03 ADR-16</t>
        </is>
      </c>
      <c r="J2" s="7" t="inlineStr"/>
      <c r="K2" s="7" t="inlineStr">
        <is>
          <t>Chưa</t>
        </is>
      </c>
    </row>
    <row r="3">
      <c r="A3" s="4" t="inlineStr">
        <is>
          <t>WI-002</t>
        </is>
      </c>
      <c r="B3" s="4" t="inlineStr">
        <is>
          <t>Hạ tầng</t>
        </is>
      </c>
      <c r="C3" s="4" t="inlineStr">
        <is>
          <t>Migration 0002_m1 (bảng policy/runtime) + eide migrate</t>
        </is>
      </c>
      <c r="D3" s="4" t="inlineStr">
        <is>
          <t>M1</t>
        </is>
      </c>
      <c r="E3" s="4" t="inlineStr">
        <is>
          <t>M</t>
        </is>
      </c>
      <c r="F3" s="4" t="n">
        <v>1.5</v>
      </c>
      <c r="G3" s="4" t="inlineStr">
        <is>
          <t>WI-001</t>
        </is>
      </c>
      <c r="H3" s="4" t="inlineStr">
        <is>
          <t>AI làm/người duyệt</t>
        </is>
      </c>
      <c r="I3" s="4" t="inlineStr">
        <is>
          <t>DDD-14 §5</t>
        </is>
      </c>
      <c r="J3" s="4" t="inlineStr"/>
      <c r="K3" s="4" t="inlineStr">
        <is>
          <t>Chưa</t>
        </is>
      </c>
    </row>
    <row r="4">
      <c r="A4" s="7" t="inlineStr">
        <is>
          <t>WI-003</t>
        </is>
      </c>
      <c r="B4" s="7" t="inlineStr">
        <is>
          <t>Hạ tầng</t>
        </is>
      </c>
      <c r="C4" s="7" t="inlineStr">
        <is>
          <t>Capability Registry + Router (nạp capabilities/*.yaml, invoke, grounding, ledger, undo)</t>
        </is>
      </c>
      <c r="D4" s="7" t="inlineStr">
        <is>
          <t>M1</t>
        </is>
      </c>
      <c r="E4" s="7" t="inlineStr">
        <is>
          <t>M</t>
        </is>
      </c>
      <c r="F4" s="7" t="n">
        <v>4</v>
      </c>
      <c r="G4" s="7" t="inlineStr">
        <is>
          <t>WI-002</t>
        </is>
      </c>
      <c r="H4" s="7" t="inlineStr">
        <is>
          <t>AI làm/người duyệt</t>
        </is>
      </c>
      <c r="I4" s="7" t="inlineStr">
        <is>
          <t>SDD-04 §4.0, CDS-12</t>
        </is>
      </c>
      <c r="J4" s="7" t="inlineStr"/>
      <c r="K4" s="7" t="inlineStr">
        <is>
          <t>Chưa</t>
        </is>
      </c>
    </row>
    <row r="5">
      <c r="A5" s="4" t="inlineStr">
        <is>
          <t>WI-004</t>
        </is>
      </c>
      <c r="B5" s="4" t="inlineStr">
        <is>
          <t>Hạ tầng</t>
        </is>
      </c>
      <c r="C5" s="4" t="inlineStr">
        <is>
          <t>PolicyGate + rules.yaml + autonomy.yaml + UndoService + decision_log</t>
        </is>
      </c>
      <c r="D5" s="4" t="inlineStr">
        <is>
          <t>M1</t>
        </is>
      </c>
      <c r="E5" s="4" t="inlineStr">
        <is>
          <t>M</t>
        </is>
      </c>
      <c r="F5" s="4" t="n">
        <v>4</v>
      </c>
      <c r="G5" s="4" t="inlineStr">
        <is>
          <t>WI-003</t>
        </is>
      </c>
      <c r="H5" s="4" t="inlineStr">
        <is>
          <t>AI làm/người duyệt</t>
        </is>
      </c>
      <c r="I5" s="4" t="inlineStr">
        <is>
          <t>POL-17</t>
        </is>
      </c>
      <c r="J5" s="4" t="inlineStr"/>
      <c r="K5" s="4" t="inlineStr">
        <is>
          <t>Chưa</t>
        </is>
      </c>
    </row>
    <row r="6">
      <c r="A6" s="7" t="inlineStr">
        <is>
          <t>WI-005</t>
        </is>
      </c>
      <c r="B6" s="7" t="inlineStr">
        <is>
          <t>Hạ tầng</t>
        </is>
      </c>
      <c r="C6" s="7" t="inlineStr">
        <is>
          <t>Orchestrator (intent, ground, defaults, clarify, chain, runner, report) + chains/*.yaml</t>
        </is>
      </c>
      <c r="D6" s="7" t="inlineStr">
        <is>
          <t>M1</t>
        </is>
      </c>
      <c r="E6" s="7" t="inlineStr">
        <is>
          <t>M</t>
        </is>
      </c>
      <c r="F6" s="7" t="n">
        <v>6</v>
      </c>
      <c r="G6" s="7" t="inlineStr">
        <is>
          <t>WI-003, WI-004</t>
        </is>
      </c>
      <c r="H6" s="7" t="inlineStr">
        <is>
          <t>AI làm/người duyệt</t>
        </is>
      </c>
      <c r="I6" s="7" t="inlineStr">
        <is>
          <t>DPS-09, PRS-16</t>
        </is>
      </c>
      <c r="J6" s="7" t="inlineStr"/>
      <c r="K6" s="7" t="inlineStr">
        <is>
          <t>Chưa</t>
        </is>
      </c>
    </row>
    <row r="7">
      <c r="A7" s="4" t="inlineStr">
        <is>
          <t>WI-006</t>
        </is>
      </c>
      <c r="B7" s="4" t="inlineStr">
        <is>
          <t>Hạ tầng</t>
        </is>
      </c>
      <c r="C7" s="4" t="inlineStr">
        <is>
          <t>Composer + Compressor (ContextBundle, Graph-RAG 2 bước, ngân sách, cache marks)</t>
        </is>
      </c>
      <c r="D7" s="4" t="inlineStr">
        <is>
          <t>M1</t>
        </is>
      </c>
      <c r="E7" s="4" t="inlineStr">
        <is>
          <t>M</t>
        </is>
      </c>
      <c r="F7" s="4" t="n">
        <v>4</v>
      </c>
      <c r="G7" s="4" t="inlineStr">
        <is>
          <t>WI-003</t>
        </is>
      </c>
      <c r="H7" s="4" t="inlineStr">
        <is>
          <t>AI làm/người duyệt</t>
        </is>
      </c>
      <c r="I7" s="4" t="inlineStr">
        <is>
          <t>CXD-10</t>
        </is>
      </c>
      <c r="J7" s="4" t="inlineStr"/>
      <c r="K7" s="4" t="inlineStr">
        <is>
          <t>Chưa</t>
        </is>
      </c>
    </row>
    <row r="8">
      <c r="A8" s="7" t="inlineStr">
        <is>
          <t>WI-007</t>
        </is>
      </c>
      <c r="B8" s="7" t="inlineStr">
        <is>
          <t>Hạ tầng</t>
        </is>
      </c>
      <c r="C8" s="7" t="inlineStr">
        <is>
          <t>Memory: WorkingMemory/Session/ErrorLedger/Preference; PROGRESS/FEATURES sinh tự động; resume</t>
        </is>
      </c>
      <c r="D8" s="7" t="inlineStr">
        <is>
          <t>M1</t>
        </is>
      </c>
      <c r="E8" s="7" t="inlineStr">
        <is>
          <t>M</t>
        </is>
      </c>
      <c r="F8" s="7" t="n">
        <v>3</v>
      </c>
      <c r="G8" s="7" t="inlineStr">
        <is>
          <t>WI-002</t>
        </is>
      </c>
      <c r="H8" s="7" t="inlineStr">
        <is>
          <t>AI làm/người duyệt</t>
        </is>
      </c>
      <c r="I8" s="7" t="inlineStr">
        <is>
          <t>MEM-11</t>
        </is>
      </c>
      <c r="J8" s="7" t="inlineStr"/>
      <c r="K8" s="7" t="inlineStr">
        <is>
          <t>Chưa</t>
        </is>
      </c>
    </row>
    <row r="9">
      <c r="A9" s="4" t="inlineStr">
        <is>
          <t>WI-008</t>
        </is>
      </c>
      <c r="B9" s="4" t="inlineStr">
        <is>
          <t>Hạ tầng</t>
        </is>
      </c>
      <c r="C9" s="4" t="inlineStr">
        <is>
          <t>Ledger chuỗi hash + bộ lọc bí mật + api/errors.json</t>
        </is>
      </c>
      <c r="D9" s="4" t="inlineStr">
        <is>
          <t>M1</t>
        </is>
      </c>
      <c r="E9" s="4" t="inlineStr">
        <is>
          <t>M</t>
        </is>
      </c>
      <c r="F9" s="4" t="n">
        <v>1.5</v>
      </c>
      <c r="G9" s="4" t="inlineStr"/>
      <c r="H9" s="4" t="inlineStr">
        <is>
          <t>AI làm/người duyệt</t>
        </is>
      </c>
      <c r="I9" s="4" t="inlineStr">
        <is>
          <t>API-15 §6–7, SEC-25</t>
        </is>
      </c>
      <c r="J9" s="4" t="inlineStr"/>
      <c r="K9" s="4" t="inlineStr">
        <is>
          <t>Chưa</t>
        </is>
      </c>
    </row>
    <row r="10">
      <c r="A10" s="7" t="inlineStr">
        <is>
          <t>WI-009</t>
        </is>
      </c>
      <c r="B10" s="7" t="inlineStr">
        <is>
          <t>Hạ tầng</t>
        </is>
      </c>
      <c r="C10" s="7" t="inlineStr">
        <is>
          <t>Sandbox (tiến trình con, giới hạn, giám sát hiệu ứng, audit hook)</t>
        </is>
      </c>
      <c r="D10" s="7" t="inlineStr">
        <is>
          <t>M1</t>
        </is>
      </c>
      <c r="E10" s="7" t="inlineStr">
        <is>
          <t>M</t>
        </is>
      </c>
      <c r="F10" s="7" t="n">
        <v>3</v>
      </c>
      <c r="G10" s="7" t="inlineStr"/>
      <c r="H10" s="7" t="inlineStr">
        <is>
          <t>AI làm/người duyệt</t>
        </is>
      </c>
      <c r="I10" s="7" t="inlineStr">
        <is>
          <t>SEC-25 §2</t>
        </is>
      </c>
      <c r="J10" s="7" t="inlineStr"/>
      <c r="K10" s="7" t="inlineStr">
        <is>
          <t>Chưa</t>
        </is>
      </c>
    </row>
    <row r="11">
      <c r="A11" s="4" t="inlineStr">
        <is>
          <t>WI-010</t>
        </is>
      </c>
      <c r="B11" s="4" t="inlineStr">
        <is>
          <t>Hạ tầng</t>
        </is>
      </c>
      <c r="C11" s="4" t="inlineStr">
        <is>
          <t>JSON-RPC server + OpenRPC + REST nội bộ + CLI eide "&lt;lệnh&gt;"</t>
        </is>
      </c>
      <c r="D11" s="4" t="inlineStr">
        <is>
          <t>M1</t>
        </is>
      </c>
      <c r="E11" s="4" t="inlineStr">
        <is>
          <t>M</t>
        </is>
      </c>
      <c r="F11" s="4" t="n">
        <v>4</v>
      </c>
      <c r="G11" s="4" t="inlineStr">
        <is>
          <t>WI-003, WI-005</t>
        </is>
      </c>
      <c r="H11" s="4" t="inlineStr">
        <is>
          <t>AI làm/người duyệt</t>
        </is>
      </c>
      <c r="I11" s="4" t="inlineStr">
        <is>
          <t>API-15</t>
        </is>
      </c>
      <c r="J11" s="4" t="inlineStr"/>
      <c r="K11" s="4" t="inlineStr">
        <is>
          <t>Chưa</t>
        </is>
      </c>
    </row>
    <row r="12">
      <c r="A12" s="7" t="inlineStr">
        <is>
          <t>WI-011</t>
        </is>
      </c>
      <c r="B12" s="7" t="inlineStr">
        <is>
          <t>Hạ tầng</t>
        </is>
      </c>
      <c r="C12" s="7" t="inlineStr">
        <is>
          <t>MCP server sinh tool từ registry (caps_*, chat_command, 12 tool nhanh)</t>
        </is>
      </c>
      <c r="D12" s="7" t="inlineStr">
        <is>
          <t>M1</t>
        </is>
      </c>
      <c r="E12" s="7" t="inlineStr">
        <is>
          <t>M</t>
        </is>
      </c>
      <c r="F12" s="7" t="n">
        <v>2</v>
      </c>
      <c r="G12" s="7" t="inlineStr">
        <is>
          <t>WI-003</t>
        </is>
      </c>
      <c r="H12" s="7" t="inlineStr">
        <is>
          <t>AI làm/người duyệt</t>
        </is>
      </c>
      <c r="I12" s="7" t="inlineStr">
        <is>
          <t>API-15 §3</t>
        </is>
      </c>
      <c r="J12" s="7" t="inlineStr"/>
      <c r="K12" s="7" t="inlineStr">
        <is>
          <t>Chưa</t>
        </is>
      </c>
    </row>
    <row r="13">
      <c r="A13" s="4" t="inlineStr">
        <is>
          <t>WI-012</t>
        </is>
      </c>
      <c r="B13" s="4" t="inlineStr">
        <is>
          <t>Hạ tầng</t>
        </is>
      </c>
      <c r="C13" s="4" t="inlineStr">
        <is>
          <t>RagIndex (chunk, embedding qua Gateway, FTS5, gắn IRI, truy hồi lai)</t>
        </is>
      </c>
      <c r="D13" s="4" t="inlineStr">
        <is>
          <t>M1</t>
        </is>
      </c>
      <c r="E13" s="4" t="inlineStr">
        <is>
          <t>M</t>
        </is>
      </c>
      <c r="F13" s="4" t="n">
        <v>3</v>
      </c>
      <c r="G13" s="4" t="inlineStr">
        <is>
          <t>WI-002</t>
        </is>
      </c>
      <c r="H13" s="4" t="inlineStr">
        <is>
          <t>AI làm/người duyệt</t>
        </is>
      </c>
      <c r="I13" s="4" t="inlineStr">
        <is>
          <t>KAD-07 §6.9, CDS view.rag_index</t>
        </is>
      </c>
      <c r="J13" s="4" t="inlineStr"/>
      <c r="K13" s="4" t="inlineStr">
        <is>
          <t>Chưa</t>
        </is>
      </c>
    </row>
    <row r="14">
      <c r="A14" s="7" t="inlineStr">
        <is>
          <t>WI-013</t>
        </is>
      </c>
      <c r="B14" s="7" t="inlineStr">
        <is>
          <t>Hạ tầng</t>
        </is>
      </c>
      <c r="C14" s="7" t="inlineStr">
        <is>
          <t>Prompt 9 vai trò + roles/models.yaml + 50 câu lệnh + test L2b</t>
        </is>
      </c>
      <c r="D14" s="7" t="inlineStr">
        <is>
          <t>M1</t>
        </is>
      </c>
      <c r="E14" s="7" t="inlineStr">
        <is>
          <t>M</t>
        </is>
      </c>
      <c r="F14" s="7" t="n">
        <v>2</v>
      </c>
      <c r="G14" s="7" t="inlineStr">
        <is>
          <t>WI-005</t>
        </is>
      </c>
      <c r="H14" s="7" t="inlineStr">
        <is>
          <t>AI làm/người duyệt</t>
        </is>
      </c>
      <c r="I14" s="7" t="inlineStr">
        <is>
          <t>PRS-16</t>
        </is>
      </c>
      <c r="J14" s="7" t="inlineStr"/>
      <c r="K14" s="7" t="inlineStr">
        <is>
          <t>Chưa</t>
        </is>
      </c>
    </row>
    <row r="15">
      <c r="A15" s="4" t="inlineStr">
        <is>
          <t>WI-014</t>
        </is>
      </c>
      <c r="B15" s="4" t="inlineStr">
        <is>
          <t>Hạ tầng</t>
        </is>
      </c>
      <c r="C15" s="4" t="inlineStr">
        <is>
          <t>Migration 0004_m2 (module, hw_map, adr, doc_artifact, discovery, measurement)</t>
        </is>
      </c>
      <c r="D15" s="4" t="inlineStr">
        <is>
          <t>M2</t>
        </is>
      </c>
      <c r="E15" s="4" t="inlineStr">
        <is>
          <t>M</t>
        </is>
      </c>
      <c r="F15" s="4" t="n">
        <v>1</v>
      </c>
      <c r="G15" s="4" t="inlineStr">
        <is>
          <t>WI-002</t>
        </is>
      </c>
      <c r="H15" s="4" t="inlineStr">
        <is>
          <t>AI làm/người duyệt</t>
        </is>
      </c>
      <c r="I15" s="4" t="inlineStr">
        <is>
          <t>DDD-14</t>
        </is>
      </c>
      <c r="J15" s="4" t="inlineStr"/>
      <c r="K15" s="4" t="inlineStr">
        <is>
          <t>Chưa</t>
        </is>
      </c>
    </row>
    <row r="16">
      <c r="A16" s="7" t="inlineStr">
        <is>
          <t>WI-015</t>
        </is>
      </c>
      <c r="B16" s="7" t="inlineStr">
        <is>
          <t>Hạ tầng</t>
        </is>
      </c>
      <c r="C16" s="7" t="inlineStr">
        <is>
          <t>Bộ render lược đồ (mmdc/plantuml/dot/d2/wavedrom) trong sandbox + lint</t>
        </is>
      </c>
      <c r="D16" s="7" t="inlineStr">
        <is>
          <t>M2</t>
        </is>
      </c>
      <c r="E16" s="7" t="inlineStr">
        <is>
          <t>M</t>
        </is>
      </c>
      <c r="F16" s="7" t="n">
        <v>2</v>
      </c>
      <c r="G16" s="7" t="inlineStr">
        <is>
          <t>WI-009</t>
        </is>
      </c>
      <c r="H16" s="7" t="inlineStr">
        <is>
          <t>AI làm/người duyệt</t>
        </is>
      </c>
      <c r="I16" s="7" t="inlineStr">
        <is>
          <t>CDS diagram.render</t>
        </is>
      </c>
      <c r="J16" s="7" t="inlineStr"/>
      <c r="K16" s="7" t="inlineStr">
        <is>
          <t>Chưa</t>
        </is>
      </c>
    </row>
    <row r="17">
      <c r="A17" s="4" t="inlineStr">
        <is>
          <t>WI-016</t>
        </is>
      </c>
      <c r="B17" s="4" t="inlineStr">
        <is>
          <t>Hạ tầng</t>
        </is>
      </c>
      <c r="C17" s="4" t="inlineStr">
        <is>
          <t>Mẫu docx Python (port eaa_doc) + style_check</t>
        </is>
      </c>
      <c r="D17" s="4" t="inlineStr">
        <is>
          <t>M2</t>
        </is>
      </c>
      <c r="E17" s="4" t="inlineStr">
        <is>
          <t>M</t>
        </is>
      </c>
      <c r="F17" s="4" t="n">
        <v>2</v>
      </c>
      <c r="G17" s="4" t="inlineStr"/>
      <c r="H17" s="4" t="inlineStr">
        <is>
          <t>AI làm/người duyệt</t>
        </is>
      </c>
      <c r="I17" s="4" t="inlineStr">
        <is>
          <t>CDS doc.generate</t>
        </is>
      </c>
      <c r="J17" s="4" t="inlineStr"/>
      <c r="K17" s="4" t="inlineStr">
        <is>
          <t>Chưa</t>
        </is>
      </c>
    </row>
    <row r="18">
      <c r="A18" s="7" t="inlineStr">
        <is>
          <t>WI-017</t>
        </is>
      </c>
      <c r="B18" s="7" t="inlineStr">
        <is>
          <t>Hạ tầng</t>
        </is>
      </c>
      <c r="C18" s="7" t="inlineStr">
        <is>
          <t>Adapter target theo ISA (probe-rs, openocd, avrdude, esptool) + serial daemon</t>
        </is>
      </c>
      <c r="D18" s="7" t="inlineStr">
        <is>
          <t>M2</t>
        </is>
      </c>
      <c r="E18" s="7" t="inlineStr">
        <is>
          <t>M</t>
        </is>
      </c>
      <c r="F18" s="7" t="n">
        <v>4</v>
      </c>
      <c r="G18" s="7" t="inlineStr">
        <is>
          <t>WI-009</t>
        </is>
      </c>
      <c r="H18" s="7" t="inlineStr">
        <is>
          <t>AI làm/người duyệt</t>
        </is>
      </c>
      <c r="I18" s="7" t="inlineStr">
        <is>
          <t>TGT-19</t>
        </is>
      </c>
      <c r="J18" s="7" t="inlineStr"/>
      <c r="K18" s="7" t="inlineStr">
        <is>
          <t>Chưa</t>
        </is>
      </c>
    </row>
    <row r="19">
      <c r="A19" s="4" t="inlineStr">
        <is>
          <t>WI-018</t>
        </is>
      </c>
      <c r="B19" s="4" t="inlineStr">
        <is>
          <t>Hạ tầng</t>
        </is>
      </c>
      <c r="C19" s="4" t="inlineStr">
        <is>
          <t>Discovery (ports/probe/chip_id/link_speed/auto_setup) + bảng VID/PID + id_tables</t>
        </is>
      </c>
      <c r="D19" s="4" t="inlineStr">
        <is>
          <t>M2</t>
        </is>
      </c>
      <c r="E19" s="4" t="inlineStr">
        <is>
          <t>M</t>
        </is>
      </c>
      <c r="F19" s="4" t="n">
        <v>4</v>
      </c>
      <c r="G19" s="4" t="inlineStr">
        <is>
          <t>WI-017</t>
        </is>
      </c>
      <c r="H19" s="4" t="inlineStr">
        <is>
          <t>AI làm/người duyệt</t>
        </is>
      </c>
      <c r="I19" s="4" t="inlineStr">
        <is>
          <t>TGT-19 §4–6</t>
        </is>
      </c>
      <c r="J19" s="4" t="inlineStr"/>
      <c r="K19" s="4" t="inlineStr">
        <is>
          <t>Chưa</t>
        </is>
      </c>
    </row>
    <row r="20">
      <c r="A20" s="7" t="inlineStr">
        <is>
          <t>WI-019</t>
        </is>
      </c>
      <c r="B20" s="7" t="inlineStr">
        <is>
          <t>Hạ tầng</t>
        </is>
      </c>
      <c r="C20" s="7" t="inlineStr">
        <is>
          <t>Sim: Renode .repl từ hộ chiếu + mock BME280/MPU6050/A4988 + plant robot + kịch bản</t>
        </is>
      </c>
      <c r="D20" s="7" t="inlineStr">
        <is>
          <t>M2</t>
        </is>
      </c>
      <c r="E20" s="7" t="inlineStr">
        <is>
          <t>M</t>
        </is>
      </c>
      <c r="F20" s="7" t="n">
        <v>6</v>
      </c>
      <c r="G20" s="7" t="inlineStr">
        <is>
          <t>WI-017</t>
        </is>
      </c>
      <c r="H20" s="7" t="inlineStr">
        <is>
          <t>AI làm/người duyệt</t>
        </is>
      </c>
      <c r="I20" s="7" t="inlineStr">
        <is>
          <t>SIM-20</t>
        </is>
      </c>
      <c r="J20" s="7" t="inlineStr"/>
      <c r="K20" s="7" t="inlineStr">
        <is>
          <t>Chưa</t>
        </is>
      </c>
    </row>
    <row r="21">
      <c r="A21" s="4" t="inlineStr">
        <is>
          <t>WI-020</t>
        </is>
      </c>
      <c r="B21" s="4" t="inlineStr">
        <is>
          <t>Hạ tầng</t>
        </is>
      </c>
      <c r="C21" s="4" t="inlineStr">
        <is>
          <t>ToolForge: tool.need/search/write/test/run/register/repair (+ G-TOOL)</t>
        </is>
      </c>
      <c r="D21" s="4" t="inlineStr">
        <is>
          <t>M1</t>
        </is>
      </c>
      <c r="E21" s="4" t="inlineStr">
        <is>
          <t>M</t>
        </is>
      </c>
      <c r="F21" s="4" t="n">
        <v>4</v>
      </c>
      <c r="G21" s="4" t="inlineStr">
        <is>
          <t>WI-003, WI-004, WI-009</t>
        </is>
      </c>
      <c r="H21" s="4" t="inlineStr">
        <is>
          <t>AI làm/người duyệt</t>
        </is>
      </c>
      <c r="I21" s="4" t="inlineStr">
        <is>
          <t>CDS-12 tập 3 tool.*</t>
        </is>
      </c>
      <c r="J21" s="4" t="inlineStr"/>
      <c r="K21" s="4" t="inlineStr">
        <is>
          <t>Chưa</t>
        </is>
      </c>
    </row>
    <row r="22">
      <c r="A22" s="7" t="inlineStr">
        <is>
          <t>WI-021</t>
        </is>
      </c>
      <c r="B22" s="7" t="inlineStr">
        <is>
          <t>Hạ tầng</t>
        </is>
      </c>
      <c r="C22" s="7" t="inlineStr">
        <is>
          <t>Plugin GEditor: RpcClient sinh từ openrpc + ChatPanel + AutonomyBar + QueuePanel</t>
        </is>
      </c>
      <c r="D22" s="7" t="inlineStr">
        <is>
          <t>M1</t>
        </is>
      </c>
      <c r="E22" s="7" t="inlineStr">
        <is>
          <t>M</t>
        </is>
      </c>
      <c r="F22" s="7" t="n">
        <v>6</v>
      </c>
      <c r="G22" s="7" t="inlineStr">
        <is>
          <t>WI-010</t>
        </is>
      </c>
      <c r="H22" s="7" t="inlineStr">
        <is>
          <t>AI làm/người duyệt (Swift)</t>
        </is>
      </c>
      <c r="I22" s="7" t="inlineStr">
        <is>
          <t>GPI-23, UXD-13</t>
        </is>
      </c>
      <c r="J22" s="7" t="inlineStr"/>
      <c r="K22" s="7" t="inlineStr">
        <is>
          <t>Chưa</t>
        </is>
      </c>
    </row>
    <row r="23">
      <c r="A23" s="4" t="inlineStr">
        <is>
          <t>WI-022</t>
        </is>
      </c>
      <c r="B23" s="4" t="inlineStr">
        <is>
          <t>Hạ tầng</t>
        </is>
      </c>
      <c r="C23" s="4" t="inlineStr">
        <is>
          <t>Plugin GEditor: KnowledgeMap/RagAsk/ReqArch/DiagramView/Doc/Discovery/ToolForge panels</t>
        </is>
      </c>
      <c r="D23" s="4" t="inlineStr">
        <is>
          <t>M2</t>
        </is>
      </c>
      <c r="E23" s="4" t="inlineStr">
        <is>
          <t>M</t>
        </is>
      </c>
      <c r="F23" s="4" t="n">
        <v>8</v>
      </c>
      <c r="G23" s="4" t="inlineStr">
        <is>
          <t>WI-021</t>
        </is>
      </c>
      <c r="H23" s="4" t="inlineStr">
        <is>
          <t>AI làm/người duyệt (Swift)</t>
        </is>
      </c>
      <c r="I23" s="4" t="inlineStr">
        <is>
          <t>UXD-13</t>
        </is>
      </c>
      <c r="J23" s="4" t="inlineStr"/>
      <c r="K23" s="4" t="inlineStr">
        <is>
          <t>Chưa</t>
        </is>
      </c>
    </row>
    <row r="24">
      <c r="A24" s="7" t="inlineStr">
        <is>
          <t>WI-023</t>
        </is>
      </c>
      <c r="B24" s="7" t="inlineStr">
        <is>
          <t>Hạ tầng</t>
        </is>
      </c>
      <c r="C24" s="7" t="inlineStr">
        <is>
          <t>Plugin GEditor: LogAssist/Debug/Sim panels + providers</t>
        </is>
      </c>
      <c r="D24" s="7" t="inlineStr">
        <is>
          <t>M3</t>
        </is>
      </c>
      <c r="E24" s="7" t="inlineStr">
        <is>
          <t>M</t>
        </is>
      </c>
      <c r="F24" s="7" t="n">
        <v>5</v>
      </c>
      <c r="G24" s="7" t="inlineStr">
        <is>
          <t>WI-022</t>
        </is>
      </c>
      <c r="H24" s="7" t="inlineStr">
        <is>
          <t>AI làm/người duyệt (Swift)</t>
        </is>
      </c>
      <c r="I24" s="7" t="inlineStr">
        <is>
          <t>UXD-13, GPI-23</t>
        </is>
      </c>
      <c r="J24" s="7" t="inlineStr"/>
      <c r="K24" s="7" t="inlineStr">
        <is>
          <t>Chưa</t>
        </is>
      </c>
    </row>
    <row r="25">
      <c r="A25" s="4" t="inlineStr">
        <is>
          <t>WI-024</t>
        </is>
      </c>
      <c r="B25" s="4" t="inlineStr">
        <is>
          <t>Hạ tầng</t>
        </is>
      </c>
      <c r="C25" s="4" t="inlineStr">
        <is>
          <t>Registry lớp: index.json, pack/sign/publish/pull, template K5′ balancing-robot</t>
        </is>
      </c>
      <c r="D25" s="4" t="inlineStr">
        <is>
          <t>M4</t>
        </is>
      </c>
      <c r="E25" s="4" t="inlineStr">
        <is>
          <t>M</t>
        </is>
      </c>
      <c r="F25" s="4" t="n">
        <v>4</v>
      </c>
      <c r="G25" s="4" t="inlineStr">
        <is>
          <t>WI-003</t>
        </is>
      </c>
      <c r="H25" s="4" t="inlineStr">
        <is>
          <t>AI làm/người duyệt</t>
        </is>
      </c>
      <c r="I25" s="4" t="inlineStr">
        <is>
          <t>PKG-22</t>
        </is>
      </c>
      <c r="J25" s="4" t="inlineStr"/>
      <c r="K25" s="4" t="inlineStr">
        <is>
          <t>Chưa</t>
        </is>
      </c>
    </row>
    <row r="26">
      <c r="A26" s="7" t="inlineStr">
        <is>
          <t>WI-025</t>
        </is>
      </c>
      <c r="B26" s="7" t="inlineStr">
        <is>
          <t>Hạ tầng</t>
        </is>
      </c>
      <c r="C26" s="7" t="inlineStr">
        <is>
          <t>Installer + daemon launchd/systemd + CI (test/contract/dialog/hil/release/docs)</t>
        </is>
      </c>
      <c r="D26" s="7" t="inlineStr">
        <is>
          <t>M2</t>
        </is>
      </c>
      <c r="E26" s="7" t="inlineStr">
        <is>
          <t>M</t>
        </is>
      </c>
      <c r="F26" s="7" t="n">
        <v>3</v>
      </c>
      <c r="G26" s="7" t="inlineStr">
        <is>
          <t>WI-010</t>
        </is>
      </c>
      <c r="H26" s="7" t="inlineStr">
        <is>
          <t>AI làm/người duyệt</t>
        </is>
      </c>
      <c r="I26" s="7" t="inlineStr">
        <is>
          <t>DEP-26</t>
        </is>
      </c>
      <c r="J26" s="7" t="inlineStr"/>
      <c r="K26" s="7" t="inlineStr">
        <is>
          <t>Chưa</t>
        </is>
      </c>
    </row>
    <row r="27">
      <c r="A27" s="4" t="inlineStr">
        <is>
          <t>WI-026</t>
        </is>
      </c>
      <c r="B27" s="4" t="inlineStr">
        <is>
          <t>Hạ tầng</t>
        </is>
      </c>
      <c r="C27" s="4" t="inlineStr">
        <is>
          <t>Bộ benchmark 20 tác vụ + firmware kiểm định + runner board</t>
        </is>
      </c>
      <c r="D27" s="4" t="inlineStr">
        <is>
          <t>M2</t>
        </is>
      </c>
      <c r="E27" s="4" t="inlineStr">
        <is>
          <t>M</t>
        </is>
      </c>
      <c r="F27" s="4" t="n">
        <v>4</v>
      </c>
      <c r="G27" s="4" t="inlineStr">
        <is>
          <t>WI-017</t>
        </is>
      </c>
      <c r="H27" s="4" t="inlineStr">
        <is>
          <t>AI làm/người duyệt</t>
        </is>
      </c>
      <c r="I27" s="4" t="inlineStr">
        <is>
          <t>BEN-21</t>
        </is>
      </c>
      <c r="J27" s="4" t="inlineStr"/>
      <c r="K27" s="4" t="inlineStr">
        <is>
          <t>Chưa</t>
        </is>
      </c>
    </row>
    <row r="28">
      <c r="A28" s="7" t="inlineStr">
        <is>
          <t>WI-027</t>
        </is>
      </c>
      <c r="B28" s="7" t="inlineStr">
        <is>
          <t>Năng lực</t>
        </is>
      </c>
      <c r="C28" s="7" t="inlineStr">
        <is>
          <t>PROJECT-03 project.list — Liệt kê dự án trong workspace với ngày, board, tiến độ</t>
        </is>
      </c>
      <c r="D28" s="7" t="inlineStr">
        <is>
          <t>M1</t>
        </is>
      </c>
      <c r="E28" s="7" t="inlineStr">
        <is>
          <t>M</t>
        </is>
      </c>
      <c r="F28" s="7" t="n">
        <v>0.5</v>
      </c>
      <c r="G28" s="7" t="inlineStr">
        <is>
          <t>WI-003</t>
        </is>
      </c>
      <c r="H28" s="7" t="inlineStr">
        <is>
          <t>AI làm</t>
        </is>
      </c>
      <c r="I28" s="7" t="inlineStr">
        <is>
          <t>CDS-12 tập 3</t>
        </is>
      </c>
      <c r="J28" s="7" t="inlineStr">
        <is>
          <t>project.list</t>
        </is>
      </c>
      <c r="K28" s="7" t="inlineStr">
        <is>
          <t>Chưa</t>
        </is>
      </c>
    </row>
    <row r="29">
      <c r="A29" s="4" t="inlineStr">
        <is>
          <t>WI-028</t>
        </is>
      </c>
      <c r="B29" s="4" t="inlineStr">
        <is>
          <t>Năng lực</t>
        </is>
      </c>
      <c r="C29" s="4" t="inlineStr">
        <is>
          <t>PROJECT-04 project.clone — Nhân bản dự án thành dự án mới (giữ tri thức, bỏ ledger)</t>
        </is>
      </c>
      <c r="D29" s="4" t="inlineStr">
        <is>
          <t>M2</t>
        </is>
      </c>
      <c r="E29" s="4" t="inlineStr">
        <is>
          <t>M</t>
        </is>
      </c>
      <c r="F29" s="4" t="n">
        <v>1</v>
      </c>
      <c r="G29" s="4" t="inlineStr">
        <is>
          <t>WI-003</t>
        </is>
      </c>
      <c r="H29" s="4" t="inlineStr">
        <is>
          <t>AI làm</t>
        </is>
      </c>
      <c r="I29" s="4" t="inlineStr">
        <is>
          <t>CDS-12 tập 3</t>
        </is>
      </c>
      <c r="J29" s="4" t="inlineStr">
        <is>
          <t>project.clone</t>
        </is>
      </c>
      <c r="K29" s="4" t="inlineStr">
        <is>
          <t>Chưa</t>
        </is>
      </c>
    </row>
    <row r="30">
      <c r="A30" s="7" t="inlineStr">
        <is>
          <t>WI-029</t>
        </is>
      </c>
      <c r="B30" s="7" t="inlineStr">
        <is>
          <t>Năng lực</t>
        </is>
      </c>
      <c r="C30" s="7" t="inlineStr">
        <is>
          <t>PROJECT-05 project.archive — Lưu trữ/đóng dự án (không xóa)</t>
        </is>
      </c>
      <c r="D30" s="7" t="inlineStr">
        <is>
          <t>M2</t>
        </is>
      </c>
      <c r="E30" s="7" t="inlineStr">
        <is>
          <t>M</t>
        </is>
      </c>
      <c r="F30" s="7" t="n">
        <v>1</v>
      </c>
      <c r="G30" s="7" t="inlineStr">
        <is>
          <t>WI-003</t>
        </is>
      </c>
      <c r="H30" s="7" t="inlineStr">
        <is>
          <t>AI làm</t>
        </is>
      </c>
      <c r="I30" s="7" t="inlineStr">
        <is>
          <t>CDS-12 tập 3</t>
        </is>
      </c>
      <c r="J30" s="7" t="inlineStr">
        <is>
          <t>project.archive</t>
        </is>
      </c>
      <c r="K30" s="7" t="inlineStr">
        <is>
          <t>Chưa</t>
        </is>
      </c>
    </row>
    <row r="31">
      <c r="A31" s="4" t="inlineStr">
        <is>
          <t>WI-030</t>
        </is>
      </c>
      <c r="B31" s="4" t="inlineStr">
        <is>
          <t>Năng lực</t>
        </is>
      </c>
      <c r="C31" s="4" t="inlineStr">
        <is>
          <t>PROJECT-06 project.set_target — Đặt/suy ra ISA, chip, board; ghim phiên bản hộ chiếu</t>
        </is>
      </c>
      <c r="D31" s="4" t="inlineStr">
        <is>
          <t>M0</t>
        </is>
      </c>
      <c r="E31" s="4" t="inlineStr">
        <is>
          <t>M</t>
        </is>
      </c>
      <c r="F31" s="4" t="n">
        <v>1</v>
      </c>
      <c r="G31" s="4" t="inlineStr">
        <is>
          <t>WI-003</t>
        </is>
      </c>
      <c r="H31" s="4" t="inlineStr">
        <is>
          <t>AI làm</t>
        </is>
      </c>
      <c r="I31" s="4" t="inlineStr">
        <is>
          <t>CDS-12 tập 3</t>
        </is>
      </c>
      <c r="J31" s="4" t="inlineStr">
        <is>
          <t>project.set_target</t>
        </is>
      </c>
      <c r="K31" s="4" t="inlineStr">
        <is>
          <t>Chưa</t>
        </is>
      </c>
    </row>
    <row r="32">
      <c r="A32" s="7" t="inlineStr">
        <is>
          <t>WI-031</t>
        </is>
      </c>
      <c r="B32" s="7" t="inlineStr">
        <is>
          <t>Năng lực</t>
        </is>
      </c>
      <c r="C32" s="7" t="inlineStr">
        <is>
          <t>PROJECT-07 project.rollback — Về known-good gần nhất hoặc tag chỉ định</t>
        </is>
      </c>
      <c r="D32" s="7" t="inlineStr">
        <is>
          <t>M2</t>
        </is>
      </c>
      <c r="E32" s="7" t="inlineStr">
        <is>
          <t>M</t>
        </is>
      </c>
      <c r="F32" s="7" t="n">
        <v>1</v>
      </c>
      <c r="G32" s="7" t="inlineStr">
        <is>
          <t>WI-003</t>
        </is>
      </c>
      <c r="H32" s="7" t="inlineStr">
        <is>
          <t>AI làm</t>
        </is>
      </c>
      <c r="I32" s="7" t="inlineStr">
        <is>
          <t>CDS-12 tập 3</t>
        </is>
      </c>
      <c r="J32" s="7" t="inlineStr">
        <is>
          <t>project.rollback</t>
        </is>
      </c>
      <c r="K32" s="7" t="inlineStr">
        <is>
          <t>Chưa</t>
        </is>
      </c>
    </row>
    <row r="33">
      <c r="A33" s="4" t="inlineStr">
        <is>
          <t>WI-032</t>
        </is>
      </c>
      <c r="B33" s="4" t="inlineStr">
        <is>
          <t>Năng lực</t>
        </is>
      </c>
      <c r="C33" s="4" t="inlineStr">
        <is>
          <t>PROJECT-08 project.status — Tổng hợp tiến độ, feature, gate mở, chi phí</t>
        </is>
      </c>
      <c r="D33" s="4" t="inlineStr">
        <is>
          <t>M1</t>
        </is>
      </c>
      <c r="E33" s="4" t="inlineStr">
        <is>
          <t>M</t>
        </is>
      </c>
      <c r="F33" s="4" t="n">
        <v>0.5</v>
      </c>
      <c r="G33" s="4" t="inlineStr">
        <is>
          <t>WI-003</t>
        </is>
      </c>
      <c r="H33" s="4" t="inlineStr">
        <is>
          <t>AI làm</t>
        </is>
      </c>
      <c r="I33" s="4" t="inlineStr">
        <is>
          <t>CDS-12 tập 3</t>
        </is>
      </c>
      <c r="J33" s="4" t="inlineStr">
        <is>
          <t>project.status</t>
        </is>
      </c>
      <c r="K33" s="4" t="inlineStr">
        <is>
          <t>Chưa</t>
        </is>
      </c>
    </row>
    <row r="34">
      <c r="A34" s="7" t="inlineStr">
        <is>
          <t>WI-033</t>
        </is>
      </c>
      <c r="B34" s="7" t="inlineStr">
        <is>
          <t>Năng lực</t>
        </is>
      </c>
      <c r="C34" s="7" t="inlineStr">
        <is>
          <t>PROJECT-09 project.preferences — Ghi/đọc tùy chọn đã học từ câu trả lời của kỹ sư</t>
        </is>
      </c>
      <c r="D34" s="7" t="inlineStr">
        <is>
          <t>M1</t>
        </is>
      </c>
      <c r="E34" s="7" t="inlineStr">
        <is>
          <t>M</t>
        </is>
      </c>
      <c r="F34" s="7" t="n">
        <v>0.75</v>
      </c>
      <c r="G34" s="7" t="inlineStr">
        <is>
          <t>WI-003</t>
        </is>
      </c>
      <c r="H34" s="7" t="inlineStr">
        <is>
          <t>AI làm</t>
        </is>
      </c>
      <c r="I34" s="7" t="inlineStr">
        <is>
          <t>CDS-12 tập 3</t>
        </is>
      </c>
      <c r="J34" s="7" t="inlineStr">
        <is>
          <t>project.preferences</t>
        </is>
      </c>
      <c r="K34" s="7" t="inlineStr">
        <is>
          <t>Chưa</t>
        </is>
      </c>
    </row>
    <row r="35">
      <c r="A35" s="4" t="inlineStr">
        <is>
          <t>WI-034</t>
        </is>
      </c>
      <c r="B35" s="4" t="inlineStr">
        <is>
          <t>Năng lực</t>
        </is>
      </c>
      <c r="C35" s="4" t="inlineStr">
        <is>
          <t>MEMORY-01 memory.compose — Ghép ngữ cảnh 7 lớp K1–K7 theo vai trò và tác vụ; kiểm ngân sách token</t>
        </is>
      </c>
      <c r="D35" s="4" t="inlineStr">
        <is>
          <t>M1</t>
        </is>
      </c>
      <c r="E35" s="4" t="inlineStr">
        <is>
          <t>M</t>
        </is>
      </c>
      <c r="F35" s="4" t="n">
        <v>0.5</v>
      </c>
      <c r="G35" s="4" t="inlineStr">
        <is>
          <t>WI-003</t>
        </is>
      </c>
      <c r="H35" s="4" t="inlineStr">
        <is>
          <t>AI làm</t>
        </is>
      </c>
      <c r="I35" s="4" t="inlineStr">
        <is>
          <t>CDS-12 tập 6</t>
        </is>
      </c>
      <c r="J35" s="4" t="inlineStr">
        <is>
          <t>memory.compose</t>
        </is>
      </c>
      <c r="K35" s="4" t="inlineStr">
        <is>
          <t>Chưa</t>
        </is>
      </c>
    </row>
    <row r="36">
      <c r="A36" s="7" t="inlineStr">
        <is>
          <t>WI-035</t>
        </is>
      </c>
      <c r="B36" s="7" t="inlineStr">
        <is>
          <t>Năng lực</t>
        </is>
      </c>
      <c r="C36" s="7" t="inlineStr">
        <is>
          <t>MEMORY-02 memory.compress — Nén ngữ cảnh: tóm tắt lịch sử, lọc log theo mẫu, rút gọn fact</t>
        </is>
      </c>
      <c r="D36" s="7" t="inlineStr">
        <is>
          <t>M1</t>
        </is>
      </c>
      <c r="E36" s="7" t="inlineStr">
        <is>
          <t>M</t>
        </is>
      </c>
      <c r="F36" s="7" t="n">
        <v>0.5</v>
      </c>
      <c r="G36" s="7" t="inlineStr">
        <is>
          <t>WI-003</t>
        </is>
      </c>
      <c r="H36" s="7" t="inlineStr">
        <is>
          <t>AI làm</t>
        </is>
      </c>
      <c r="I36" s="7" t="inlineStr">
        <is>
          <t>CDS-12 tập 6</t>
        </is>
      </c>
      <c r="J36" s="7" t="inlineStr">
        <is>
          <t>memory.compress</t>
        </is>
      </c>
      <c r="K36" s="7" t="inlineStr">
        <is>
          <t>Chưa</t>
        </is>
      </c>
    </row>
    <row r="37">
      <c r="A37" s="4" t="inlineStr">
        <is>
          <t>WI-036</t>
        </is>
      </c>
      <c r="B37" s="4" t="inlineStr">
        <is>
          <t>Năng lực</t>
        </is>
      </c>
      <c r="C37" s="4" t="inlineStr">
        <is>
          <t>MEMORY-03 memory.retrieve — Truy hồi Graph-RAG: lan tỏa 2 bước từ subject rồi lấy văn bản</t>
        </is>
      </c>
      <c r="D37" s="4" t="inlineStr">
        <is>
          <t>M2</t>
        </is>
      </c>
      <c r="E37" s="4" t="inlineStr">
        <is>
          <t>M</t>
        </is>
      </c>
      <c r="F37" s="4" t="n">
        <v>0.5</v>
      </c>
      <c r="G37" s="4" t="inlineStr">
        <is>
          <t>WI-003</t>
        </is>
      </c>
      <c r="H37" s="4" t="inlineStr">
        <is>
          <t>AI làm</t>
        </is>
      </c>
      <c r="I37" s="4" t="inlineStr">
        <is>
          <t>CDS-12 tập 6</t>
        </is>
      </c>
      <c r="J37" s="4" t="inlineStr">
        <is>
          <t>memory.retrieve</t>
        </is>
      </c>
      <c r="K37" s="4" t="inlineStr">
        <is>
          <t>Chưa</t>
        </is>
      </c>
    </row>
    <row r="38">
      <c r="A38" s="7" t="inlineStr">
        <is>
          <t>WI-037</t>
        </is>
      </c>
      <c r="B38" s="7" t="inlineStr">
        <is>
          <t>Năng lực</t>
        </is>
      </c>
      <c r="C38" s="7" t="inlineStr">
        <is>
          <t>MEMORY-04 memory.progress — Ghi/đọc PROGRESS.md, FEATURES.json (harness dài hạn)</t>
        </is>
      </c>
      <c r="D38" s="7" t="inlineStr">
        <is>
          <t>M1</t>
        </is>
      </c>
      <c r="E38" s="7" t="inlineStr">
        <is>
          <t>M</t>
        </is>
      </c>
      <c r="F38" s="7" t="n">
        <v>0.75</v>
      </c>
      <c r="G38" s="7" t="inlineStr">
        <is>
          <t>WI-003</t>
        </is>
      </c>
      <c r="H38" s="7" t="inlineStr">
        <is>
          <t>AI làm</t>
        </is>
      </c>
      <c r="I38" s="7" t="inlineStr">
        <is>
          <t>CDS-12 tập 6</t>
        </is>
      </c>
      <c r="J38" s="7" t="inlineStr">
        <is>
          <t>memory.progress</t>
        </is>
      </c>
      <c r="K38" s="7" t="inlineStr">
        <is>
          <t>Chưa</t>
        </is>
      </c>
    </row>
    <row r="39">
      <c r="A39" s="4" t="inlineStr">
        <is>
          <t>WI-038</t>
        </is>
      </c>
      <c r="B39" s="4" t="inlineStr">
        <is>
          <t>Năng lực</t>
        </is>
      </c>
      <c r="C39" s="4" t="inlineStr">
        <is>
          <t>MEMORY-06 memory.error_ledger — Sổ lỗi: ghi lỗi ảo giác/từ chối; đưa vào prompt phủ định</t>
        </is>
      </c>
      <c r="D39" s="4" t="inlineStr">
        <is>
          <t>M2</t>
        </is>
      </c>
      <c r="E39" s="4" t="inlineStr">
        <is>
          <t>M</t>
        </is>
      </c>
      <c r="F39" s="4" t="n">
        <v>0.75</v>
      </c>
      <c r="G39" s="4" t="inlineStr">
        <is>
          <t>WI-003</t>
        </is>
      </c>
      <c r="H39" s="4" t="inlineStr">
        <is>
          <t>AI làm</t>
        </is>
      </c>
      <c r="I39" s="4" t="inlineStr">
        <is>
          <t>CDS-12 tập 6</t>
        </is>
      </c>
      <c r="J39" s="4" t="inlineStr">
        <is>
          <t>memory.error_ledger</t>
        </is>
      </c>
      <c r="K39" s="4" t="inlineStr">
        <is>
          <t>Chưa</t>
        </is>
      </c>
    </row>
    <row r="40">
      <c r="A40" s="7" t="inlineStr">
        <is>
          <t>WI-039</t>
        </is>
      </c>
      <c r="B40" s="7" t="inlineStr">
        <is>
          <t>Năng lực</t>
        </is>
      </c>
      <c r="C40" s="7" t="inlineStr">
        <is>
          <t>MEMORY-07 memory.forget — Xóa mềm/hết hạn ngữ cảnh tạm, cache; không xóa fact</t>
        </is>
      </c>
      <c r="D40" s="7" t="inlineStr">
        <is>
          <t>M2</t>
        </is>
      </c>
      <c r="E40" s="7" t="inlineStr">
        <is>
          <t>M</t>
        </is>
      </c>
      <c r="F40" s="7" t="n">
        <v>0.75</v>
      </c>
      <c r="G40" s="7" t="inlineStr">
        <is>
          <t>WI-003</t>
        </is>
      </c>
      <c r="H40" s="7" t="inlineStr">
        <is>
          <t>AI làm</t>
        </is>
      </c>
      <c r="I40" s="7" t="inlineStr">
        <is>
          <t>CDS-12 tập 6</t>
        </is>
      </c>
      <c r="J40" s="7" t="inlineStr">
        <is>
          <t>memory.forget</t>
        </is>
      </c>
      <c r="K40" s="7" t="inlineStr">
        <is>
          <t>Chưa</t>
        </is>
      </c>
    </row>
    <row r="41">
      <c r="A41" s="4" t="inlineStr">
        <is>
          <t>WI-040</t>
        </is>
      </c>
      <c r="B41" s="4" t="inlineStr">
        <is>
          <t>Năng lực</t>
        </is>
      </c>
      <c r="C41" s="4" t="inlineStr">
        <is>
          <t>MEMORY-08 memory.summarize_session — Tóm tắt phiên: đã làm gì, chờ gì, bước tiếp</t>
        </is>
      </c>
      <c r="D41" s="4" t="inlineStr">
        <is>
          <t>M1</t>
        </is>
      </c>
      <c r="E41" s="4" t="inlineStr">
        <is>
          <t>M</t>
        </is>
      </c>
      <c r="F41" s="4" t="n">
        <v>0.5</v>
      </c>
      <c r="G41" s="4" t="inlineStr">
        <is>
          <t>WI-003</t>
        </is>
      </c>
      <c r="H41" s="4" t="inlineStr">
        <is>
          <t>AI làm</t>
        </is>
      </c>
      <c r="I41" s="4" t="inlineStr">
        <is>
          <t>CDS-12 tập 6</t>
        </is>
      </c>
      <c r="J41" s="4" t="inlineStr">
        <is>
          <t>memory.summarize_session</t>
        </is>
      </c>
      <c r="K41" s="4" t="inlineStr">
        <is>
          <t>Chưa</t>
        </is>
      </c>
    </row>
    <row r="42">
      <c r="A42" s="7" t="inlineStr">
        <is>
          <t>WI-041</t>
        </is>
      </c>
      <c r="B42" s="7" t="inlineStr">
        <is>
          <t>Năng lực</t>
        </is>
      </c>
      <c r="C42" s="7" t="inlineStr">
        <is>
          <t>ARCHIVE-03 archive.extract_one — Lấy một tệp bên trong theo đường dẫn/mẫu</t>
        </is>
      </c>
      <c r="D42" s="7" t="inlineStr">
        <is>
          <t>M1</t>
        </is>
      </c>
      <c r="E42" s="7" t="inlineStr">
        <is>
          <t>M</t>
        </is>
      </c>
      <c r="F42" s="7" t="n">
        <v>0.5</v>
      </c>
      <c r="G42" s="7" t="inlineStr">
        <is>
          <t>WI-003</t>
        </is>
      </c>
      <c r="H42" s="7" t="inlineStr">
        <is>
          <t>AI làm</t>
        </is>
      </c>
      <c r="I42" s="7" t="inlineStr">
        <is>
          <t>CDS-12 tập 2</t>
        </is>
      </c>
      <c r="J42" s="7" t="inlineStr">
        <is>
          <t>archive.extract_one</t>
        </is>
      </c>
      <c r="K42" s="7" t="inlineStr">
        <is>
          <t>Chưa</t>
        </is>
      </c>
    </row>
    <row r="43">
      <c r="A43" s="4" t="inlineStr">
        <is>
          <t>WI-042</t>
        </is>
      </c>
      <c r="B43" s="4" t="inlineStr">
        <is>
          <t>Năng lực</t>
        </is>
      </c>
      <c r="C43" s="4" t="inlineStr">
        <is>
          <t>ARCHIVE-04 archive.query — Tìm bên trong kho nén theo tên/kiểu/nội dung (grep, chữ ký)</t>
        </is>
      </c>
      <c r="D43" s="4" t="inlineStr">
        <is>
          <t>M1</t>
        </is>
      </c>
      <c r="E43" s="4" t="inlineStr">
        <is>
          <t>M</t>
        </is>
      </c>
      <c r="F43" s="4" t="n">
        <v>0.5</v>
      </c>
      <c r="G43" s="4" t="inlineStr">
        <is>
          <t>WI-003</t>
        </is>
      </c>
      <c r="H43" s="4" t="inlineStr">
        <is>
          <t>AI làm</t>
        </is>
      </c>
      <c r="I43" s="4" t="inlineStr">
        <is>
          <t>CDS-12 tập 2</t>
        </is>
      </c>
      <c r="J43" s="4" t="inlineStr">
        <is>
          <t>archive.query</t>
        </is>
      </c>
      <c r="K43" s="4" t="inlineStr">
        <is>
          <t>Chưa</t>
        </is>
      </c>
    </row>
    <row r="44">
      <c r="A44" s="7" t="inlineStr">
        <is>
          <t>WI-043</t>
        </is>
      </c>
      <c r="B44" s="7" t="inlineStr">
        <is>
          <t>Năng lực</t>
        </is>
      </c>
      <c r="C44" s="7" t="inlineStr">
        <is>
          <t>ARCHIVE-07 ingest.index_text — Lập chỉ mục văn bản (BM25) cho tài liệu ngữ cảnh không sinh fact</t>
        </is>
      </c>
      <c r="D44" s="7" t="inlineStr">
        <is>
          <t>M1</t>
        </is>
      </c>
      <c r="E44" s="7" t="inlineStr">
        <is>
          <t>M</t>
        </is>
      </c>
      <c r="F44" s="7" t="n">
        <v>0.75</v>
      </c>
      <c r="G44" s="7" t="inlineStr">
        <is>
          <t>WI-003</t>
        </is>
      </c>
      <c r="H44" s="7" t="inlineStr">
        <is>
          <t>AI làm</t>
        </is>
      </c>
      <c r="I44" s="7" t="inlineStr">
        <is>
          <t>CDS-12 tập 2</t>
        </is>
      </c>
      <c r="J44" s="7" t="inlineStr">
        <is>
          <t>ingest.index_text</t>
        </is>
      </c>
      <c r="K44" s="7" t="inlineStr">
        <is>
          <t>Chưa</t>
        </is>
      </c>
    </row>
    <row r="45">
      <c r="A45" s="4" t="inlineStr">
        <is>
          <t>WI-044</t>
        </is>
      </c>
      <c r="B45" s="4" t="inlineStr">
        <is>
          <t>Năng lực</t>
        </is>
      </c>
      <c r="C45" s="4" t="inlineStr">
        <is>
          <t>SEARCH-01 search.registry — Tìm gói/hộ chiếu/mẫu tham chiếu trong registry</t>
        </is>
      </c>
      <c r="D45" s="4" t="inlineStr">
        <is>
          <t>M4</t>
        </is>
      </c>
      <c r="E45" s="4" t="inlineStr">
        <is>
          <t>S</t>
        </is>
      </c>
      <c r="F45" s="4" t="n">
        <v>0.5</v>
      </c>
      <c r="G45" s="4" t="inlineStr">
        <is>
          <t>WI-003</t>
        </is>
      </c>
      <c r="H45" s="4" t="inlineStr">
        <is>
          <t>AI làm</t>
        </is>
      </c>
      <c r="I45" s="4" t="inlineStr">
        <is>
          <t>CDS-12 tập 2</t>
        </is>
      </c>
      <c r="J45" s="4" t="inlineStr">
        <is>
          <t>search.registry</t>
        </is>
      </c>
      <c r="K45" s="4" t="inlineStr">
        <is>
          <t>Chưa</t>
        </is>
      </c>
    </row>
    <row r="46">
      <c r="A46" s="7" t="inlineStr">
        <is>
          <t>WI-045</t>
        </is>
      </c>
      <c r="B46" s="7" t="inlineStr">
        <is>
          <t>Năng lực</t>
        </is>
      </c>
      <c r="C46" s="7" t="inlineStr">
        <is>
          <t>SEARCH-02 search.vendor — Tìm trong kho hãng theo mẫu URL đã biết (CMSIS pack, Microchip pack, S</t>
        </is>
      </c>
      <c r="D46" s="7" t="inlineStr">
        <is>
          <t>M1</t>
        </is>
      </c>
      <c r="E46" s="7" t="inlineStr">
        <is>
          <t>M</t>
        </is>
      </c>
      <c r="F46" s="7" t="n">
        <v>0.5</v>
      </c>
      <c r="G46" s="7" t="inlineStr">
        <is>
          <t>WI-003</t>
        </is>
      </c>
      <c r="H46" s="7" t="inlineStr">
        <is>
          <t>AI làm</t>
        </is>
      </c>
      <c r="I46" s="7" t="inlineStr">
        <is>
          <t>CDS-12 tập 2</t>
        </is>
      </c>
      <c r="J46" s="7" t="inlineStr">
        <is>
          <t>search.vendor</t>
        </is>
      </c>
      <c r="K46" s="7" t="inlineStr">
        <is>
          <t>Chưa</t>
        </is>
      </c>
    </row>
    <row r="47">
      <c r="A47" s="4" t="inlineStr">
        <is>
          <t>WI-046</t>
        </is>
      </c>
      <c r="B47" s="4" t="inlineStr">
        <is>
          <t>Năng lực</t>
        </is>
      </c>
      <c r="C47" s="4" t="inlineStr">
        <is>
          <t>SEARCH-03 search.docs_mcp — Hỏi docs MCP của hãng (Espressif, Nordic) → đoạn trích + URL + ngày</t>
        </is>
      </c>
      <c r="D47" s="4" t="inlineStr">
        <is>
          <t>M2</t>
        </is>
      </c>
      <c r="E47" s="4" t="inlineStr">
        <is>
          <t>M</t>
        </is>
      </c>
      <c r="F47" s="4" t="n">
        <v>0.5</v>
      </c>
      <c r="G47" s="4" t="inlineStr">
        <is>
          <t>WI-003</t>
        </is>
      </c>
      <c r="H47" s="4" t="inlineStr">
        <is>
          <t>AI làm</t>
        </is>
      </c>
      <c r="I47" s="4" t="inlineStr">
        <is>
          <t>CDS-12 tập 2</t>
        </is>
      </c>
      <c r="J47" s="4" t="inlineStr">
        <is>
          <t>search.docs_mcp</t>
        </is>
      </c>
      <c r="K47" s="4" t="inlineStr">
        <is>
          <t>Chưa</t>
        </is>
      </c>
    </row>
    <row r="48">
      <c r="A48" s="7" t="inlineStr">
        <is>
          <t>WI-047</t>
        </is>
      </c>
      <c r="B48" s="7" t="inlineStr">
        <is>
          <t>Năng lực</t>
        </is>
      </c>
      <c r="C48" s="7" t="inlineStr">
        <is>
          <t>SEARCH-04 search.web — Tìm web nhiều nguồn (datasheet, SVD, repo, errata, forum); ưu tiên tên</t>
        </is>
      </c>
      <c r="D48" s="7" t="inlineStr">
        <is>
          <t>M1</t>
        </is>
      </c>
      <c r="E48" s="7" t="inlineStr">
        <is>
          <t>M</t>
        </is>
      </c>
      <c r="F48" s="7" t="n">
        <v>0.5</v>
      </c>
      <c r="G48" s="7" t="inlineStr">
        <is>
          <t>WI-003</t>
        </is>
      </c>
      <c r="H48" s="7" t="inlineStr">
        <is>
          <t>AI làm</t>
        </is>
      </c>
      <c r="I48" s="7" t="inlineStr">
        <is>
          <t>CDS-12 tập 2</t>
        </is>
      </c>
      <c r="J48" s="7" t="inlineStr">
        <is>
          <t>search.web</t>
        </is>
      </c>
      <c r="K48" s="7" t="inlineStr">
        <is>
          <t>Chưa</t>
        </is>
      </c>
    </row>
    <row r="49">
      <c r="A49" s="4" t="inlineStr">
        <is>
          <t>WI-048</t>
        </is>
      </c>
      <c r="B49" s="4" t="inlineStr">
        <is>
          <t>Năng lực</t>
        </is>
      </c>
      <c r="C49" s="4" t="inlineStr">
        <is>
          <t>SEARCH-05 search.rank — Xếp hạng ứng viên theo tầng dự kiến, tên miền, hash/license, khớp mã l</t>
        </is>
      </c>
      <c r="D49" s="4" t="inlineStr">
        <is>
          <t>M1</t>
        </is>
      </c>
      <c r="E49" s="4" t="inlineStr">
        <is>
          <t>M</t>
        </is>
      </c>
      <c r="F49" s="4" t="n">
        <v>0.5</v>
      </c>
      <c r="G49" s="4" t="inlineStr">
        <is>
          <t>WI-003</t>
        </is>
      </c>
      <c r="H49" s="4" t="inlineStr">
        <is>
          <t>AI làm</t>
        </is>
      </c>
      <c r="I49" s="4" t="inlineStr">
        <is>
          <t>CDS-12 tập 2</t>
        </is>
      </c>
      <c r="J49" s="4" t="inlineStr">
        <is>
          <t>search.rank</t>
        </is>
      </c>
      <c r="K49" s="4" t="inlineStr">
        <is>
          <t>Chưa</t>
        </is>
      </c>
    </row>
    <row r="50">
      <c r="A50" s="7" t="inlineStr">
        <is>
          <t>WI-049</t>
        </is>
      </c>
      <c r="B50" s="7" t="inlineStr">
        <is>
          <t>Năng lực</t>
        </is>
      </c>
      <c r="C50" s="7" t="inlineStr">
        <is>
          <t>SEARCH-06 search.fetch — Tải ứng viên (giới hạn dung lượng), hash, phát hiện license</t>
        </is>
      </c>
      <c r="D50" s="7" t="inlineStr">
        <is>
          <t>M1</t>
        </is>
      </c>
      <c r="E50" s="7" t="inlineStr">
        <is>
          <t>M</t>
        </is>
      </c>
      <c r="F50" s="7" t="n">
        <v>0.75</v>
      </c>
      <c r="G50" s="7" t="inlineStr">
        <is>
          <t>WI-003</t>
        </is>
      </c>
      <c r="H50" s="7" t="inlineStr">
        <is>
          <t>AI làm</t>
        </is>
      </c>
      <c r="I50" s="7" t="inlineStr">
        <is>
          <t>CDS-12 tập 2</t>
        </is>
      </c>
      <c r="J50" s="7" t="inlineStr">
        <is>
          <t>search.fetch</t>
        </is>
      </c>
      <c r="K50" s="7" t="inlineStr">
        <is>
          <t>Chưa</t>
        </is>
      </c>
    </row>
    <row r="51">
      <c r="A51" s="4" t="inlineStr">
        <is>
          <t>WI-050</t>
        </is>
      </c>
      <c r="B51" s="4" t="inlineStr">
        <is>
          <t>Năng lực</t>
        </is>
      </c>
      <c r="C51" s="4" t="inlineStr">
        <is>
          <t>SEARCH-07 search.verify_match — Tóm tắt tài liệu vừa tải và kiểm có đúng linh kiện/phiên bản không</t>
        </is>
      </c>
      <c r="D51" s="4" t="inlineStr">
        <is>
          <t>M1</t>
        </is>
      </c>
      <c r="E51" s="4" t="inlineStr">
        <is>
          <t>M</t>
        </is>
      </c>
      <c r="F51" s="4" t="n">
        <v>0.5</v>
      </c>
      <c r="G51" s="4" t="inlineStr">
        <is>
          <t>WI-003</t>
        </is>
      </c>
      <c r="H51" s="4" t="inlineStr">
        <is>
          <t>AI làm</t>
        </is>
      </c>
      <c r="I51" s="4" t="inlineStr">
        <is>
          <t>CDS-12 tập 2</t>
        </is>
      </c>
      <c r="J51" s="4" t="inlineStr">
        <is>
          <t>search.verify_match</t>
        </is>
      </c>
      <c r="K51" s="4" t="inlineStr">
        <is>
          <t>Chưa</t>
        </is>
      </c>
    </row>
    <row r="52">
      <c r="A52" s="7" t="inlineStr">
        <is>
          <t>WI-051</t>
        </is>
      </c>
      <c r="B52" s="7" t="inlineStr">
        <is>
          <t>Năng lực</t>
        </is>
      </c>
      <c r="C52" s="7" t="inlineStr">
        <is>
          <t>SEARCH-08 search.missing — Từ tác vụ, liệt kê tri thức còn thiếu và tạo yêu cầu (sufficiency chec</t>
        </is>
      </c>
      <c r="D52" s="7" t="inlineStr">
        <is>
          <t>M1</t>
        </is>
      </c>
      <c r="E52" s="7" t="inlineStr">
        <is>
          <t>M</t>
        </is>
      </c>
      <c r="F52" s="7" t="n">
        <v>0.75</v>
      </c>
      <c r="G52" s="7" t="inlineStr">
        <is>
          <t>WI-003</t>
        </is>
      </c>
      <c r="H52" s="7" t="inlineStr">
        <is>
          <t>AI làm</t>
        </is>
      </c>
      <c r="I52" s="7" t="inlineStr">
        <is>
          <t>CDS-12 tập 2</t>
        </is>
      </c>
      <c r="J52" s="7" t="inlineStr">
        <is>
          <t>search.missing</t>
        </is>
      </c>
      <c r="K52" s="7" t="inlineStr">
        <is>
          <t>Chưa</t>
        </is>
      </c>
    </row>
    <row r="53">
      <c r="A53" s="4" t="inlineStr">
        <is>
          <t>WI-052</t>
        </is>
      </c>
      <c r="B53" s="4" t="inlineStr">
        <is>
          <t>Năng lực</t>
        </is>
      </c>
      <c r="C53" s="4" t="inlineStr">
        <is>
          <t>SEARCH-09 search.reference_projects — Tìm mẫu dự án tham chiếu cho một ý tưởng (robot cân bằng…) trong regis</t>
        </is>
      </c>
      <c r="D53" s="4" t="inlineStr">
        <is>
          <t>M4</t>
        </is>
      </c>
      <c r="E53" s="4" t="inlineStr">
        <is>
          <t>S</t>
        </is>
      </c>
      <c r="F53" s="4" t="n">
        <v>0.5</v>
      </c>
      <c r="G53" s="4" t="inlineStr">
        <is>
          <t>WI-003</t>
        </is>
      </c>
      <c r="H53" s="4" t="inlineStr">
        <is>
          <t>AI làm</t>
        </is>
      </c>
      <c r="I53" s="4" t="inlineStr">
        <is>
          <t>CDS-12 tập 2</t>
        </is>
      </c>
      <c r="J53" s="4" t="inlineStr">
        <is>
          <t>search.reference_projects</t>
        </is>
      </c>
      <c r="K53" s="4" t="inlineStr">
        <is>
          <t>Chưa</t>
        </is>
      </c>
    </row>
    <row r="54">
      <c r="A54" s="7" t="inlineStr">
        <is>
          <t>WI-053</t>
        </is>
      </c>
      <c r="B54" s="7" t="inlineStr">
        <is>
          <t>Năng lực</t>
        </is>
      </c>
      <c r="C54" s="7" t="inlineStr">
        <is>
          <t>EXTRACT-03 extract.edc — EDC/.PIC → hộ chiếu</t>
        </is>
      </c>
      <c r="D54" s="7" t="inlineStr">
        <is>
          <t>M1</t>
        </is>
      </c>
      <c r="E54" s="7" t="inlineStr">
        <is>
          <t>M</t>
        </is>
      </c>
      <c r="F54" s="7" t="n">
        <v>1.125</v>
      </c>
      <c r="G54" s="7" t="inlineStr">
        <is>
          <t>WI-003</t>
        </is>
      </c>
      <c r="H54" s="7" t="inlineStr">
        <is>
          <t>AI làm</t>
        </is>
      </c>
      <c r="I54" s="7" t="inlineStr">
        <is>
          <t>CDS-12 tập 2</t>
        </is>
      </c>
      <c r="J54" s="7" t="inlineStr">
        <is>
          <t>extract.edc</t>
        </is>
      </c>
      <c r="K54" s="7" t="inlineStr">
        <is>
          <t>Chưa</t>
        </is>
      </c>
    </row>
    <row r="55">
      <c r="A55" s="4" t="inlineStr">
        <is>
          <t>WI-054</t>
        </is>
      </c>
      <c r="B55" s="4" t="inlineStr">
        <is>
          <t>Năng lực</t>
        </is>
      </c>
      <c r="C55" s="4" t="inlineStr">
        <is>
          <t>EXTRACT-04 extract.header_c — Header C chính hãng → địa chỉ/bit (đối chiếu SVD)</t>
        </is>
      </c>
      <c r="D55" s="4" t="inlineStr">
        <is>
          <t>M1</t>
        </is>
      </c>
      <c r="E55" s="4" t="inlineStr">
        <is>
          <t>M</t>
        </is>
      </c>
      <c r="F55" s="4" t="n">
        <v>1.125</v>
      </c>
      <c r="G55" s="4" t="inlineStr">
        <is>
          <t>WI-003</t>
        </is>
      </c>
      <c r="H55" s="4" t="inlineStr">
        <is>
          <t>AI làm</t>
        </is>
      </c>
      <c r="I55" s="4" t="inlineStr">
        <is>
          <t>CDS-12 tập 2</t>
        </is>
      </c>
      <c r="J55" s="4" t="inlineStr">
        <is>
          <t>extract.header_c</t>
        </is>
      </c>
      <c r="K55" s="4" t="inlineStr">
        <is>
          <t>Chưa</t>
        </is>
      </c>
    </row>
    <row r="56">
      <c r="A56" s="7" t="inlineStr">
        <is>
          <t>WI-055</t>
        </is>
      </c>
      <c r="B56" s="7" t="inlineStr">
        <is>
          <t>Năng lực</t>
        </is>
      </c>
      <c r="C56" s="7" t="inlineStr">
        <is>
          <t>EXTRACT-05 extract.dt_binding — Devicetree binding YAML → thuộc tính bắt buộc</t>
        </is>
      </c>
      <c r="D56" s="7" t="inlineStr">
        <is>
          <t>M2</t>
        </is>
      </c>
      <c r="E56" s="7" t="inlineStr">
        <is>
          <t>M</t>
        </is>
      </c>
      <c r="F56" s="7" t="n">
        <v>1.125</v>
      </c>
      <c r="G56" s="7" t="inlineStr">
        <is>
          <t>WI-003</t>
        </is>
      </c>
      <c r="H56" s="7" t="inlineStr">
        <is>
          <t>AI làm</t>
        </is>
      </c>
      <c r="I56" s="7" t="inlineStr">
        <is>
          <t>CDS-12 tập 2</t>
        </is>
      </c>
      <c r="J56" s="7" t="inlineStr">
        <is>
          <t>extract.dt_binding</t>
        </is>
      </c>
      <c r="K56" s="7" t="inlineStr">
        <is>
          <t>Chưa</t>
        </is>
      </c>
    </row>
    <row r="57">
      <c r="A57" s="4" t="inlineStr">
        <is>
          <t>WI-056</t>
        </is>
      </c>
      <c r="B57" s="4" t="inlineStr">
        <is>
          <t>Năng lực</t>
        </is>
      </c>
      <c r="C57" s="4" t="inlineStr">
        <is>
          <t>EXTRACT-06 extract.pdf_layout — Bố cục PDF: chương, bảng, hình, bbox (Docling/pdfplumber)</t>
        </is>
      </c>
      <c r="D57" s="4" t="inlineStr">
        <is>
          <t>M1</t>
        </is>
      </c>
      <c r="E57" s="4" t="inlineStr">
        <is>
          <t>M</t>
        </is>
      </c>
      <c r="F57" s="4" t="n">
        <v>1.125</v>
      </c>
      <c r="G57" s="4" t="inlineStr">
        <is>
          <t>WI-003</t>
        </is>
      </c>
      <c r="H57" s="4" t="inlineStr">
        <is>
          <t>AI làm</t>
        </is>
      </c>
      <c r="I57" s="4" t="inlineStr">
        <is>
          <t>CDS-12 tập 2</t>
        </is>
      </c>
      <c r="J57" s="4" t="inlineStr">
        <is>
          <t>extract.pdf_layout</t>
        </is>
      </c>
      <c r="K57" s="4" t="inlineStr">
        <is>
          <t>Chưa</t>
        </is>
      </c>
    </row>
    <row r="58">
      <c r="A58" s="7" t="inlineStr">
        <is>
          <t>WI-057</t>
        </is>
      </c>
      <c r="B58" s="7" t="inlineStr">
        <is>
          <t>Năng lực</t>
        </is>
      </c>
      <c r="C58" s="7" t="inlineStr">
        <is>
          <t>EXTRACT-07 extract.pdf_register_map — Bảng thanh ghi/bit-field từ PDF → fact có trang/bbox</t>
        </is>
      </c>
      <c r="D58" s="7" t="inlineStr">
        <is>
          <t>M1</t>
        </is>
      </c>
      <c r="E58" s="7" t="inlineStr">
        <is>
          <t>M</t>
        </is>
      </c>
      <c r="F58" s="7" t="n">
        <v>1.125</v>
      </c>
      <c r="G58" s="7" t="inlineStr">
        <is>
          <t>WI-003</t>
        </is>
      </c>
      <c r="H58" s="7" t="inlineStr">
        <is>
          <t>AI làm</t>
        </is>
      </c>
      <c r="I58" s="7" t="inlineStr">
        <is>
          <t>CDS-12 tập 2</t>
        </is>
      </c>
      <c r="J58" s="7" t="inlineStr">
        <is>
          <t>extract.pdf_register_map</t>
        </is>
      </c>
      <c r="K58" s="7" t="inlineStr">
        <is>
          <t>Chưa</t>
        </is>
      </c>
    </row>
    <row r="59">
      <c r="A59" s="4" t="inlineStr">
        <is>
          <t>WI-058</t>
        </is>
      </c>
      <c r="B59" s="4" t="inlineStr">
        <is>
          <t>Năng lực</t>
        </is>
      </c>
      <c r="C59" s="4" t="inlineStr">
        <is>
          <t>EXTRACT-08 extract.pdf_electrical — Thông số điện, timing, nhiệt → fact (tầng bạc, luôn cần duyệt)</t>
        </is>
      </c>
      <c r="D59" s="4" t="inlineStr">
        <is>
          <t>M1</t>
        </is>
      </c>
      <c r="E59" s="4" t="inlineStr">
        <is>
          <t>M</t>
        </is>
      </c>
      <c r="F59" s="4" t="n">
        <v>1.125</v>
      </c>
      <c r="G59" s="4" t="inlineStr">
        <is>
          <t>WI-003</t>
        </is>
      </c>
      <c r="H59" s="4" t="inlineStr">
        <is>
          <t>AI làm/người duyệt</t>
        </is>
      </c>
      <c r="I59" s="4" t="inlineStr">
        <is>
          <t>CDS-12 tập 2</t>
        </is>
      </c>
      <c r="J59" s="4" t="inlineStr">
        <is>
          <t>extract.pdf_electrical</t>
        </is>
      </c>
      <c r="K59" s="4" t="inlineStr">
        <is>
          <t>Chưa</t>
        </is>
      </c>
    </row>
    <row r="60">
      <c r="A60" s="7" t="inlineStr">
        <is>
          <t>WI-059</t>
        </is>
      </c>
      <c r="B60" s="7" t="inlineStr">
        <is>
          <t>Năng lực</t>
        </is>
      </c>
      <c r="C60" s="7" t="inlineStr">
        <is>
          <t>EXTRACT-09 extract.pdf_pinout — Pinout/package từ bảng hoặc hình → pin function</t>
        </is>
      </c>
      <c r="D60" s="7" t="inlineStr">
        <is>
          <t>M2</t>
        </is>
      </c>
      <c r="E60" s="7" t="inlineStr">
        <is>
          <t>M</t>
        </is>
      </c>
      <c r="F60" s="7" t="n">
        <v>1.125</v>
      </c>
      <c r="G60" s="7" t="inlineStr">
        <is>
          <t>WI-003</t>
        </is>
      </c>
      <c r="H60" s="7" t="inlineStr">
        <is>
          <t>AI làm</t>
        </is>
      </c>
      <c r="I60" s="7" t="inlineStr">
        <is>
          <t>CDS-12 tập 2</t>
        </is>
      </c>
      <c r="J60" s="7" t="inlineStr">
        <is>
          <t>extract.pdf_pinout</t>
        </is>
      </c>
      <c r="K60" s="7" t="inlineStr">
        <is>
          <t>Chưa</t>
        </is>
      </c>
    </row>
    <row r="61">
      <c r="A61" s="4" t="inlineStr">
        <is>
          <t>WI-060</t>
        </is>
      </c>
      <c r="B61" s="4" t="inlineStr">
        <is>
          <t>Năng lực</t>
        </is>
      </c>
      <c r="C61" s="4" t="inlineStr">
        <is>
          <t>EXTRACT-10 extract.pdf_errata — Errata → overlay K2′ với điều kiện áp dụng</t>
        </is>
      </c>
      <c r="D61" s="4" t="inlineStr">
        <is>
          <t>M2</t>
        </is>
      </c>
      <c r="E61" s="4" t="inlineStr">
        <is>
          <t>M</t>
        </is>
      </c>
      <c r="F61" s="4" t="n">
        <v>1.125</v>
      </c>
      <c r="G61" s="4" t="inlineStr">
        <is>
          <t>WI-003</t>
        </is>
      </c>
      <c r="H61" s="4" t="inlineStr">
        <is>
          <t>AI làm/người duyệt</t>
        </is>
      </c>
      <c r="I61" s="4" t="inlineStr">
        <is>
          <t>CDS-12 tập 2</t>
        </is>
      </c>
      <c r="J61" s="4" t="inlineStr">
        <is>
          <t>extract.pdf_errata</t>
        </is>
      </c>
      <c r="K61" s="4" t="inlineStr">
        <is>
          <t>Chưa</t>
        </is>
      </c>
    </row>
    <row r="62">
      <c r="A62" s="7" t="inlineStr">
        <is>
          <t>WI-061</t>
        </is>
      </c>
      <c r="B62" s="7" t="inlineStr">
        <is>
          <t>Năng lực</t>
        </is>
      </c>
      <c r="C62" s="7" t="inlineStr">
        <is>
          <t>EXTRACT-11 extract.pdf_formula — Công thức/thuật toán (ví dụ bù nhiệt BME280) → skill dự án có trích dẫ</t>
        </is>
      </c>
      <c r="D62" s="7" t="inlineStr">
        <is>
          <t>M2</t>
        </is>
      </c>
      <c r="E62" s="7" t="inlineStr">
        <is>
          <t>M</t>
        </is>
      </c>
      <c r="F62" s="7" t="n">
        <v>1.125</v>
      </c>
      <c r="G62" s="7" t="inlineStr">
        <is>
          <t>WI-003</t>
        </is>
      </c>
      <c r="H62" s="7" t="inlineStr">
        <is>
          <t>AI làm</t>
        </is>
      </c>
      <c r="I62" s="7" t="inlineStr">
        <is>
          <t>CDS-12 tập 2</t>
        </is>
      </c>
      <c r="J62" s="7" t="inlineStr">
        <is>
          <t>extract.pdf_formula</t>
        </is>
      </c>
      <c r="K62" s="7" t="inlineStr">
        <is>
          <t>Chưa</t>
        </is>
      </c>
    </row>
    <row r="63">
      <c r="A63" s="4" t="inlineStr">
        <is>
          <t>WI-062</t>
        </is>
      </c>
      <c r="B63" s="4" t="inlineStr">
        <is>
          <t>Năng lực</t>
        </is>
      </c>
      <c r="C63" s="4" t="inlineStr">
        <is>
          <t>EXTRACT-12 extract.ocr — OCR PDF scan/ảnh chữ; giảm confidence 0,1</t>
        </is>
      </c>
      <c r="D63" s="4" t="inlineStr">
        <is>
          <t>M2</t>
        </is>
      </c>
      <c r="E63" s="4" t="inlineStr">
        <is>
          <t>M</t>
        </is>
      </c>
      <c r="F63" s="4" t="n">
        <v>1.125</v>
      </c>
      <c r="G63" s="4" t="inlineStr">
        <is>
          <t>WI-003</t>
        </is>
      </c>
      <c r="H63" s="4" t="inlineStr">
        <is>
          <t>AI làm</t>
        </is>
      </c>
      <c r="I63" s="4" t="inlineStr">
        <is>
          <t>CDS-12 tập 2</t>
        </is>
      </c>
      <c r="J63" s="4" t="inlineStr">
        <is>
          <t>extract.ocr</t>
        </is>
      </c>
      <c r="K63" s="4" t="inlineStr">
        <is>
          <t>Chưa</t>
        </is>
      </c>
    </row>
    <row r="64">
      <c r="A64" s="7" t="inlineStr">
        <is>
          <t>WI-063</t>
        </is>
      </c>
      <c r="B64" s="7" t="inlineStr">
        <is>
          <t>Năng lực</t>
        </is>
      </c>
      <c r="C64" s="7" t="inlineStr">
        <is>
          <t>EXTRACT-13 extract.image_schematic — Ảnh schematic → net/linh kiện đề xuất (thị giác) kèm ảnh cắt</t>
        </is>
      </c>
      <c r="D64" s="7" t="inlineStr">
        <is>
          <t>M2</t>
        </is>
      </c>
      <c r="E64" s="7" t="inlineStr">
        <is>
          <t>M</t>
        </is>
      </c>
      <c r="F64" s="7" t="n">
        <v>1.125</v>
      </c>
      <c r="G64" s="7" t="inlineStr">
        <is>
          <t>WI-003</t>
        </is>
      </c>
      <c r="H64" s="7" t="inlineStr">
        <is>
          <t>AI làm/người duyệt</t>
        </is>
      </c>
      <c r="I64" s="7" t="inlineStr">
        <is>
          <t>CDS-12 tập 2</t>
        </is>
      </c>
      <c r="J64" s="7" t="inlineStr">
        <is>
          <t>extract.image_schematic</t>
        </is>
      </c>
      <c r="K64" s="7" t="inlineStr">
        <is>
          <t>Chưa</t>
        </is>
      </c>
    </row>
    <row r="65">
      <c r="A65" s="4" t="inlineStr">
        <is>
          <t>WI-064</t>
        </is>
      </c>
      <c r="B65" s="4" t="inlineStr">
        <is>
          <t>Năng lực</t>
        </is>
      </c>
      <c r="C65" s="4" t="inlineStr">
        <is>
          <t>EXTRACT-14 extract.image_board — Ảnh board → nhãn chip/linh kiện, vị trí, cổng</t>
        </is>
      </c>
      <c r="D65" s="4" t="inlineStr">
        <is>
          <t>M2</t>
        </is>
      </c>
      <c r="E65" s="4" t="inlineStr">
        <is>
          <t>M</t>
        </is>
      </c>
      <c r="F65" s="4" t="n">
        <v>1.125</v>
      </c>
      <c r="G65" s="4" t="inlineStr">
        <is>
          <t>WI-003</t>
        </is>
      </c>
      <c r="H65" s="4" t="inlineStr">
        <is>
          <t>AI làm/người duyệt</t>
        </is>
      </c>
      <c r="I65" s="4" t="inlineStr">
        <is>
          <t>CDS-12 tập 2</t>
        </is>
      </c>
      <c r="J65" s="4" t="inlineStr">
        <is>
          <t>extract.image_board</t>
        </is>
      </c>
      <c r="K65" s="4" t="inlineStr">
        <is>
          <t>Chưa</t>
        </is>
      </c>
    </row>
    <row r="66">
      <c r="A66" s="7" t="inlineStr">
        <is>
          <t>WI-065</t>
        </is>
      </c>
      <c r="B66" s="7" t="inlineStr">
        <is>
          <t>Năng lực</t>
        </is>
      </c>
      <c r="C66" s="7" t="inlineStr">
        <is>
          <t>EXTRACT-15 extract.image_scope — Ảnh màn hình oscilloscope/LA → giá trị đo, kết luận sơ bộ</t>
        </is>
      </c>
      <c r="D66" s="7" t="inlineStr">
        <is>
          <t>M5</t>
        </is>
      </c>
      <c r="E66" s="7" t="inlineStr">
        <is>
          <t>S</t>
        </is>
      </c>
      <c r="F66" s="7" t="n">
        <v>1.125</v>
      </c>
      <c r="G66" s="7" t="inlineStr">
        <is>
          <t>WI-003</t>
        </is>
      </c>
      <c r="H66" s="7" t="inlineStr">
        <is>
          <t>AI làm/người duyệt</t>
        </is>
      </c>
      <c r="I66" s="7" t="inlineStr">
        <is>
          <t>CDS-12 tập 2</t>
        </is>
      </c>
      <c r="J66" s="7" t="inlineStr">
        <is>
          <t>extract.image_scope</t>
        </is>
      </c>
      <c r="K66" s="7" t="inlineStr">
        <is>
          <t>Chưa</t>
        </is>
      </c>
    </row>
    <row r="67">
      <c r="A67" s="4" t="inlineStr">
        <is>
          <t>WI-066</t>
        </is>
      </c>
      <c r="B67" s="4" t="inlineStr">
        <is>
          <t>Năng lực</t>
        </is>
      </c>
      <c r="C67" s="4" t="inlineStr">
        <is>
          <t>EXTRACT-16 extract.kicad_netlist — kicad-cli → net/pin/part</t>
        </is>
      </c>
      <c r="D67" s="4" t="inlineStr">
        <is>
          <t>M2</t>
        </is>
      </c>
      <c r="E67" s="4" t="inlineStr">
        <is>
          <t>M</t>
        </is>
      </c>
      <c r="F67" s="4" t="n">
        <v>1.125</v>
      </c>
      <c r="G67" s="4" t="inlineStr">
        <is>
          <t>WI-003</t>
        </is>
      </c>
      <c r="H67" s="4" t="inlineStr">
        <is>
          <t>AI làm</t>
        </is>
      </c>
      <c r="I67" s="4" t="inlineStr">
        <is>
          <t>CDS-12 tập 2</t>
        </is>
      </c>
      <c r="J67" s="4" t="inlineStr">
        <is>
          <t>extract.kicad_netlist</t>
        </is>
      </c>
      <c r="K67" s="4" t="inlineStr">
        <is>
          <t>Chưa</t>
        </is>
      </c>
    </row>
    <row r="68">
      <c r="A68" s="7" t="inlineStr">
        <is>
          <t>WI-067</t>
        </is>
      </c>
      <c r="B68" s="7" t="inlineStr">
        <is>
          <t>Năng lực</t>
        </is>
      </c>
      <c r="C68" s="7" t="inlineStr">
        <is>
          <t>EXTRACT-17 extract.bom — Trích BOM từ schematic (KiCad/PDF/Excel/README) → bảng ref, MPN, giá t</t>
        </is>
      </c>
      <c r="D68" s="7" t="inlineStr">
        <is>
          <t>M2</t>
        </is>
      </c>
      <c r="E68" s="7" t="inlineStr">
        <is>
          <t>M</t>
        </is>
      </c>
      <c r="F68" s="7" t="n">
        <v>1.125</v>
      </c>
      <c r="G68" s="7" t="inlineStr">
        <is>
          <t>WI-003</t>
        </is>
      </c>
      <c r="H68" s="7" t="inlineStr">
        <is>
          <t>AI làm</t>
        </is>
      </c>
      <c r="I68" s="7" t="inlineStr">
        <is>
          <t>CDS-12 tập 2</t>
        </is>
      </c>
      <c r="J68" s="7" t="inlineStr">
        <is>
          <t>extract.bom</t>
        </is>
      </c>
      <c r="K68" s="7" t="inlineStr">
        <is>
          <t>Chưa</t>
        </is>
      </c>
    </row>
    <row r="69">
      <c r="A69" s="4" t="inlineStr">
        <is>
          <t>WI-068</t>
        </is>
      </c>
      <c r="B69" s="4" t="inlineStr">
        <is>
          <t>Năng lực</t>
        </is>
      </c>
      <c r="C69" s="4" t="inlineStr">
        <is>
          <t>EXTRACT-18 extract.bom_enrich — Với mỗi MPN trong BOM: tìm hộ chiếu/datasheet (search.*) và gắn</t>
        </is>
      </c>
      <c r="D69" s="4" t="inlineStr">
        <is>
          <t>M2</t>
        </is>
      </c>
      <c r="E69" s="4" t="inlineStr">
        <is>
          <t>M</t>
        </is>
      </c>
      <c r="F69" s="4" t="n">
        <v>1.125</v>
      </c>
      <c r="G69" s="4" t="inlineStr">
        <is>
          <t>WI-003</t>
        </is>
      </c>
      <c r="H69" s="4" t="inlineStr">
        <is>
          <t>AI làm</t>
        </is>
      </c>
      <c r="I69" s="4" t="inlineStr">
        <is>
          <t>CDS-12 tập 2</t>
        </is>
      </c>
      <c r="J69" s="4" t="inlineStr">
        <is>
          <t>extract.bom_enrich</t>
        </is>
      </c>
      <c r="K69" s="4" t="inlineStr">
        <is>
          <t>Chưa</t>
        </is>
      </c>
    </row>
    <row r="70">
      <c r="A70" s="7" t="inlineStr">
        <is>
          <t>WI-069</t>
        </is>
      </c>
      <c r="B70" s="7" t="inlineStr">
        <is>
          <t>Năng lực</t>
        </is>
      </c>
      <c r="C70" s="7" t="inlineStr">
        <is>
          <t>EXTRACT-19 extract.office — DOCX/XLSX/HTML/MD → văn bản, bảng có vị trí</t>
        </is>
      </c>
      <c r="D70" s="7" t="inlineStr">
        <is>
          <t>M1</t>
        </is>
      </c>
      <c r="E70" s="7" t="inlineStr">
        <is>
          <t>M</t>
        </is>
      </c>
      <c r="F70" s="7" t="n">
        <v>1.125</v>
      </c>
      <c r="G70" s="7" t="inlineStr">
        <is>
          <t>WI-003</t>
        </is>
      </c>
      <c r="H70" s="7" t="inlineStr">
        <is>
          <t>AI làm</t>
        </is>
      </c>
      <c r="I70" s="7" t="inlineStr">
        <is>
          <t>CDS-12 tập 2</t>
        </is>
      </c>
      <c r="J70" s="7" t="inlineStr">
        <is>
          <t>extract.office</t>
        </is>
      </c>
      <c r="K70" s="7" t="inlineStr">
        <is>
          <t>Chưa</t>
        </is>
      </c>
    </row>
    <row r="71">
      <c r="A71" s="4" t="inlineStr">
        <is>
          <t>WI-070</t>
        </is>
      </c>
      <c r="B71" s="4" t="inlineStr">
        <is>
          <t>Năng lực</t>
        </is>
      </c>
      <c r="C71" s="4" t="inlineStr">
        <is>
          <t>EXTRACT-20 extract.readme_goal — Suy ra mục tiêu dự án, danh sách tính năng từ README/ghi chú</t>
        </is>
      </c>
      <c r="D71" s="4" t="inlineStr">
        <is>
          <t>M2</t>
        </is>
      </c>
      <c r="E71" s="4" t="inlineStr">
        <is>
          <t>M</t>
        </is>
      </c>
      <c r="F71" s="4" t="n">
        <v>0.75</v>
      </c>
      <c r="G71" s="4" t="inlineStr">
        <is>
          <t>WI-003</t>
        </is>
      </c>
      <c r="H71" s="4" t="inlineStr">
        <is>
          <t>AI làm</t>
        </is>
      </c>
      <c r="I71" s="4" t="inlineStr">
        <is>
          <t>CDS-12 tập 2</t>
        </is>
      </c>
      <c r="J71" s="4" t="inlineStr">
        <is>
          <t>extract.readme_goal</t>
        </is>
      </c>
      <c r="K71" s="4" t="inlineStr">
        <is>
          <t>Chưa</t>
        </is>
      </c>
    </row>
    <row r="72">
      <c r="A72" s="7" t="inlineStr">
        <is>
          <t>WI-071</t>
        </is>
      </c>
      <c r="B72" s="7" t="inlineStr">
        <is>
          <t>Năng lực</t>
        </is>
      </c>
      <c r="C72" s="7" t="inlineStr">
        <is>
          <t>EXTRACT-21 extract.code_constants — Quét mã sẵn có: hằng số địa chỉ/bit → ánh xạ fact; danh sách không ngu</t>
        </is>
      </c>
      <c r="D72" s="7" t="inlineStr">
        <is>
          <t>M1</t>
        </is>
      </c>
      <c r="E72" s="7" t="inlineStr">
        <is>
          <t>M</t>
        </is>
      </c>
      <c r="F72" s="7" t="n">
        <v>1.125</v>
      </c>
      <c r="G72" s="7" t="inlineStr">
        <is>
          <t>WI-003</t>
        </is>
      </c>
      <c r="H72" s="7" t="inlineStr">
        <is>
          <t>AI làm</t>
        </is>
      </c>
      <c r="I72" s="7" t="inlineStr">
        <is>
          <t>CDS-12 tập 2</t>
        </is>
      </c>
      <c r="J72" s="7" t="inlineStr">
        <is>
          <t>extract.code_constants</t>
        </is>
      </c>
      <c r="K72" s="7" t="inlineStr">
        <is>
          <t>Chưa</t>
        </is>
      </c>
    </row>
    <row r="73">
      <c r="A73" s="4" t="inlineStr">
        <is>
          <t>WI-072</t>
        </is>
      </c>
      <c r="B73" s="4" t="inlineStr">
        <is>
          <t>Năng lực</t>
        </is>
      </c>
      <c r="C73" s="4" t="inlineStr">
        <is>
          <t>PASSPORT-04 passport.diff — So hai phiên bản hộ chiếu: fact thêm/bớt/đổi</t>
        </is>
      </c>
      <c r="D73" s="4" t="inlineStr">
        <is>
          <t>M2</t>
        </is>
      </c>
      <c r="E73" s="4" t="inlineStr">
        <is>
          <t>M</t>
        </is>
      </c>
      <c r="F73" s="4" t="n">
        <v>0.5</v>
      </c>
      <c r="G73" s="4" t="inlineStr">
        <is>
          <t>WI-003</t>
        </is>
      </c>
      <c r="H73" s="4" t="inlineStr">
        <is>
          <t>AI làm</t>
        </is>
      </c>
      <c r="I73" s="4" t="inlineStr">
        <is>
          <t>CDS-12 tập 2</t>
        </is>
      </c>
      <c r="J73" s="4" t="inlineStr">
        <is>
          <t>passport.diff</t>
        </is>
      </c>
      <c r="K73" s="4" t="inlineStr">
        <is>
          <t>Chưa</t>
        </is>
      </c>
    </row>
    <row r="74">
      <c r="A74" s="7" t="inlineStr">
        <is>
          <t>WI-073</t>
        </is>
      </c>
      <c r="B74" s="7" t="inlineStr">
        <is>
          <t>Năng lực</t>
        </is>
      </c>
      <c r="C74" s="7" t="inlineStr">
        <is>
          <t>PASSPORT-05 passport.upgrade — Nâng ghim sang phiên bản mới; impact; đưa feature về failing</t>
        </is>
      </c>
      <c r="D74" s="7" t="inlineStr">
        <is>
          <t>M2</t>
        </is>
      </c>
      <c r="E74" s="7" t="inlineStr">
        <is>
          <t>M</t>
        </is>
      </c>
      <c r="F74" s="7" t="n">
        <v>1</v>
      </c>
      <c r="G74" s="7" t="inlineStr">
        <is>
          <t>WI-003</t>
        </is>
      </c>
      <c r="H74" s="7" t="inlineStr">
        <is>
          <t>AI làm/người duyệt</t>
        </is>
      </c>
      <c r="I74" s="7" t="inlineStr">
        <is>
          <t>CDS-12 tập 2</t>
        </is>
      </c>
      <c r="J74" s="7" t="inlineStr">
        <is>
          <t>passport.upgrade</t>
        </is>
      </c>
      <c r="K74" s="7" t="inlineStr">
        <is>
          <t>Chưa</t>
        </is>
      </c>
    </row>
    <row r="75">
      <c r="A75" s="4" t="inlineStr">
        <is>
          <t>WI-074</t>
        </is>
      </c>
      <c r="B75" s="4" t="inlineStr">
        <is>
          <t>Năng lực</t>
        </is>
      </c>
      <c r="C75" s="4" t="inlineStr">
        <is>
          <t>PASSPORT-06 passport.verify_on_board — Sinh firmware ID/GPIO/UART, nạp, so, gắn huy hiệu</t>
        </is>
      </c>
      <c r="D75" s="4" t="inlineStr">
        <is>
          <t>M1</t>
        </is>
      </c>
      <c r="E75" s="4" t="inlineStr">
        <is>
          <t>M</t>
        </is>
      </c>
      <c r="F75" s="4" t="n">
        <v>1</v>
      </c>
      <c r="G75" s="4" t="inlineStr">
        <is>
          <t>WI-003</t>
        </is>
      </c>
      <c r="H75" s="4" t="inlineStr">
        <is>
          <t>AI làm</t>
        </is>
      </c>
      <c r="I75" s="4" t="inlineStr">
        <is>
          <t>CDS-12 tập 2</t>
        </is>
      </c>
      <c r="J75" s="4" t="inlineStr">
        <is>
          <t>passport.verify_on_board</t>
        </is>
      </c>
      <c r="K75" s="4" t="inlineStr">
        <is>
          <t>Chưa</t>
        </is>
      </c>
    </row>
    <row r="76">
      <c r="A76" s="7" t="inlineStr">
        <is>
          <t>WI-075</t>
        </is>
      </c>
      <c r="B76" s="7" t="inlineStr">
        <is>
          <t>Năng lực</t>
        </is>
      </c>
      <c r="C76" s="7" t="inlineStr">
        <is>
          <t>PASSPORT-07 passport.export — Xuất hộ chiếu YAML/JSON có nguồn</t>
        </is>
      </c>
      <c r="D76" s="7" t="inlineStr">
        <is>
          <t>M1</t>
        </is>
      </c>
      <c r="E76" s="7" t="inlineStr">
        <is>
          <t>M</t>
        </is>
      </c>
      <c r="F76" s="7" t="n">
        <v>0.5</v>
      </c>
      <c r="G76" s="7" t="inlineStr">
        <is>
          <t>WI-003</t>
        </is>
      </c>
      <c r="H76" s="7" t="inlineStr">
        <is>
          <t>AI làm</t>
        </is>
      </c>
      <c r="I76" s="7" t="inlineStr">
        <is>
          <t>CDS-12 tập 2</t>
        </is>
      </c>
      <c r="J76" s="7" t="inlineStr">
        <is>
          <t>passport.export</t>
        </is>
      </c>
      <c r="K76" s="7" t="inlineStr">
        <is>
          <t>Chưa</t>
        </is>
      </c>
    </row>
    <row r="77">
      <c r="A77" s="4" t="inlineStr">
        <is>
          <t>WI-076</t>
        </is>
      </c>
      <c r="B77" s="4" t="inlineStr">
        <is>
          <t>Năng lực</t>
        </is>
      </c>
      <c r="C77" s="4" t="inlineStr">
        <is>
          <t>PASSPORT-08 passport.resolve_address — Địa chỉ/hex → tên ngoại vi/thanh ghi (cho hover, .map)</t>
        </is>
      </c>
      <c r="D77" s="4" t="inlineStr">
        <is>
          <t>M3</t>
        </is>
      </c>
      <c r="E77" s="4" t="inlineStr">
        <is>
          <t>S</t>
        </is>
      </c>
      <c r="F77" s="4" t="n">
        <v>0.5</v>
      </c>
      <c r="G77" s="4" t="inlineStr">
        <is>
          <t>WI-003</t>
        </is>
      </c>
      <c r="H77" s="4" t="inlineStr">
        <is>
          <t>AI làm</t>
        </is>
      </c>
      <c r="I77" s="4" t="inlineStr">
        <is>
          <t>CDS-12 tập 2</t>
        </is>
      </c>
      <c r="J77" s="4" t="inlineStr">
        <is>
          <t>passport.resolve_address</t>
        </is>
      </c>
      <c r="K77" s="4" t="inlineStr">
        <is>
          <t>Chưa</t>
        </is>
      </c>
    </row>
    <row r="78">
      <c r="A78" s="7" t="inlineStr">
        <is>
          <t>WI-077</t>
        </is>
      </c>
      <c r="B78" s="7" t="inlineStr">
        <is>
          <t>Năng lực</t>
        </is>
      </c>
      <c r="C78" s="7" t="inlineStr">
        <is>
          <t>KG-05 kg.review_facts — Duyệt fact theo nhóm (tự theo chính sách hoặc người)</t>
        </is>
      </c>
      <c r="D78" s="7" t="inlineStr">
        <is>
          <t>M1</t>
        </is>
      </c>
      <c r="E78" s="7" t="inlineStr">
        <is>
          <t>M</t>
        </is>
      </c>
      <c r="F78" s="7" t="n">
        <v>0.75</v>
      </c>
      <c r="G78" s="7" t="inlineStr">
        <is>
          <t>WI-003</t>
        </is>
      </c>
      <c r="H78" s="7" t="inlineStr">
        <is>
          <t>AI làm/người duyệt</t>
        </is>
      </c>
      <c r="I78" s="7" t="inlineStr">
        <is>
          <t>CDS-12 tập 2</t>
        </is>
      </c>
      <c r="J78" s="7" t="inlineStr">
        <is>
          <t>kg.review_facts</t>
        </is>
      </c>
      <c r="K78" s="7" t="inlineStr">
        <is>
          <t>Chưa</t>
        </is>
      </c>
    </row>
    <row r="79">
      <c r="A79" s="4" t="inlineStr">
        <is>
          <t>WI-078</t>
        </is>
      </c>
      <c r="B79" s="4" t="inlineStr">
        <is>
          <t>Năng lực</t>
        </is>
      </c>
      <c r="C79" s="4" t="inlineStr">
        <is>
          <t>KG-06 kg.resolve_conflict — Chọn fact hiện hành / cả hai theo điều kiện</t>
        </is>
      </c>
      <c r="D79" s="4" t="inlineStr">
        <is>
          <t>M1</t>
        </is>
      </c>
      <c r="E79" s="4" t="inlineStr">
        <is>
          <t>M</t>
        </is>
      </c>
      <c r="F79" s="4" t="n">
        <v>0.75</v>
      </c>
      <c r="G79" s="4" t="inlineStr">
        <is>
          <t>WI-003</t>
        </is>
      </c>
      <c r="H79" s="4" t="inlineStr">
        <is>
          <t>AI làm/người duyệt</t>
        </is>
      </c>
      <c r="I79" s="4" t="inlineStr">
        <is>
          <t>CDS-12 tập 2</t>
        </is>
      </c>
      <c r="J79" s="4" t="inlineStr">
        <is>
          <t>kg.resolve_conflict</t>
        </is>
      </c>
      <c r="K79" s="4" t="inlineStr">
        <is>
          <t>Chưa</t>
        </is>
      </c>
    </row>
    <row r="80">
      <c r="A80" s="7" t="inlineStr">
        <is>
          <t>WI-079</t>
        </is>
      </c>
      <c r="B80" s="7" t="inlineStr">
        <is>
          <t>Năng lực</t>
        </is>
      </c>
      <c r="C80" s="7" t="inlineStr">
        <is>
          <t>KG-08 kg.request — Tạo yêu cầu nhận tri thức</t>
        </is>
      </c>
      <c r="D80" s="7" t="inlineStr">
        <is>
          <t>M1</t>
        </is>
      </c>
      <c r="E80" s="7" t="inlineStr">
        <is>
          <t>M</t>
        </is>
      </c>
      <c r="F80" s="7" t="n">
        <v>0.75</v>
      </c>
      <c r="G80" s="7" t="inlineStr">
        <is>
          <t>WI-003</t>
        </is>
      </c>
      <c r="H80" s="7" t="inlineStr">
        <is>
          <t>AI làm</t>
        </is>
      </c>
      <c r="I80" s="7" t="inlineStr">
        <is>
          <t>CDS-12 tập 2</t>
        </is>
      </c>
      <c r="J80" s="7" t="inlineStr">
        <is>
          <t>kg.request</t>
        </is>
      </c>
      <c r="K80" s="7" t="inlineStr">
        <is>
          <t>Chưa</t>
        </is>
      </c>
    </row>
    <row r="81">
      <c r="A81" s="4" t="inlineStr">
        <is>
          <t>WI-080</t>
        </is>
      </c>
      <c r="B81" s="4" t="inlineStr">
        <is>
          <t>Năng lực</t>
        </is>
      </c>
      <c r="C81" s="4" t="inlineStr">
        <is>
          <t>KG-09 kg.evidence — Bằng chứng gắn với feature/fact (log hash, số đo, badge)</t>
        </is>
      </c>
      <c r="D81" s="4" t="inlineStr">
        <is>
          <t>M2</t>
        </is>
      </c>
      <c r="E81" s="4" t="inlineStr">
        <is>
          <t>M</t>
        </is>
      </c>
      <c r="F81" s="4" t="n">
        <v>0.5</v>
      </c>
      <c r="G81" s="4" t="inlineStr">
        <is>
          <t>WI-003</t>
        </is>
      </c>
      <c r="H81" s="4" t="inlineStr">
        <is>
          <t>AI làm</t>
        </is>
      </c>
      <c r="I81" s="4" t="inlineStr">
        <is>
          <t>CDS-12 tập 2</t>
        </is>
      </c>
      <c r="J81" s="4" t="inlineStr">
        <is>
          <t>kg.evidence</t>
        </is>
      </c>
      <c r="K81" s="4" t="inlineStr">
        <is>
          <t>Chưa</t>
        </is>
      </c>
    </row>
    <row r="82">
      <c r="A82" s="7" t="inlineStr">
        <is>
          <t>WI-081</t>
        </is>
      </c>
      <c r="B82" s="7" t="inlineStr">
        <is>
          <t>Năng lực</t>
        </is>
      </c>
      <c r="C82" s="7" t="inlineStr">
        <is>
          <t>BOARD-01 board.build_passport — Dựng BoardPassport từ netlist/ảnh/BOM; suy ra bus/địa chỉ/pull-up</t>
        </is>
      </c>
      <c r="D82" s="7" t="inlineStr">
        <is>
          <t>M2</t>
        </is>
      </c>
      <c r="E82" s="7" t="inlineStr">
        <is>
          <t>M</t>
        </is>
      </c>
      <c r="F82" s="7" t="n">
        <v>0.75</v>
      </c>
      <c r="G82" s="7" t="inlineStr">
        <is>
          <t>WI-003</t>
        </is>
      </c>
      <c r="H82" s="7" t="inlineStr">
        <is>
          <t>AI làm</t>
        </is>
      </c>
      <c r="I82" s="7" t="inlineStr">
        <is>
          <t>CDS-12 tập 2</t>
        </is>
      </c>
      <c r="J82" s="7" t="inlineStr">
        <is>
          <t>board.build_passport</t>
        </is>
      </c>
      <c r="K82" s="7" t="inlineStr">
        <is>
          <t>Chưa</t>
        </is>
      </c>
    </row>
    <row r="83">
      <c r="A83" s="4" t="inlineStr">
        <is>
          <t>WI-082</t>
        </is>
      </c>
      <c r="B83" s="4" t="inlineStr">
        <is>
          <t>Năng lực</t>
        </is>
      </c>
      <c r="C83" s="4" t="inlineStr">
        <is>
          <t>BOARD-02 board.check_pins — Xung đột chân/AF, reserved/boot, trùng địa chỉ bus</t>
        </is>
      </c>
      <c r="D83" s="4" t="inlineStr">
        <is>
          <t>M2</t>
        </is>
      </c>
      <c r="E83" s="4" t="inlineStr">
        <is>
          <t>M</t>
        </is>
      </c>
      <c r="F83" s="4" t="n">
        <v>0.5</v>
      </c>
      <c r="G83" s="4" t="inlineStr">
        <is>
          <t>WI-003</t>
        </is>
      </c>
      <c r="H83" s="4" t="inlineStr">
        <is>
          <t>AI làm</t>
        </is>
      </c>
      <c r="I83" s="4" t="inlineStr">
        <is>
          <t>CDS-12 tập 2</t>
        </is>
      </c>
      <c r="J83" s="4" t="inlineStr">
        <is>
          <t>board.check_pins</t>
        </is>
      </c>
      <c r="K83" s="4" t="inlineStr">
        <is>
          <t>Chưa</t>
        </is>
      </c>
    </row>
    <row r="84">
      <c r="A84" s="7" t="inlineStr">
        <is>
          <t>WI-083</t>
        </is>
      </c>
      <c r="B84" s="7" t="inlineStr">
        <is>
          <t>Năng lực</t>
        </is>
      </c>
      <c r="C84" s="7" t="inlineStr">
        <is>
          <t>BOARD-03 board.constraints — Sinh ràng buộc điện/bus cho Coder</t>
        </is>
      </c>
      <c r="D84" s="7" t="inlineStr">
        <is>
          <t>M2</t>
        </is>
      </c>
      <c r="E84" s="7" t="inlineStr">
        <is>
          <t>M</t>
        </is>
      </c>
      <c r="F84" s="7" t="n">
        <v>0.75</v>
      </c>
      <c r="G84" s="7" t="inlineStr">
        <is>
          <t>WI-003</t>
        </is>
      </c>
      <c r="H84" s="7" t="inlineStr">
        <is>
          <t>AI làm</t>
        </is>
      </c>
      <c r="I84" s="7" t="inlineStr">
        <is>
          <t>CDS-12 tập 2</t>
        </is>
      </c>
      <c r="J84" s="7" t="inlineStr">
        <is>
          <t>board.constraints</t>
        </is>
      </c>
      <c r="K84" s="7" t="inlineStr">
        <is>
          <t>Chưa</t>
        </is>
      </c>
    </row>
    <row r="85">
      <c r="A85" s="4" t="inlineStr">
        <is>
          <t>WI-084</t>
        </is>
      </c>
      <c r="B85" s="4" t="inlineStr">
        <is>
          <t>Năng lực</t>
        </is>
      </c>
      <c r="C85" s="4" t="inlineStr">
        <is>
          <t>BOARD-04 board.propose_fix — Đề xuất phương án cho xung đột (remap AF, đổi chân)</t>
        </is>
      </c>
      <c r="D85" s="4" t="inlineStr">
        <is>
          <t>M2</t>
        </is>
      </c>
      <c r="E85" s="4" t="inlineStr">
        <is>
          <t>M</t>
        </is>
      </c>
      <c r="F85" s="4" t="n">
        <v>0.5</v>
      </c>
      <c r="G85" s="4" t="inlineStr">
        <is>
          <t>WI-003</t>
        </is>
      </c>
      <c r="H85" s="4" t="inlineStr">
        <is>
          <t>AI làm</t>
        </is>
      </c>
      <c r="I85" s="4" t="inlineStr">
        <is>
          <t>CDS-12 tập 2</t>
        </is>
      </c>
      <c r="J85" s="4" t="inlineStr">
        <is>
          <t>board.propose_fix</t>
        </is>
      </c>
      <c r="K85" s="4" t="inlineStr">
        <is>
          <t>Chưa</t>
        </is>
      </c>
    </row>
    <row r="86">
      <c r="A86" s="7" t="inlineStr">
        <is>
          <t>WI-085</t>
        </is>
      </c>
      <c r="B86" s="7" t="inlineStr">
        <is>
          <t>Năng lực</t>
        </is>
      </c>
      <c r="C86" s="7" t="inlineStr">
        <is>
          <t>BOARD-05 board.mark_lab — Đánh dấu board là lab (không cơ cấu chấp hành) để tự nạp</t>
        </is>
      </c>
      <c r="D86" s="7" t="inlineStr">
        <is>
          <t>M2</t>
        </is>
      </c>
      <c r="E86" s="7" t="inlineStr">
        <is>
          <t>M</t>
        </is>
      </c>
      <c r="F86" s="7" t="n">
        <v>0.75</v>
      </c>
      <c r="G86" s="7" t="inlineStr">
        <is>
          <t>WI-003</t>
        </is>
      </c>
      <c r="H86" s="7" t="inlineStr">
        <is>
          <t>AI làm/người duyệt</t>
        </is>
      </c>
      <c r="I86" s="7" t="inlineStr">
        <is>
          <t>CDS-12 tập 2</t>
        </is>
      </c>
      <c r="J86" s="7" t="inlineStr">
        <is>
          <t>board.mark_lab</t>
        </is>
      </c>
      <c r="K86" s="7" t="inlineStr">
        <is>
          <t>Chưa</t>
        </is>
      </c>
    </row>
    <row r="87">
      <c r="A87" s="4" t="inlineStr">
        <is>
          <t>WI-086</t>
        </is>
      </c>
      <c r="B87" s="4" t="inlineStr">
        <is>
          <t>Năng lực</t>
        </is>
      </c>
      <c r="C87" s="4" t="inlineStr">
        <is>
          <t>ENV-01 env.detect — Nhận diện HĐH, kiến trúc máy, cổng USB/serial, probe đang nối</t>
        </is>
      </c>
      <c r="D87" s="4" t="inlineStr">
        <is>
          <t>M0</t>
        </is>
      </c>
      <c r="E87" s="4" t="inlineStr">
        <is>
          <t>M</t>
        </is>
      </c>
      <c r="F87" s="4" t="n">
        <v>0.5</v>
      </c>
      <c r="G87" s="4" t="inlineStr">
        <is>
          <t>WI-003</t>
        </is>
      </c>
      <c r="H87" s="4" t="inlineStr">
        <is>
          <t>AI làm</t>
        </is>
      </c>
      <c r="I87" s="4" t="inlineStr">
        <is>
          <t>CDS-12 tập 3</t>
        </is>
      </c>
      <c r="J87" s="4" t="inlineStr">
        <is>
          <t>env.detect</t>
        </is>
      </c>
      <c r="K87" s="4" t="inlineStr">
        <is>
          <t>Chưa</t>
        </is>
      </c>
    </row>
    <row r="88">
      <c r="A88" s="7" t="inlineStr">
        <is>
          <t>WI-087</t>
        </is>
      </c>
      <c r="B88" s="7" t="inlineStr">
        <is>
          <t>Năng lực</t>
        </is>
      </c>
      <c r="C88" s="7" t="inlineStr">
        <is>
          <t>ENV-03 env.install — Cài công cụ mở từ danh sách tin cậy (brew/apt/pip/cargo/tải chính hãng</t>
        </is>
      </c>
      <c r="D88" s="7" t="inlineStr">
        <is>
          <t>M1</t>
        </is>
      </c>
      <c r="E88" s="7" t="inlineStr">
        <is>
          <t>M</t>
        </is>
      </c>
      <c r="F88" s="7" t="n">
        <v>0.75</v>
      </c>
      <c r="G88" s="7" t="inlineStr">
        <is>
          <t>WI-003</t>
        </is>
      </c>
      <c r="H88" s="7" t="inlineStr">
        <is>
          <t>AI làm</t>
        </is>
      </c>
      <c r="I88" s="7" t="inlineStr">
        <is>
          <t>CDS-12 tập 3</t>
        </is>
      </c>
      <c r="J88" s="7" t="inlineStr">
        <is>
          <t>env.install</t>
        </is>
      </c>
      <c r="K88" s="7" t="inlineStr">
        <is>
          <t>Chưa</t>
        </is>
      </c>
    </row>
    <row r="89">
      <c r="A89" s="4" t="inlineStr">
        <is>
          <t>WI-088</t>
        </is>
      </c>
      <c r="B89" s="4" t="inlineStr">
        <is>
          <t>Năng lực</t>
        </is>
      </c>
      <c r="C89" s="4" t="inlineStr">
        <is>
          <t>ENV-04 env.guide_install — Hướng dẫn cài tay công cụ đóng/có license</t>
        </is>
      </c>
      <c r="D89" s="4" t="inlineStr">
        <is>
          <t>M1</t>
        </is>
      </c>
      <c r="E89" s="4" t="inlineStr">
        <is>
          <t>M</t>
        </is>
      </c>
      <c r="F89" s="4" t="n">
        <v>0.5</v>
      </c>
      <c r="G89" s="4" t="inlineStr">
        <is>
          <t>WI-003</t>
        </is>
      </c>
      <c r="H89" s="4" t="inlineStr">
        <is>
          <t>AI làm/người duyệt</t>
        </is>
      </c>
      <c r="I89" s="4" t="inlineStr">
        <is>
          <t>CDS-12 tập 3</t>
        </is>
      </c>
      <c r="J89" s="4" t="inlineStr">
        <is>
          <t>env.guide_install</t>
        </is>
      </c>
      <c r="K89" s="4" t="inlineStr">
        <is>
          <t>Chưa</t>
        </is>
      </c>
    </row>
    <row r="90">
      <c r="A90" s="7" t="inlineStr">
        <is>
          <t>WI-089</t>
        </is>
      </c>
      <c r="B90" s="7" t="inlineStr">
        <is>
          <t>Năng lực</t>
        </is>
      </c>
      <c r="C90" s="7" t="inlineStr">
        <is>
          <t>ENV-05 env.lock — Khóa phiên bản (tools.lock) và phát hiện trôi</t>
        </is>
      </c>
      <c r="D90" s="7" t="inlineStr">
        <is>
          <t>M1</t>
        </is>
      </c>
      <c r="E90" s="7" t="inlineStr">
        <is>
          <t>M</t>
        </is>
      </c>
      <c r="F90" s="7" t="n">
        <v>0.75</v>
      </c>
      <c r="G90" s="7" t="inlineStr">
        <is>
          <t>WI-003</t>
        </is>
      </c>
      <c r="H90" s="7" t="inlineStr">
        <is>
          <t>AI làm</t>
        </is>
      </c>
      <c r="I90" s="7" t="inlineStr">
        <is>
          <t>CDS-12 tập 3</t>
        </is>
      </c>
      <c r="J90" s="7" t="inlineStr">
        <is>
          <t>env.lock</t>
        </is>
      </c>
      <c r="K90" s="7" t="inlineStr">
        <is>
          <t>Chưa</t>
        </is>
      </c>
    </row>
    <row r="91">
      <c r="A91" s="4" t="inlineStr">
        <is>
          <t>WI-090</t>
        </is>
      </c>
      <c r="B91" s="4" t="inlineStr">
        <is>
          <t>Năng lực</t>
        </is>
      </c>
      <c r="C91" s="4" t="inlineStr">
        <is>
          <t>ENV-06 env.install_pack — Cài Platform Pack (skill, adapter, manifest) cho ISA</t>
        </is>
      </c>
      <c r="D91" s="4" t="inlineStr">
        <is>
          <t>M2</t>
        </is>
      </c>
      <c r="E91" s="4" t="inlineStr">
        <is>
          <t>M</t>
        </is>
      </c>
      <c r="F91" s="4" t="n">
        <v>0.75</v>
      </c>
      <c r="G91" s="4" t="inlineStr">
        <is>
          <t>WI-003</t>
        </is>
      </c>
      <c r="H91" s="4" t="inlineStr">
        <is>
          <t>AI làm</t>
        </is>
      </c>
      <c r="I91" s="4" t="inlineStr">
        <is>
          <t>CDS-12 tập 3</t>
        </is>
      </c>
      <c r="J91" s="4" t="inlineStr">
        <is>
          <t>env.install_pack</t>
        </is>
      </c>
      <c r="K91" s="4" t="inlineStr">
        <is>
          <t>Chưa</t>
        </is>
      </c>
    </row>
    <row r="92">
      <c r="A92" s="7" t="inlineStr">
        <is>
          <t>WI-091</t>
        </is>
      </c>
      <c r="B92" s="7" t="inlineStr">
        <is>
          <t>Năng lực</t>
        </is>
      </c>
      <c r="C92" s="7" t="inlineStr">
        <is>
          <t>ENV-07 env.sandbox — Chạy extractor/lệnh trong sandbox giới hạn CPU/RAM/thời gian/đường dẫn</t>
        </is>
      </c>
      <c r="D92" s="7" t="inlineStr">
        <is>
          <t>M1</t>
        </is>
      </c>
      <c r="E92" s="7" t="inlineStr">
        <is>
          <t>M</t>
        </is>
      </c>
      <c r="F92" s="7" t="n">
        <v>0.75</v>
      </c>
      <c r="G92" s="7" t="inlineStr">
        <is>
          <t>WI-003</t>
        </is>
      </c>
      <c r="H92" s="7" t="inlineStr">
        <is>
          <t>AI làm</t>
        </is>
      </c>
      <c r="I92" s="7" t="inlineStr">
        <is>
          <t>CDS-12 tập 3</t>
        </is>
      </c>
      <c r="J92" s="7" t="inlineStr">
        <is>
          <t>env.sandbox</t>
        </is>
      </c>
      <c r="K92" s="7" t="inlineStr">
        <is>
          <t>Chưa</t>
        </is>
      </c>
    </row>
    <row r="93">
      <c r="A93" s="4" t="inlineStr">
        <is>
          <t>WI-092</t>
        </is>
      </c>
      <c r="B93" s="4" t="inlineStr">
        <is>
          <t>Năng lực</t>
        </is>
      </c>
      <c r="C93" s="4" t="inlineStr">
        <is>
          <t>PLAN-01 plan.define_feature — Chuẩn hóa yêu cầu → Feature có kỳ vọng quan sát được, ràng buộc</t>
        </is>
      </c>
      <c r="D93" s="4" t="inlineStr">
        <is>
          <t>M2</t>
        </is>
      </c>
      <c r="E93" s="4" t="inlineStr">
        <is>
          <t>M</t>
        </is>
      </c>
      <c r="F93" s="4" t="n">
        <v>0.75</v>
      </c>
      <c r="G93" s="4" t="inlineStr">
        <is>
          <t>WI-003</t>
        </is>
      </c>
      <c r="H93" s="4" t="inlineStr">
        <is>
          <t>AI làm</t>
        </is>
      </c>
      <c r="I93" s="4" t="inlineStr">
        <is>
          <t>CDS-12 tập 1</t>
        </is>
      </c>
      <c r="J93" s="4" t="inlineStr">
        <is>
          <t>plan.define_feature</t>
        </is>
      </c>
      <c r="K93" s="4" t="inlineStr">
        <is>
          <t>Chưa</t>
        </is>
      </c>
    </row>
    <row r="94">
      <c r="A94" s="7" t="inlineStr">
        <is>
          <t>WI-093</t>
        </is>
      </c>
      <c r="B94" s="7" t="inlineStr">
        <is>
          <t>Năng lực</t>
        </is>
      </c>
      <c r="C94" s="7" t="inlineStr">
        <is>
          <t xml:space="preserve">PLAN-02 plan.decompose — Tách mục tiêu lớn thành module/feature theo kiến trúc (driver → HAL → </t>
        </is>
      </c>
      <c r="D94" s="7" t="inlineStr">
        <is>
          <t>M2</t>
        </is>
      </c>
      <c r="E94" s="7" t="inlineStr">
        <is>
          <t>M</t>
        </is>
      </c>
      <c r="F94" s="7" t="n">
        <v>0.75</v>
      </c>
      <c r="G94" s="7" t="inlineStr">
        <is>
          <t>WI-003</t>
        </is>
      </c>
      <c r="H94" s="7" t="inlineStr">
        <is>
          <t>AI làm</t>
        </is>
      </c>
      <c r="I94" s="7" t="inlineStr">
        <is>
          <t>CDS-12 tập 1</t>
        </is>
      </c>
      <c r="J94" s="7" t="inlineStr">
        <is>
          <t>plan.decompose</t>
        </is>
      </c>
      <c r="K94" s="7" t="inlineStr">
        <is>
          <t>Chưa</t>
        </is>
      </c>
    </row>
    <row r="95">
      <c r="A95" s="4" t="inlineStr">
        <is>
          <t>WI-094</t>
        </is>
      </c>
      <c r="B95" s="4" t="inlineStr">
        <is>
          <t>Năng lực</t>
        </is>
      </c>
      <c r="C95" s="4" t="inlineStr">
        <is>
          <t>PLAN-03 plan.create — Kế hoạch từng bước có trích dẫn fact; missing[]</t>
        </is>
      </c>
      <c r="D95" s="4" t="inlineStr">
        <is>
          <t>M2</t>
        </is>
      </c>
      <c r="E95" s="4" t="inlineStr">
        <is>
          <t>M</t>
        </is>
      </c>
      <c r="F95" s="4" t="n">
        <v>0.75</v>
      </c>
      <c r="G95" s="4" t="inlineStr">
        <is>
          <t>WI-003</t>
        </is>
      </c>
      <c r="H95" s="4" t="inlineStr">
        <is>
          <t>AI làm/người duyệt</t>
        </is>
      </c>
      <c r="I95" s="4" t="inlineStr">
        <is>
          <t>CDS-12 tập 1</t>
        </is>
      </c>
      <c r="J95" s="4" t="inlineStr">
        <is>
          <t>plan.create</t>
        </is>
      </c>
      <c r="K95" s="4" t="inlineStr">
        <is>
          <t>Chưa</t>
        </is>
      </c>
    </row>
    <row r="96">
      <c r="A96" s="7" t="inlineStr">
        <is>
          <t>WI-095</t>
        </is>
      </c>
      <c r="B96" s="7" t="inlineStr">
        <is>
          <t>Năng lực</t>
        </is>
      </c>
      <c r="C96" s="7" t="inlineStr">
        <is>
          <t>PLAN-04 plan.order — Sắp thứ tự phụ thuộc giữa module (clock → GPIO → I2C → cảm biến → app)</t>
        </is>
      </c>
      <c r="D96" s="7" t="inlineStr">
        <is>
          <t>M2</t>
        </is>
      </c>
      <c r="E96" s="7" t="inlineStr">
        <is>
          <t>M</t>
        </is>
      </c>
      <c r="F96" s="7" t="n">
        <v>0.5</v>
      </c>
      <c r="G96" s="7" t="inlineStr">
        <is>
          <t>WI-003</t>
        </is>
      </c>
      <c r="H96" s="7" t="inlineStr">
        <is>
          <t>AI làm</t>
        </is>
      </c>
      <c r="I96" s="7" t="inlineStr">
        <is>
          <t>CDS-12 tập 1</t>
        </is>
      </c>
      <c r="J96" s="7" t="inlineStr">
        <is>
          <t>plan.order</t>
        </is>
      </c>
      <c r="K96" s="7" t="inlineStr">
        <is>
          <t>Chưa</t>
        </is>
      </c>
    </row>
    <row r="97">
      <c r="A97" s="4" t="inlineStr">
        <is>
          <t>WI-096</t>
        </is>
      </c>
      <c r="B97" s="4" t="inlineStr">
        <is>
          <t>Năng lực</t>
        </is>
      </c>
      <c r="C97" s="4" t="inlineStr">
        <is>
          <t>PLAN-05 plan.estimate — Ước lượng token/chi phí/thời gian; so ngân sách</t>
        </is>
      </c>
      <c r="D97" s="4" t="inlineStr">
        <is>
          <t>M2</t>
        </is>
      </c>
      <c r="E97" s="4" t="inlineStr">
        <is>
          <t>M</t>
        </is>
      </c>
      <c r="F97" s="4" t="n">
        <v>0.5</v>
      </c>
      <c r="G97" s="4" t="inlineStr">
        <is>
          <t>WI-003</t>
        </is>
      </c>
      <c r="H97" s="4" t="inlineStr">
        <is>
          <t>AI làm</t>
        </is>
      </c>
      <c r="I97" s="4" t="inlineStr">
        <is>
          <t>CDS-12 tập 1</t>
        </is>
      </c>
      <c r="J97" s="4" t="inlineStr">
        <is>
          <t>plan.estimate</t>
        </is>
      </c>
      <c r="K97" s="4" t="inlineStr">
        <is>
          <t>Chưa</t>
        </is>
      </c>
    </row>
    <row r="98">
      <c r="A98" s="7" t="inlineStr">
        <is>
          <t>WI-097</t>
        </is>
      </c>
      <c r="B98" s="7" t="inlineStr">
        <is>
          <t>Năng lực</t>
        </is>
      </c>
      <c r="C98" s="7" t="inlineStr">
        <is>
          <t>PLAN-06 plan.replan — Lập lại khi thất bại/thiếu tri thức/xung đột</t>
        </is>
      </c>
      <c r="D98" s="7" t="inlineStr">
        <is>
          <t>M2</t>
        </is>
      </c>
      <c r="E98" s="7" t="inlineStr">
        <is>
          <t>M</t>
        </is>
      </c>
      <c r="F98" s="7" t="n">
        <v>0.75</v>
      </c>
      <c r="G98" s="7" t="inlineStr">
        <is>
          <t>WI-003</t>
        </is>
      </c>
      <c r="H98" s="7" t="inlineStr">
        <is>
          <t>AI làm</t>
        </is>
      </c>
      <c r="I98" s="7" t="inlineStr">
        <is>
          <t>CDS-12 tập 1</t>
        </is>
      </c>
      <c r="J98" s="7" t="inlineStr">
        <is>
          <t>plan.replan</t>
        </is>
      </c>
      <c r="K98" s="7" t="inlineStr">
        <is>
          <t>Chưa</t>
        </is>
      </c>
    </row>
    <row r="99">
      <c r="A99" s="4" t="inlineStr">
        <is>
          <t>WI-098</t>
        </is>
      </c>
      <c r="B99" s="4" t="inlineStr">
        <is>
          <t>Năng lực</t>
        </is>
      </c>
      <c r="C99" s="4" t="inlineStr">
        <is>
          <t>PLAN-07 plan.sufficiency — Tự đánh giá đủ thông tin trước khi làm</t>
        </is>
      </c>
      <c r="D99" s="4" t="inlineStr">
        <is>
          <t>M1</t>
        </is>
      </c>
      <c r="E99" s="4" t="inlineStr">
        <is>
          <t>M</t>
        </is>
      </c>
      <c r="F99" s="4" t="n">
        <v>0.5</v>
      </c>
      <c r="G99" s="4" t="inlineStr">
        <is>
          <t>WI-003</t>
        </is>
      </c>
      <c r="H99" s="4" t="inlineStr">
        <is>
          <t>AI làm</t>
        </is>
      </c>
      <c r="I99" s="4" t="inlineStr">
        <is>
          <t>CDS-12 tập 1</t>
        </is>
      </c>
      <c r="J99" s="4" t="inlineStr">
        <is>
          <t>plan.sufficiency</t>
        </is>
      </c>
      <c r="K99" s="4" t="inlineStr">
        <is>
          <t>Chưa</t>
        </is>
      </c>
    </row>
    <row r="100">
      <c r="A100" s="7" t="inlineStr">
        <is>
          <t>WI-099</t>
        </is>
      </c>
      <c r="B100" s="7" t="inlineStr">
        <is>
          <t>Năng lực</t>
        </is>
      </c>
      <c r="C100" s="7" t="inlineStr">
        <is>
          <t>CODE-01 code.generate_module — Sinh một module theo STEP + skill + fact; hkw:fact cho hằng số</t>
        </is>
      </c>
      <c r="D100" s="7" t="inlineStr">
        <is>
          <t>M2</t>
        </is>
      </c>
      <c r="E100" s="7" t="inlineStr">
        <is>
          <t>M</t>
        </is>
      </c>
      <c r="F100" s="7" t="n">
        <v>1</v>
      </c>
      <c r="G100" s="7" t="inlineStr">
        <is>
          <t>WI-003</t>
        </is>
      </c>
      <c r="H100" s="7" t="inlineStr">
        <is>
          <t>AI làm</t>
        </is>
      </c>
      <c r="I100" s="7" t="inlineStr">
        <is>
          <t>CDS-12 tập 3</t>
        </is>
      </c>
      <c r="J100" s="7" t="inlineStr">
        <is>
          <t>code.generate_module</t>
        </is>
      </c>
      <c r="K100" s="7" t="inlineStr">
        <is>
          <t>Chưa</t>
        </is>
      </c>
    </row>
    <row r="101">
      <c r="A101" s="4" t="inlineStr">
        <is>
          <t>WI-100</t>
        </is>
      </c>
      <c r="B101" s="4" t="inlineStr">
        <is>
          <t>Năng lực</t>
        </is>
      </c>
      <c r="C101" s="4" t="inlineStr">
        <is>
          <t>CODE-02 code.modify — Sửa mã có sẵn theo yêu cầu/finding</t>
        </is>
      </c>
      <c r="D101" s="4" t="inlineStr">
        <is>
          <t>M2</t>
        </is>
      </c>
      <c r="E101" s="4" t="inlineStr">
        <is>
          <t>M</t>
        </is>
      </c>
      <c r="F101" s="4" t="n">
        <v>1</v>
      </c>
      <c r="G101" s="4" t="inlineStr">
        <is>
          <t>WI-003</t>
        </is>
      </c>
      <c r="H101" s="4" t="inlineStr">
        <is>
          <t>AI làm</t>
        </is>
      </c>
      <c r="I101" s="4" t="inlineStr">
        <is>
          <t>CDS-12 tập 3</t>
        </is>
      </c>
      <c r="J101" s="4" t="inlineStr">
        <is>
          <t>code.modify</t>
        </is>
      </c>
      <c r="K101" s="4" t="inlineStr">
        <is>
          <t>Chưa</t>
        </is>
      </c>
    </row>
    <row r="102">
      <c r="A102" s="7" t="inlineStr">
        <is>
          <t>WI-101</t>
        </is>
      </c>
      <c r="B102" s="7" t="inlineStr">
        <is>
          <t>Năng lực</t>
        </is>
      </c>
      <c r="C102" s="7" t="inlineStr">
        <is>
          <t xml:space="preserve">CODE-03 code.integrate — Tích hợp module: wiring, init order, cấu hình build, kiểm tương thích </t>
        </is>
      </c>
      <c r="D102" s="7" t="inlineStr">
        <is>
          <t>M2</t>
        </is>
      </c>
      <c r="E102" s="7" t="inlineStr">
        <is>
          <t>M</t>
        </is>
      </c>
      <c r="F102" s="7" t="n">
        <v>1</v>
      </c>
      <c r="G102" s="7" t="inlineStr">
        <is>
          <t>WI-003</t>
        </is>
      </c>
      <c r="H102" s="7" t="inlineStr">
        <is>
          <t>AI làm</t>
        </is>
      </c>
      <c r="I102" s="7" t="inlineStr">
        <is>
          <t>CDS-12 tập 3</t>
        </is>
      </c>
      <c r="J102" s="7" t="inlineStr">
        <is>
          <t>code.integrate</t>
        </is>
      </c>
      <c r="K102" s="7" t="inlineStr">
        <is>
          <t>Chưa</t>
        </is>
      </c>
    </row>
    <row r="103">
      <c r="A103" s="4" t="inlineStr">
        <is>
          <t>WI-102</t>
        </is>
      </c>
      <c r="B103" s="4" t="inlineStr">
        <is>
          <t>Năng lực</t>
        </is>
      </c>
      <c r="C103" s="4" t="inlineStr">
        <is>
          <t>CODE-04 code.constant_guard — Hook: mọi hằng số phần cứng phải trỏ fact reviewed/verified</t>
        </is>
      </c>
      <c r="D103" s="4" t="inlineStr">
        <is>
          <t>M1</t>
        </is>
      </c>
      <c r="E103" s="4" t="inlineStr">
        <is>
          <t>M</t>
        </is>
      </c>
      <c r="F103" s="4" t="n">
        <v>0.5</v>
      </c>
      <c r="G103" s="4" t="inlineStr">
        <is>
          <t>WI-003</t>
        </is>
      </c>
      <c r="H103" s="4" t="inlineStr">
        <is>
          <t>AI làm</t>
        </is>
      </c>
      <c r="I103" s="4" t="inlineStr">
        <is>
          <t>CDS-12 tập 3</t>
        </is>
      </c>
      <c r="J103" s="4" t="inlineStr">
        <is>
          <t>code.constant_guard</t>
        </is>
      </c>
      <c r="K103" s="4" t="inlineStr">
        <is>
          <t>Chưa</t>
        </is>
      </c>
    </row>
    <row r="104">
      <c r="A104" s="7" t="inlineStr">
        <is>
          <t>WI-103</t>
        </is>
      </c>
      <c r="B104" s="7" t="inlineStr">
        <is>
          <t>Năng lực</t>
        </is>
      </c>
      <c r="C104" s="7" t="inlineStr">
        <is>
          <t>CODE-05 code.build — Biên dịch theo Pack; phân loại lỗi</t>
        </is>
      </c>
      <c r="D104" s="7" t="inlineStr">
        <is>
          <t>M2</t>
        </is>
      </c>
      <c r="E104" s="7" t="inlineStr">
        <is>
          <t>M</t>
        </is>
      </c>
      <c r="F104" s="7" t="n">
        <v>0.5</v>
      </c>
      <c r="G104" s="7" t="inlineStr">
        <is>
          <t>WI-003</t>
        </is>
      </c>
      <c r="H104" s="7" t="inlineStr">
        <is>
          <t>AI làm</t>
        </is>
      </c>
      <c r="I104" s="7" t="inlineStr">
        <is>
          <t>CDS-12 tập 3</t>
        </is>
      </c>
      <c r="J104" s="7" t="inlineStr">
        <is>
          <t>code.build</t>
        </is>
      </c>
      <c r="K104" s="7" t="inlineStr">
        <is>
          <t>Chưa</t>
        </is>
      </c>
    </row>
    <row r="105">
      <c r="A105" s="4" t="inlineStr">
        <is>
          <t>WI-104</t>
        </is>
      </c>
      <c r="B105" s="4" t="inlineStr">
        <is>
          <t>Năng lực</t>
        </is>
      </c>
      <c r="C105" s="4" t="inlineStr">
        <is>
          <t>CODE-06 code.size — Kiểm Flash/RAM so ràng buộc; phân tích .map</t>
        </is>
      </c>
      <c r="D105" s="4" t="inlineStr">
        <is>
          <t>M2</t>
        </is>
      </c>
      <c r="E105" s="4" t="inlineStr">
        <is>
          <t>M</t>
        </is>
      </c>
      <c r="F105" s="4" t="n">
        <v>0.5</v>
      </c>
      <c r="G105" s="4" t="inlineStr">
        <is>
          <t>WI-003</t>
        </is>
      </c>
      <c r="H105" s="4" t="inlineStr">
        <is>
          <t>AI làm</t>
        </is>
      </c>
      <c r="I105" s="4" t="inlineStr">
        <is>
          <t>CDS-12 tập 3</t>
        </is>
      </c>
      <c r="J105" s="4" t="inlineStr">
        <is>
          <t>code.size</t>
        </is>
      </c>
      <c r="K105" s="4" t="inlineStr">
        <is>
          <t>Chưa</t>
        </is>
      </c>
    </row>
    <row r="106">
      <c r="A106" s="7" t="inlineStr">
        <is>
          <t>WI-105</t>
        </is>
      </c>
      <c r="B106" s="7" t="inlineStr">
        <is>
          <t>Năng lực</t>
        </is>
      </c>
      <c r="C106" s="7" t="inlineStr">
        <is>
          <t>CODE-07 code.static — cppcheck/clang-tidy + quy tắc Pack (delay, malloc, float trong ISR)</t>
        </is>
      </c>
      <c r="D106" s="7" t="inlineStr">
        <is>
          <t>M2</t>
        </is>
      </c>
      <c r="E106" s="7" t="inlineStr">
        <is>
          <t>M</t>
        </is>
      </c>
      <c r="F106" s="7" t="n">
        <v>0.5</v>
      </c>
      <c r="G106" s="7" t="inlineStr">
        <is>
          <t>WI-003</t>
        </is>
      </c>
      <c r="H106" s="7" t="inlineStr">
        <is>
          <t>AI làm</t>
        </is>
      </c>
      <c r="I106" s="7" t="inlineStr">
        <is>
          <t>CDS-12 tập 3</t>
        </is>
      </c>
      <c r="J106" s="7" t="inlineStr">
        <is>
          <t>code.static</t>
        </is>
      </c>
      <c r="K106" s="7" t="inlineStr">
        <is>
          <t>Chưa</t>
        </is>
      </c>
    </row>
    <row r="107">
      <c r="A107" s="4" t="inlineStr">
        <is>
          <t>WI-106</t>
        </is>
      </c>
      <c r="B107" s="4" t="inlineStr">
        <is>
          <t>Năng lực</t>
        </is>
      </c>
      <c r="C107" s="4" t="inlineStr">
        <is>
          <t>CODE-08 code.test_host — Kiểm thử trên máy chủ với mock ngoại vi (ctypes)</t>
        </is>
      </c>
      <c r="D107" s="4" t="inlineStr">
        <is>
          <t>M2</t>
        </is>
      </c>
      <c r="E107" s="4" t="inlineStr">
        <is>
          <t>M</t>
        </is>
      </c>
      <c r="F107" s="4" t="n">
        <v>0.5</v>
      </c>
      <c r="G107" s="4" t="inlineStr">
        <is>
          <t>WI-003</t>
        </is>
      </c>
      <c r="H107" s="4" t="inlineStr">
        <is>
          <t>AI làm</t>
        </is>
      </c>
      <c r="I107" s="4" t="inlineStr">
        <is>
          <t>CDS-12 tập 3</t>
        </is>
      </c>
      <c r="J107" s="4" t="inlineStr">
        <is>
          <t>code.test_host</t>
        </is>
      </c>
      <c r="K107" s="4" t="inlineStr">
        <is>
          <t>Chưa</t>
        </is>
      </c>
    </row>
    <row r="108">
      <c r="A108" s="7" t="inlineStr">
        <is>
          <t>WI-107</t>
        </is>
      </c>
      <c r="B108" s="7" t="inlineStr">
        <is>
          <t>Năng lực</t>
        </is>
      </c>
      <c r="C108" s="7" t="inlineStr">
        <is>
          <t>CODE-09 code.generate_tests — Sinh unit test/kịch bản từ kỳ vọng Feature</t>
        </is>
      </c>
      <c r="D108" s="7" t="inlineStr">
        <is>
          <t>M2</t>
        </is>
      </c>
      <c r="E108" s="7" t="inlineStr">
        <is>
          <t>M</t>
        </is>
      </c>
      <c r="F108" s="7" t="n">
        <v>1</v>
      </c>
      <c r="G108" s="7" t="inlineStr">
        <is>
          <t>WI-003</t>
        </is>
      </c>
      <c r="H108" s="7" t="inlineStr">
        <is>
          <t>AI làm</t>
        </is>
      </c>
      <c r="I108" s="7" t="inlineStr">
        <is>
          <t>CDS-12 tập 3</t>
        </is>
      </c>
      <c r="J108" s="7" t="inlineStr">
        <is>
          <t>code.generate_tests</t>
        </is>
      </c>
      <c r="K108" s="7" t="inlineStr">
        <is>
          <t>Chưa</t>
        </is>
      </c>
    </row>
    <row r="109">
      <c r="A109" s="4" t="inlineStr">
        <is>
          <t>WI-108</t>
        </is>
      </c>
      <c r="B109" s="4" t="inlineStr">
        <is>
          <t>Năng lực</t>
        </is>
      </c>
      <c r="C109" s="4" t="inlineStr">
        <is>
          <t>CODE-10 code.self_repair — Tự sửa theo ToolReport ≤ 3 vòng</t>
        </is>
      </c>
      <c r="D109" s="4" t="inlineStr">
        <is>
          <t>M2</t>
        </is>
      </c>
      <c r="E109" s="4" t="inlineStr">
        <is>
          <t>M</t>
        </is>
      </c>
      <c r="F109" s="4" t="n">
        <v>1</v>
      </c>
      <c r="G109" s="4" t="inlineStr">
        <is>
          <t>WI-003</t>
        </is>
      </c>
      <c r="H109" s="4" t="inlineStr">
        <is>
          <t>AI làm</t>
        </is>
      </c>
      <c r="I109" s="4" t="inlineStr">
        <is>
          <t>CDS-12 tập 3</t>
        </is>
      </c>
      <c r="J109" s="4" t="inlineStr">
        <is>
          <t>code.self_repair</t>
        </is>
      </c>
      <c r="K109" s="4" t="inlineStr">
        <is>
          <t>Chưa</t>
        </is>
      </c>
    </row>
    <row r="110">
      <c r="A110" s="7" t="inlineStr">
        <is>
          <t>WI-109</t>
        </is>
      </c>
      <c r="B110" s="7" t="inlineStr">
        <is>
          <t>Năng lực</t>
        </is>
      </c>
      <c r="C110" s="7" t="inlineStr">
        <is>
          <t>CODE-11 code.review — Reviewer khác hãng chấm checklist</t>
        </is>
      </c>
      <c r="D110" s="7" t="inlineStr">
        <is>
          <t>M2</t>
        </is>
      </c>
      <c r="E110" s="7" t="inlineStr">
        <is>
          <t>M</t>
        </is>
      </c>
      <c r="F110" s="7" t="n">
        <v>0.5</v>
      </c>
      <c r="G110" s="7" t="inlineStr">
        <is>
          <t>WI-003</t>
        </is>
      </c>
      <c r="H110" s="7" t="inlineStr">
        <is>
          <t>AI làm</t>
        </is>
      </c>
      <c r="I110" s="7" t="inlineStr">
        <is>
          <t>CDS-12 tập 3</t>
        </is>
      </c>
      <c r="J110" s="7" t="inlineStr">
        <is>
          <t>code.review</t>
        </is>
      </c>
      <c r="K110" s="7" t="inlineStr">
        <is>
          <t>Chưa</t>
        </is>
      </c>
    </row>
    <row r="111">
      <c r="A111" s="4" t="inlineStr">
        <is>
          <t>WI-110</t>
        </is>
      </c>
      <c r="B111" s="4" t="inlineStr">
        <is>
          <t>Năng lực</t>
        </is>
      </c>
      <c r="C111" s="4" t="inlineStr">
        <is>
          <t>CODE-12 code.merge — Merge vào auto/ với commit truy vết; cửa sổ hoàn tác</t>
        </is>
      </c>
      <c r="D111" s="4" t="inlineStr">
        <is>
          <t>M2</t>
        </is>
      </c>
      <c r="E111" s="4" t="inlineStr">
        <is>
          <t>M</t>
        </is>
      </c>
      <c r="F111" s="4" t="n">
        <v>1</v>
      </c>
      <c r="G111" s="4" t="inlineStr">
        <is>
          <t>WI-003</t>
        </is>
      </c>
      <c r="H111" s="4" t="inlineStr">
        <is>
          <t>AI làm/người duyệt</t>
        </is>
      </c>
      <c r="I111" s="4" t="inlineStr">
        <is>
          <t>CDS-12 tập 3</t>
        </is>
      </c>
      <c r="J111" s="4" t="inlineStr">
        <is>
          <t>code.merge</t>
        </is>
      </c>
      <c r="K111" s="4" t="inlineStr">
        <is>
          <t>Chưa</t>
        </is>
      </c>
    </row>
    <row r="112">
      <c r="A112" s="7" t="inlineStr">
        <is>
          <t>WI-111</t>
        </is>
      </c>
      <c r="B112" s="7" t="inlineStr">
        <is>
          <t>Năng lực</t>
        </is>
      </c>
      <c r="C112" s="7" t="inlineStr">
        <is>
          <t>CODE-13 code.revert — Hoàn tác merge</t>
        </is>
      </c>
      <c r="D112" s="7" t="inlineStr">
        <is>
          <t>M2</t>
        </is>
      </c>
      <c r="E112" s="7" t="inlineStr">
        <is>
          <t>M</t>
        </is>
      </c>
      <c r="F112" s="7" t="n">
        <v>1</v>
      </c>
      <c r="G112" s="7" t="inlineStr">
        <is>
          <t>WI-003</t>
        </is>
      </c>
      <c r="H112" s="7" t="inlineStr">
        <is>
          <t>AI làm</t>
        </is>
      </c>
      <c r="I112" s="7" t="inlineStr">
        <is>
          <t>CDS-12 tập 3</t>
        </is>
      </c>
      <c r="J112" s="7" t="inlineStr">
        <is>
          <t>code.revert</t>
        </is>
      </c>
      <c r="K112" s="7" t="inlineStr">
        <is>
          <t>Chưa</t>
        </is>
      </c>
    </row>
    <row r="113">
      <c r="A113" s="4" t="inlineStr">
        <is>
          <t>WI-112</t>
        </is>
      </c>
      <c r="B113" s="4" t="inlineStr">
        <is>
          <t>Năng lực</t>
        </is>
      </c>
      <c r="C113" s="4" t="inlineStr">
        <is>
          <t>CODE-14 code.annotate — Gợi ý/chèn hkw:fact cho mã người viết</t>
        </is>
      </c>
      <c r="D113" s="4" t="inlineStr">
        <is>
          <t>M3</t>
        </is>
      </c>
      <c r="E113" s="4" t="inlineStr">
        <is>
          <t>S</t>
        </is>
      </c>
      <c r="F113" s="4" t="n">
        <v>1</v>
      </c>
      <c r="G113" s="4" t="inlineStr">
        <is>
          <t>WI-003</t>
        </is>
      </c>
      <c r="H113" s="4" t="inlineStr">
        <is>
          <t>AI làm</t>
        </is>
      </c>
      <c r="I113" s="4" t="inlineStr">
        <is>
          <t>CDS-12 tập 3</t>
        </is>
      </c>
      <c r="J113" s="4" t="inlineStr">
        <is>
          <t>code.annotate</t>
        </is>
      </c>
      <c r="K113" s="4" t="inlineStr">
        <is>
          <t>Chưa</t>
        </is>
      </c>
    </row>
    <row r="114">
      <c r="A114" s="7" t="inlineStr">
        <is>
          <t>WI-113</t>
        </is>
      </c>
      <c r="B114" s="7" t="inlineStr">
        <is>
          <t>Năng lực</t>
        </is>
      </c>
      <c r="C114" s="7" t="inlineStr">
        <is>
          <t>CODE-15 code.docs — Sinh tài liệu mã/README module có trích dẫn</t>
        </is>
      </c>
      <c r="D114" s="7" t="inlineStr">
        <is>
          <t>M3</t>
        </is>
      </c>
      <c r="E114" s="7" t="inlineStr">
        <is>
          <t>S</t>
        </is>
      </c>
      <c r="F114" s="7" t="n">
        <v>1</v>
      </c>
      <c r="G114" s="7" t="inlineStr">
        <is>
          <t>WI-003</t>
        </is>
      </c>
      <c r="H114" s="7" t="inlineStr">
        <is>
          <t>AI làm</t>
        </is>
      </c>
      <c r="I114" s="7" t="inlineStr">
        <is>
          <t>CDS-12 tập 3</t>
        </is>
      </c>
      <c r="J114" s="7" t="inlineStr">
        <is>
          <t>code.docs</t>
        </is>
      </c>
      <c r="K114" s="7" t="inlineStr">
        <is>
          <t>Chưa</t>
        </is>
      </c>
    </row>
    <row r="115">
      <c r="A115" s="4" t="inlineStr">
        <is>
          <t>WI-114</t>
        </is>
      </c>
      <c r="B115" s="4" t="inlineStr">
        <is>
          <t>Năng lực</t>
        </is>
      </c>
      <c r="C115" s="4" t="inlineStr">
        <is>
          <t>CODE-16 code.refactor — Tái cấu trúc theo quy ước repo, không đổi hành vi (kiểm bằng test)</t>
        </is>
      </c>
      <c r="D115" s="4" t="inlineStr">
        <is>
          <t>M3</t>
        </is>
      </c>
      <c r="E115" s="4" t="inlineStr">
        <is>
          <t>S</t>
        </is>
      </c>
      <c r="F115" s="4" t="n">
        <v>1</v>
      </c>
      <c r="G115" s="4" t="inlineStr">
        <is>
          <t>WI-003</t>
        </is>
      </c>
      <c r="H115" s="4" t="inlineStr">
        <is>
          <t>AI làm</t>
        </is>
      </c>
      <c r="I115" s="4" t="inlineStr">
        <is>
          <t>CDS-12 tập 3</t>
        </is>
      </c>
      <c r="J115" s="4" t="inlineStr">
        <is>
          <t>code.refactor</t>
        </is>
      </c>
      <c r="K115" s="4" t="inlineStr">
        <is>
          <t>Chưa</t>
        </is>
      </c>
    </row>
    <row r="116">
      <c r="A116" s="7" t="inlineStr">
        <is>
          <t>WI-115</t>
        </is>
      </c>
      <c r="B116" s="7" t="inlineStr">
        <is>
          <t>Năng lực</t>
        </is>
      </c>
      <c r="C116" s="7" t="inlineStr">
        <is>
          <t>SIM-01 sim.build_platform — Sinh mô tả nền tảng (Renode .repl / simavr / tự xây) từ hộ chiếu</t>
        </is>
      </c>
      <c r="D116" s="7" t="inlineStr">
        <is>
          <t>M3</t>
        </is>
      </c>
      <c r="E116" s="7" t="inlineStr">
        <is>
          <t>S</t>
        </is>
      </c>
      <c r="F116" s="7" t="n">
        <v>1.125</v>
      </c>
      <c r="G116" s="7" t="inlineStr">
        <is>
          <t>WI-003</t>
        </is>
      </c>
      <c r="H116" s="7" t="inlineStr">
        <is>
          <t>AI làm</t>
        </is>
      </c>
      <c r="I116" s="7" t="inlineStr">
        <is>
          <t>CDS-12 tập 4</t>
        </is>
      </c>
      <c r="J116" s="7" t="inlineStr">
        <is>
          <t>sim.build_platform</t>
        </is>
      </c>
      <c r="K116" s="7" t="inlineStr">
        <is>
          <t>Chưa</t>
        </is>
      </c>
    </row>
    <row r="117">
      <c r="A117" s="4" t="inlineStr">
        <is>
          <t>WI-116</t>
        </is>
      </c>
      <c r="B117" s="4" t="inlineStr">
        <is>
          <t>Năng lực</t>
        </is>
      </c>
      <c r="C117" s="4" t="inlineStr">
        <is>
          <t>SIM-02 sim.mock_peripheral — Mock ngoại vi ngoài theo datasheet (id, dữ liệu theo công thức)</t>
        </is>
      </c>
      <c r="D117" s="4" t="inlineStr">
        <is>
          <t>M3</t>
        </is>
      </c>
      <c r="E117" s="4" t="inlineStr">
        <is>
          <t>S</t>
        </is>
      </c>
      <c r="F117" s="4" t="n">
        <v>1.125</v>
      </c>
      <c r="G117" s="4" t="inlineStr">
        <is>
          <t>WI-003</t>
        </is>
      </c>
      <c r="H117" s="4" t="inlineStr">
        <is>
          <t>AI làm/người duyệt</t>
        </is>
      </c>
      <c r="I117" s="4" t="inlineStr">
        <is>
          <t>CDS-12 tập 4</t>
        </is>
      </c>
      <c r="J117" s="4" t="inlineStr">
        <is>
          <t>sim.mock_peripheral</t>
        </is>
      </c>
      <c r="K117" s="4" t="inlineStr">
        <is>
          <t>Chưa</t>
        </is>
      </c>
    </row>
    <row r="118">
      <c r="A118" s="7" t="inlineStr">
        <is>
          <t>WI-117</t>
        </is>
      </c>
      <c r="B118" s="7" t="inlineStr">
        <is>
          <t>Năng lực</t>
        </is>
      </c>
      <c r="C118" s="7" t="inlineStr">
        <is>
          <t>SIM-03 sim.model_plant — Mô hình động lực học (robot 2 bánh) với tham số có nguồn/tạm</t>
        </is>
      </c>
      <c r="D118" s="7" t="inlineStr">
        <is>
          <t>M3</t>
        </is>
      </c>
      <c r="E118" s="7" t="inlineStr">
        <is>
          <t>S</t>
        </is>
      </c>
      <c r="F118" s="7" t="n">
        <v>1.125</v>
      </c>
      <c r="G118" s="7" t="inlineStr">
        <is>
          <t>WI-003</t>
        </is>
      </c>
      <c r="H118" s="7" t="inlineStr">
        <is>
          <t>AI làm/người duyệt</t>
        </is>
      </c>
      <c r="I118" s="7" t="inlineStr">
        <is>
          <t>CDS-12 tập 4</t>
        </is>
      </c>
      <c r="J118" s="7" t="inlineStr">
        <is>
          <t>sim.model_plant</t>
        </is>
      </c>
      <c r="K118" s="7" t="inlineStr">
        <is>
          <t>Chưa</t>
        </is>
      </c>
    </row>
    <row r="119">
      <c r="A119" s="4" t="inlineStr">
        <is>
          <t>WI-118</t>
        </is>
      </c>
      <c r="B119" s="4" t="inlineStr">
        <is>
          <t>Năng lực</t>
        </is>
      </c>
      <c r="C119" s="4" t="inlineStr">
        <is>
          <t>SIM-04 sim.scenario — Sinh kịch bản từ kỳ vọng Feature (init, inject, expect)</t>
        </is>
      </c>
      <c r="D119" s="4" t="inlineStr">
        <is>
          <t>M3</t>
        </is>
      </c>
      <c r="E119" s="4" t="inlineStr">
        <is>
          <t>S</t>
        </is>
      </c>
      <c r="F119" s="4" t="n">
        <v>1.125</v>
      </c>
      <c r="G119" s="4" t="inlineStr">
        <is>
          <t>WI-003</t>
        </is>
      </c>
      <c r="H119" s="4" t="inlineStr">
        <is>
          <t>AI làm</t>
        </is>
      </c>
      <c r="I119" s="4" t="inlineStr">
        <is>
          <t>CDS-12 tập 4</t>
        </is>
      </c>
      <c r="J119" s="4" t="inlineStr">
        <is>
          <t>sim.scenario</t>
        </is>
      </c>
      <c r="K119" s="4" t="inlineStr">
        <is>
          <t>Chưa</t>
        </is>
      </c>
    </row>
    <row r="120">
      <c r="A120" s="7" t="inlineStr">
        <is>
          <t>WI-119</t>
        </is>
      </c>
      <c r="B120" s="7" t="inlineStr">
        <is>
          <t>Năng lực</t>
        </is>
      </c>
      <c r="C120" s="7" t="inlineStr">
        <is>
          <t>SIM-05 sim.run — Chạy firmware trên mô phỏng; bắt UART/GPIO/biến</t>
        </is>
      </c>
      <c r="D120" s="7" t="inlineStr">
        <is>
          <t>M3</t>
        </is>
      </c>
      <c r="E120" s="7" t="inlineStr">
        <is>
          <t>S</t>
        </is>
      </c>
      <c r="F120" s="7" t="n">
        <v>0.75</v>
      </c>
      <c r="G120" s="7" t="inlineStr">
        <is>
          <t>WI-003</t>
        </is>
      </c>
      <c r="H120" s="7" t="inlineStr">
        <is>
          <t>AI làm</t>
        </is>
      </c>
      <c r="I120" s="7" t="inlineStr">
        <is>
          <t>CDS-12 tập 4</t>
        </is>
      </c>
      <c r="J120" s="7" t="inlineStr">
        <is>
          <t>sim.run</t>
        </is>
      </c>
      <c r="K120" s="7" t="inlineStr">
        <is>
          <t>Chưa</t>
        </is>
      </c>
    </row>
    <row r="121">
      <c r="A121" s="4" t="inlineStr">
        <is>
          <t>WI-120</t>
        </is>
      </c>
      <c r="B121" s="4" t="inlineStr">
        <is>
          <t>Năng lực</t>
        </is>
      </c>
      <c r="C121" s="4" t="inlineStr">
        <is>
          <t>SIM-06 sim.sweep — Quét tham số (PID, tốc độ bus) trên mô phỏng</t>
        </is>
      </c>
      <c r="D121" s="4" t="inlineStr">
        <is>
          <t>M3</t>
        </is>
      </c>
      <c r="E121" s="4" t="inlineStr">
        <is>
          <t>S</t>
        </is>
      </c>
      <c r="F121" s="4" t="n">
        <v>0.75</v>
      </c>
      <c r="G121" s="4" t="inlineStr">
        <is>
          <t>WI-003</t>
        </is>
      </c>
      <c r="H121" s="4" t="inlineStr">
        <is>
          <t>AI làm</t>
        </is>
      </c>
      <c r="I121" s="4" t="inlineStr">
        <is>
          <t>CDS-12 tập 4</t>
        </is>
      </c>
      <c r="J121" s="4" t="inlineStr">
        <is>
          <t>sim.sweep</t>
        </is>
      </c>
      <c r="K121" s="4" t="inlineStr">
        <is>
          <t>Chưa</t>
        </is>
      </c>
    </row>
    <row r="122">
      <c r="A122" s="7" t="inlineStr">
        <is>
          <t>WI-121</t>
        </is>
      </c>
      <c r="B122" s="7" t="inlineStr">
        <is>
          <t>Năng lực</t>
        </is>
      </c>
      <c r="C122" s="7" t="inlineStr">
        <is>
          <t>SIM-07 sim.compare_hil — So kết quả SIL/HIL; đề xuất cập nhật mô hình</t>
        </is>
      </c>
      <c r="D122" s="7" t="inlineStr">
        <is>
          <t>M4</t>
        </is>
      </c>
      <c r="E122" s="7" t="inlineStr">
        <is>
          <t>S</t>
        </is>
      </c>
      <c r="F122" s="7" t="n">
        <v>0.75</v>
      </c>
      <c r="G122" s="7" t="inlineStr">
        <is>
          <t>WI-003</t>
        </is>
      </c>
      <c r="H122" s="7" t="inlineStr">
        <is>
          <t>AI làm</t>
        </is>
      </c>
      <c r="I122" s="7" t="inlineStr">
        <is>
          <t>CDS-12 tập 4</t>
        </is>
      </c>
      <c r="J122" s="7" t="inlineStr">
        <is>
          <t>sim.compare_hil</t>
        </is>
      </c>
      <c r="K122" s="7" t="inlineStr">
        <is>
          <t>Chưa</t>
        </is>
      </c>
    </row>
    <row r="123">
      <c r="A123" s="4" t="inlineStr">
        <is>
          <t>WI-122</t>
        </is>
      </c>
      <c r="B123" s="4" t="inlineStr">
        <is>
          <t>Năng lực</t>
        </is>
      </c>
      <c r="C123" s="4" t="inlineStr">
        <is>
          <t>TARGET-01 target.detect — Phát hiện board/probe/cổng serial; đọc ID</t>
        </is>
      </c>
      <c r="D123" s="4" t="inlineStr">
        <is>
          <t>M2</t>
        </is>
      </c>
      <c r="E123" s="4" t="inlineStr">
        <is>
          <t>M</t>
        </is>
      </c>
      <c r="F123" s="4" t="n">
        <v>0.5</v>
      </c>
      <c r="G123" s="4" t="inlineStr">
        <is>
          <t>WI-003</t>
        </is>
      </c>
      <c r="H123" s="4" t="inlineStr">
        <is>
          <t>AI làm</t>
        </is>
      </c>
      <c r="I123" s="4" t="inlineStr">
        <is>
          <t>CDS-12 tập 4</t>
        </is>
      </c>
      <c r="J123" s="4" t="inlineStr">
        <is>
          <t>target.detect</t>
        </is>
      </c>
      <c r="K123" s="4" t="inlineStr">
        <is>
          <t>Chưa</t>
        </is>
      </c>
    </row>
    <row r="124">
      <c r="A124" s="7" t="inlineStr">
        <is>
          <t>WI-123</t>
        </is>
      </c>
      <c r="B124" s="7" t="inlineStr">
        <is>
          <t>Năng lực</t>
        </is>
      </c>
      <c r="C124" s="7" t="inlineStr">
        <is>
          <t>TARGET-02 target.flash — Nạp + verify qua adapter ISA</t>
        </is>
      </c>
      <c r="D124" s="7" t="inlineStr">
        <is>
          <t>M2</t>
        </is>
      </c>
      <c r="E124" s="7" t="inlineStr">
        <is>
          <t>M</t>
        </is>
      </c>
      <c r="F124" s="7" t="n">
        <v>1</v>
      </c>
      <c r="G124" s="7" t="inlineStr">
        <is>
          <t>WI-003</t>
        </is>
      </c>
      <c r="H124" s="7" t="inlineStr">
        <is>
          <t>AI làm/người duyệt</t>
        </is>
      </c>
      <c r="I124" s="7" t="inlineStr">
        <is>
          <t>CDS-12 tập 4</t>
        </is>
      </c>
      <c r="J124" s="7" t="inlineStr">
        <is>
          <t>target.flash</t>
        </is>
      </c>
      <c r="K124" s="7" t="inlineStr">
        <is>
          <t>Chưa</t>
        </is>
      </c>
    </row>
    <row r="125">
      <c r="A125" s="4" t="inlineStr">
        <is>
          <t>WI-124</t>
        </is>
      </c>
      <c r="B125" s="4" t="inlineStr">
        <is>
          <t>Năng lực</t>
        </is>
      </c>
      <c r="C125" s="4" t="inlineStr">
        <is>
          <t>TARGET-03 target.reset — Reset board</t>
        </is>
      </c>
      <c r="D125" s="4" t="inlineStr">
        <is>
          <t>M2</t>
        </is>
      </c>
      <c r="E125" s="4" t="inlineStr">
        <is>
          <t>M</t>
        </is>
      </c>
      <c r="F125" s="4" t="n">
        <v>1</v>
      </c>
      <c r="G125" s="4" t="inlineStr">
        <is>
          <t>WI-003</t>
        </is>
      </c>
      <c r="H125" s="4" t="inlineStr">
        <is>
          <t>AI làm</t>
        </is>
      </c>
      <c r="I125" s="4" t="inlineStr">
        <is>
          <t>CDS-12 tập 4</t>
        </is>
      </c>
      <c r="J125" s="4" t="inlineStr">
        <is>
          <t>target.reset</t>
        </is>
      </c>
      <c r="K125" s="4" t="inlineStr">
        <is>
          <t>Chưa</t>
        </is>
      </c>
    </row>
    <row r="126">
      <c r="A126" s="7" t="inlineStr">
        <is>
          <t>WI-125</t>
        </is>
      </c>
      <c r="B126" s="7" t="inlineStr">
        <is>
          <t>Năng lực</t>
        </is>
      </c>
      <c r="C126" s="7" t="inlineStr">
        <is>
          <t>TARGET-04 target.serial — Mở/đọc/ghi/expect serial đa cổng; ghi JSONL</t>
        </is>
      </c>
      <c r="D126" s="7" t="inlineStr">
        <is>
          <t>M2</t>
        </is>
      </c>
      <c r="E126" s="7" t="inlineStr">
        <is>
          <t>M</t>
        </is>
      </c>
      <c r="F126" s="7" t="n">
        <v>0.5</v>
      </c>
      <c r="G126" s="7" t="inlineStr">
        <is>
          <t>WI-003</t>
        </is>
      </c>
      <c r="H126" s="7" t="inlineStr">
        <is>
          <t>AI làm</t>
        </is>
      </c>
      <c r="I126" s="7" t="inlineStr">
        <is>
          <t>CDS-12 tập 4</t>
        </is>
      </c>
      <c r="J126" s="7" t="inlineStr">
        <is>
          <t>target.serial</t>
        </is>
      </c>
      <c r="K126" s="7" t="inlineStr">
        <is>
          <t>Chưa</t>
        </is>
      </c>
    </row>
    <row r="127">
      <c r="A127" s="4" t="inlineStr">
        <is>
          <t>WI-126</t>
        </is>
      </c>
      <c r="B127" s="4" t="inlineStr">
        <is>
          <t>Năng lực</t>
        </is>
      </c>
      <c r="C127" s="4" t="inlineStr">
        <is>
          <t>TARGET-05 target.probe_read — halt/step/read_memory/read_registers/breakpoint (đọc)</t>
        </is>
      </c>
      <c r="D127" s="4" t="inlineStr">
        <is>
          <t>M3</t>
        </is>
      </c>
      <c r="E127" s="4" t="inlineStr">
        <is>
          <t>S</t>
        </is>
      </c>
      <c r="F127" s="4" t="n">
        <v>0.5</v>
      </c>
      <c r="G127" s="4" t="inlineStr">
        <is>
          <t>WI-003</t>
        </is>
      </c>
      <c r="H127" s="4" t="inlineStr">
        <is>
          <t>AI làm</t>
        </is>
      </c>
      <c r="I127" s="4" t="inlineStr">
        <is>
          <t>CDS-12 tập 4</t>
        </is>
      </c>
      <c r="J127" s="4" t="inlineStr">
        <is>
          <t>target.probe_read</t>
        </is>
      </c>
      <c r="K127" s="4" t="inlineStr">
        <is>
          <t>Chưa</t>
        </is>
      </c>
    </row>
    <row r="128">
      <c r="A128" s="7" t="inlineStr">
        <is>
          <t>WI-127</t>
        </is>
      </c>
      <c r="B128" s="7" t="inlineStr">
        <is>
          <t>Năng lực</t>
        </is>
      </c>
      <c r="C128" s="7" t="inlineStr">
        <is>
          <t>TARGET-06 target.probe_write — write_memory/RTT write</t>
        </is>
      </c>
      <c r="D128" s="7" t="inlineStr">
        <is>
          <t>M3</t>
        </is>
      </c>
      <c r="E128" s="7" t="inlineStr">
        <is>
          <t>S</t>
        </is>
      </c>
      <c r="F128" s="7" t="n">
        <v>1</v>
      </c>
      <c r="G128" s="7" t="inlineStr">
        <is>
          <t>WI-003</t>
        </is>
      </c>
      <c r="H128" s="7" t="inlineStr">
        <is>
          <t>AI làm/người duyệt</t>
        </is>
      </c>
      <c r="I128" s="7" t="inlineStr">
        <is>
          <t>CDS-12 tập 4</t>
        </is>
      </c>
      <c r="J128" s="7" t="inlineStr">
        <is>
          <t>target.probe_write</t>
        </is>
      </c>
      <c r="K128" s="7" t="inlineStr">
        <is>
          <t>Chưa</t>
        </is>
      </c>
    </row>
    <row r="129">
      <c r="A129" s="4" t="inlineStr">
        <is>
          <t>WI-128</t>
        </is>
      </c>
      <c r="B129" s="4" t="inlineStr">
        <is>
          <t>Năng lực</t>
        </is>
      </c>
      <c r="C129" s="4" t="inlineStr">
        <is>
          <t>TARGET-07 target.erase_fuse — Xóa flash toàn bộ, ghi fuse/option byte</t>
        </is>
      </c>
      <c r="D129" s="4" t="inlineStr">
        <is>
          <t>M3</t>
        </is>
      </c>
      <c r="E129" s="4" t="inlineStr">
        <is>
          <t>S</t>
        </is>
      </c>
      <c r="F129" s="4" t="n">
        <v>0.75</v>
      </c>
      <c r="G129" s="4" t="inlineStr">
        <is>
          <t>WI-003</t>
        </is>
      </c>
      <c r="H129" s="4" t="inlineStr">
        <is>
          <t>AI làm/người duyệt</t>
        </is>
      </c>
      <c r="I129" s="4" t="inlineStr">
        <is>
          <t>CDS-12 tập 4</t>
        </is>
      </c>
      <c r="J129" s="4" t="inlineStr">
        <is>
          <t>target.erase_fuse</t>
        </is>
      </c>
      <c r="K129" s="4" t="inlineStr">
        <is>
          <t>Chưa</t>
        </is>
      </c>
    </row>
    <row r="130">
      <c r="A130" s="7" t="inlineStr">
        <is>
          <t>WI-129</t>
        </is>
      </c>
      <c r="B130" s="7" t="inlineStr">
        <is>
          <t>Năng lực</t>
        </is>
      </c>
      <c r="C130" s="7" t="inlineStr">
        <is>
          <t>TARGET-08 target.diagnose_fault — Đọc thanh ghi lỗi, unwind stack, ánh xạ dòng mã</t>
        </is>
      </c>
      <c r="D130" s="7" t="inlineStr">
        <is>
          <t>M3</t>
        </is>
      </c>
      <c r="E130" s="7" t="inlineStr">
        <is>
          <t>S</t>
        </is>
      </c>
      <c r="F130" s="7" t="n">
        <v>0.5</v>
      </c>
      <c r="G130" s="7" t="inlineStr">
        <is>
          <t>WI-003</t>
        </is>
      </c>
      <c r="H130" s="7" t="inlineStr">
        <is>
          <t>AI làm</t>
        </is>
      </c>
      <c r="I130" s="7" t="inlineStr">
        <is>
          <t>CDS-12 tập 4</t>
        </is>
      </c>
      <c r="J130" s="7" t="inlineStr">
        <is>
          <t>target.diagnose_fault</t>
        </is>
      </c>
      <c r="K130" s="7" t="inlineStr">
        <is>
          <t>Chưa</t>
        </is>
      </c>
    </row>
    <row r="131">
      <c r="A131" s="4" t="inlineStr">
        <is>
          <t>WI-130</t>
        </is>
      </c>
      <c r="B131" s="4" t="inlineStr">
        <is>
          <t>Năng lực</t>
        </is>
      </c>
      <c r="C131" s="4" t="inlineStr">
        <is>
          <t>TARGET-09 target.observe — Chạy kỳ vọng quan sát bằng máy (serial expect, probe, LA, camera)</t>
        </is>
      </c>
      <c r="D131" s="4" t="inlineStr">
        <is>
          <t>M2</t>
        </is>
      </c>
      <c r="E131" s="4" t="inlineStr">
        <is>
          <t>M</t>
        </is>
      </c>
      <c r="F131" s="4" t="n">
        <v>0.5</v>
      </c>
      <c r="G131" s="4" t="inlineStr">
        <is>
          <t>WI-003</t>
        </is>
      </c>
      <c r="H131" s="4" t="inlineStr">
        <is>
          <t>AI làm</t>
        </is>
      </c>
      <c r="I131" s="4" t="inlineStr">
        <is>
          <t>CDS-12 tập 4</t>
        </is>
      </c>
      <c r="J131" s="4" t="inlineStr">
        <is>
          <t>target.observe</t>
        </is>
      </c>
      <c r="K131" s="4" t="inlineStr">
        <is>
          <t>Chưa</t>
        </is>
      </c>
    </row>
    <row r="132">
      <c r="A132" s="7" t="inlineStr">
        <is>
          <t>WI-131</t>
        </is>
      </c>
      <c r="B132" s="7" t="inlineStr">
        <is>
          <t>Năng lực</t>
        </is>
      </c>
      <c r="C132" s="7" t="inlineStr">
        <is>
          <t>DEBUG-01 debug.log_stats — Thống kê log lớn (GEditor): mẫu lặp, khoảng thời gian, mức</t>
        </is>
      </c>
      <c r="D132" s="7" t="inlineStr">
        <is>
          <t>M3</t>
        </is>
      </c>
      <c r="E132" s="7" t="inlineStr">
        <is>
          <t>S</t>
        </is>
      </c>
      <c r="F132" s="7" t="n">
        <v>0.5</v>
      </c>
      <c r="G132" s="7" t="inlineStr">
        <is>
          <t>WI-003</t>
        </is>
      </c>
      <c r="H132" s="7" t="inlineStr">
        <is>
          <t>AI làm</t>
        </is>
      </c>
      <c r="I132" s="7" t="inlineStr">
        <is>
          <t>CDS-12 tập 4</t>
        </is>
      </c>
      <c r="J132" s="7" t="inlineStr">
        <is>
          <t>debug.log_stats</t>
        </is>
      </c>
      <c r="K132" s="7" t="inlineStr">
        <is>
          <t>Chưa</t>
        </is>
      </c>
    </row>
    <row r="133">
      <c r="A133" s="4" t="inlineStr">
        <is>
          <t>WI-132</t>
        </is>
      </c>
      <c r="B133" s="4" t="inlineStr">
        <is>
          <t>Năng lực</t>
        </is>
      </c>
      <c r="C133" s="4" t="inlineStr">
        <is>
          <t>DEBUG-02 debug.ask_at — Hỏi tại dòng: ngữ cảnh = vùng log + stats + hộ chiếu + mã liên quan</t>
        </is>
      </c>
      <c r="D133" s="4" t="inlineStr">
        <is>
          <t>M3</t>
        </is>
      </c>
      <c r="E133" s="4" t="inlineStr">
        <is>
          <t>S</t>
        </is>
      </c>
      <c r="F133" s="4" t="n">
        <v>0.5</v>
      </c>
      <c r="G133" s="4" t="inlineStr">
        <is>
          <t>WI-003</t>
        </is>
      </c>
      <c r="H133" s="4" t="inlineStr">
        <is>
          <t>AI làm</t>
        </is>
      </c>
      <c r="I133" s="4" t="inlineStr">
        <is>
          <t>CDS-12 tập 4</t>
        </is>
      </c>
      <c r="J133" s="4" t="inlineStr">
        <is>
          <t>debug.ask_at</t>
        </is>
      </c>
      <c r="K133" s="4" t="inlineStr">
        <is>
          <t>Chưa</t>
        </is>
      </c>
    </row>
    <row r="134">
      <c r="A134" s="7" t="inlineStr">
        <is>
          <t>WI-133</t>
        </is>
      </c>
      <c r="B134" s="7" t="inlineStr">
        <is>
          <t>Năng lực</t>
        </is>
      </c>
      <c r="C134" s="7" t="inlineStr">
        <is>
          <t>DEBUG-03 debug.hypothesize — Giả thuyết xếp hạng + thí nghiệm phân biệt</t>
        </is>
      </c>
      <c r="D134" s="7" t="inlineStr">
        <is>
          <t>M3</t>
        </is>
      </c>
      <c r="E134" s="7" t="inlineStr">
        <is>
          <t>S</t>
        </is>
      </c>
      <c r="F134" s="7" t="n">
        <v>0.5</v>
      </c>
      <c r="G134" s="7" t="inlineStr">
        <is>
          <t>WI-003</t>
        </is>
      </c>
      <c r="H134" s="7" t="inlineStr">
        <is>
          <t>AI làm</t>
        </is>
      </c>
      <c r="I134" s="7" t="inlineStr">
        <is>
          <t>CDS-12 tập 4</t>
        </is>
      </c>
      <c r="J134" s="7" t="inlineStr">
        <is>
          <t>debug.hypothesize</t>
        </is>
      </c>
      <c r="K134" s="7" t="inlineStr">
        <is>
          <t>Chưa</t>
        </is>
      </c>
    </row>
    <row r="135">
      <c r="A135" s="4" t="inlineStr">
        <is>
          <t>WI-134</t>
        </is>
      </c>
      <c r="B135" s="4" t="inlineStr">
        <is>
          <t>Năng lực</t>
        </is>
      </c>
      <c r="C135" s="4" t="inlineStr">
        <is>
          <t>DEBUG-04 debug.experiment — Chạy thí nghiệm (probe/test firmware) theo chính sách</t>
        </is>
      </c>
      <c r="D135" s="4" t="inlineStr">
        <is>
          <t>M3</t>
        </is>
      </c>
      <c r="E135" s="4" t="inlineStr">
        <is>
          <t>S</t>
        </is>
      </c>
      <c r="F135" s="4" t="n">
        <v>1</v>
      </c>
      <c r="G135" s="4" t="inlineStr">
        <is>
          <t>WI-003</t>
        </is>
      </c>
      <c r="H135" s="4" t="inlineStr">
        <is>
          <t>AI làm/người duyệt</t>
        </is>
      </c>
      <c r="I135" s="4" t="inlineStr">
        <is>
          <t>CDS-12 tập 4</t>
        </is>
      </c>
      <c r="J135" s="4" t="inlineStr">
        <is>
          <t>debug.experiment</t>
        </is>
      </c>
      <c r="K135" s="4" t="inlineStr">
        <is>
          <t>Chưa</t>
        </is>
      </c>
    </row>
    <row r="136">
      <c r="A136" s="7" t="inlineStr">
        <is>
          <t>WI-135</t>
        </is>
      </c>
      <c r="B136" s="7" t="inlineStr">
        <is>
          <t>Năng lực</t>
        </is>
      </c>
      <c r="C136" s="7" t="inlineStr">
        <is>
          <t>DEBUG-05 debug.save_session — Lưu DebugSession gắn fact/mã/log; ghi sổ lỗi</t>
        </is>
      </c>
      <c r="D136" s="7" t="inlineStr">
        <is>
          <t>M3</t>
        </is>
      </c>
      <c r="E136" s="7" t="inlineStr">
        <is>
          <t>S</t>
        </is>
      </c>
      <c r="F136" s="7" t="n">
        <v>0.75</v>
      </c>
      <c r="G136" s="7" t="inlineStr">
        <is>
          <t>WI-003</t>
        </is>
      </c>
      <c r="H136" s="7" t="inlineStr">
        <is>
          <t>AI làm</t>
        </is>
      </c>
      <c r="I136" s="7" t="inlineStr">
        <is>
          <t>CDS-12 tập 4</t>
        </is>
      </c>
      <c r="J136" s="7" t="inlineStr">
        <is>
          <t>debug.save_session</t>
        </is>
      </c>
      <c r="K136" s="7" t="inlineStr">
        <is>
          <t>Chưa</t>
        </is>
      </c>
    </row>
    <row r="137">
      <c r="A137" s="4" t="inlineStr">
        <is>
          <t>WI-136</t>
        </is>
      </c>
      <c r="B137" s="4" t="inlineStr">
        <is>
          <t>Năng lực</t>
        </is>
      </c>
      <c r="C137" s="4" t="inlineStr">
        <is>
          <t>DEBUG-06 debug.propose_fix — Đề xuất sửa: mã (→ STEP), ràng buộc (→ K6), phần cứng (→ người)</t>
        </is>
      </c>
      <c r="D137" s="4" t="inlineStr">
        <is>
          <t>M3</t>
        </is>
      </c>
      <c r="E137" s="4" t="inlineStr">
        <is>
          <t>S</t>
        </is>
      </c>
      <c r="F137" s="4" t="n">
        <v>0.5</v>
      </c>
      <c r="G137" s="4" t="inlineStr">
        <is>
          <t>WI-003</t>
        </is>
      </c>
      <c r="H137" s="4" t="inlineStr">
        <is>
          <t>AI làm</t>
        </is>
      </c>
      <c r="I137" s="4" t="inlineStr">
        <is>
          <t>CDS-12 tập 4</t>
        </is>
      </c>
      <c r="J137" s="4" t="inlineStr">
        <is>
          <t>debug.propose_fix</t>
        </is>
      </c>
      <c r="K137" s="4" t="inlineStr">
        <is>
          <t>Chưa</t>
        </is>
      </c>
    </row>
    <row r="138">
      <c r="A138" s="7" t="inlineStr">
        <is>
          <t>WI-137</t>
        </is>
      </c>
      <c r="B138" s="7" t="inlineStr">
        <is>
          <t>Năng lực</t>
        </is>
      </c>
      <c r="C138" s="7" t="inlineStr">
        <is>
          <t>MEASURE-01 measure.capture_signal — sigrok: bắt và decode I2C/SPI/UART</t>
        </is>
      </c>
      <c r="D138" s="7" t="inlineStr">
        <is>
          <t>M5</t>
        </is>
      </c>
      <c r="E138" s="7" t="inlineStr">
        <is>
          <t>S</t>
        </is>
      </c>
      <c r="F138" s="7" t="n">
        <v>0.5</v>
      </c>
      <c r="G138" s="7" t="inlineStr">
        <is>
          <t>WI-003</t>
        </is>
      </c>
      <c r="H138" s="7" t="inlineStr">
        <is>
          <t>AI làm</t>
        </is>
      </c>
      <c r="I138" s="7" t="inlineStr">
        <is>
          <t>CDS-12 tập 4</t>
        </is>
      </c>
      <c r="J138" s="7" t="inlineStr">
        <is>
          <t>measure.capture_signal</t>
        </is>
      </c>
      <c r="K138" s="7" t="inlineStr">
        <is>
          <t>Chưa</t>
        </is>
      </c>
    </row>
    <row r="139">
      <c r="A139" s="4" t="inlineStr">
        <is>
          <t>WI-138</t>
        </is>
      </c>
      <c r="B139" s="4" t="inlineStr">
        <is>
          <t>Năng lực</t>
        </is>
      </c>
      <c r="C139" s="4" t="inlineStr">
        <is>
          <t>MEASURE-02 measure.power — INA2xx/PPK2: dòng/năng lượng theo mốc GPIO</t>
        </is>
      </c>
      <c r="D139" s="4" t="inlineStr">
        <is>
          <t>M5</t>
        </is>
      </c>
      <c r="E139" s="4" t="inlineStr">
        <is>
          <t>S</t>
        </is>
      </c>
      <c r="F139" s="4" t="n">
        <v>0.5</v>
      </c>
      <c r="G139" s="4" t="inlineStr">
        <is>
          <t>WI-003</t>
        </is>
      </c>
      <c r="H139" s="4" t="inlineStr">
        <is>
          <t>AI làm</t>
        </is>
      </c>
      <c r="I139" s="4" t="inlineStr">
        <is>
          <t>CDS-12 tập 4</t>
        </is>
      </c>
      <c r="J139" s="4" t="inlineStr">
        <is>
          <t>measure.power</t>
        </is>
      </c>
      <c r="K139" s="4" t="inlineStr">
        <is>
          <t>Chưa</t>
        </is>
      </c>
    </row>
    <row r="140">
      <c r="A140" s="7" t="inlineStr">
        <is>
          <t>WI-139</t>
        </is>
      </c>
      <c r="B140" s="7" t="inlineStr">
        <is>
          <t>Năng lực</t>
        </is>
      </c>
      <c r="C140" s="7" t="inlineStr">
        <is>
          <t>MEASURE-03 measure.sync — Đồng bộ thời gian log ↔ waveform ↔ số đo</t>
        </is>
      </c>
      <c r="D140" s="7" t="inlineStr">
        <is>
          <t>M5</t>
        </is>
      </c>
      <c r="E140" s="7" t="inlineStr">
        <is>
          <t>S</t>
        </is>
      </c>
      <c r="F140" s="7" t="n">
        <v>0.5</v>
      </c>
      <c r="G140" s="7" t="inlineStr">
        <is>
          <t>WI-003</t>
        </is>
      </c>
      <c r="H140" s="7" t="inlineStr">
        <is>
          <t>AI làm</t>
        </is>
      </c>
      <c r="I140" s="7" t="inlineStr">
        <is>
          <t>CDS-12 tập 4</t>
        </is>
      </c>
      <c r="J140" s="7" t="inlineStr">
        <is>
          <t>measure.sync</t>
        </is>
      </c>
      <c r="K140" s="7" t="inlineStr">
        <is>
          <t>Chưa</t>
        </is>
      </c>
    </row>
    <row r="141">
      <c r="A141" s="4" t="inlineStr">
        <is>
          <t>WI-140</t>
        </is>
      </c>
      <c r="B141" s="4" t="inlineStr">
        <is>
          <t>Năng lực</t>
        </is>
      </c>
      <c r="C141" s="4" t="inlineStr">
        <is>
          <t>BENCH-01 bench.run — Chạy bộ tác vụ CF/BF/BC theo mô hình/skill</t>
        </is>
      </c>
      <c r="D141" s="4" t="inlineStr">
        <is>
          <t>M2</t>
        </is>
      </c>
      <c r="E141" s="4" t="inlineStr">
        <is>
          <t>M</t>
        </is>
      </c>
      <c r="F141" s="4" t="n">
        <v>1</v>
      </c>
      <c r="G141" s="4" t="inlineStr">
        <is>
          <t>WI-003</t>
        </is>
      </c>
      <c r="H141" s="4" t="inlineStr">
        <is>
          <t>AI làm</t>
        </is>
      </c>
      <c r="I141" s="4" t="inlineStr">
        <is>
          <t>CDS-12 tập 4</t>
        </is>
      </c>
      <c r="J141" s="4" t="inlineStr">
        <is>
          <t>bench.run</t>
        </is>
      </c>
      <c r="K141" s="4" t="inlineStr">
        <is>
          <t>Chưa</t>
        </is>
      </c>
    </row>
    <row r="142">
      <c r="A142" s="7" t="inlineStr">
        <is>
          <t>WI-141</t>
        </is>
      </c>
      <c r="B142" s="7" t="inlineStr">
        <is>
          <t>Năng lực</t>
        </is>
      </c>
      <c r="C142" s="7" t="inlineStr">
        <is>
          <t>BENCH-02 bench.badge — Gắn huy hiệu verified/bench cho gói</t>
        </is>
      </c>
      <c r="D142" s="7" t="inlineStr">
        <is>
          <t>M2</t>
        </is>
      </c>
      <c r="E142" s="7" t="inlineStr">
        <is>
          <t>M</t>
        </is>
      </c>
      <c r="F142" s="7" t="n">
        <v>0.75</v>
      </c>
      <c r="G142" s="7" t="inlineStr">
        <is>
          <t>WI-003</t>
        </is>
      </c>
      <c r="H142" s="7" t="inlineStr">
        <is>
          <t>AI làm</t>
        </is>
      </c>
      <c r="I142" s="7" t="inlineStr">
        <is>
          <t>CDS-12 tập 4</t>
        </is>
      </c>
      <c r="J142" s="7" t="inlineStr">
        <is>
          <t>bench.badge</t>
        </is>
      </c>
      <c r="K142" s="7" t="inlineStr">
        <is>
          <t>Chưa</t>
        </is>
      </c>
    </row>
    <row r="143">
      <c r="A143" s="4" t="inlineStr">
        <is>
          <t>WI-142</t>
        </is>
      </c>
      <c r="B143" s="4" t="inlineStr">
        <is>
          <t>Năng lực</t>
        </is>
      </c>
      <c r="C143" s="4" t="inlineStr">
        <is>
          <t>BENCH-03 bench.suggest_skill_fix — Từ ca lỗi đề xuất sửa skill (chờ Pack owner)</t>
        </is>
      </c>
      <c r="D143" s="4" t="inlineStr">
        <is>
          <t>M2</t>
        </is>
      </c>
      <c r="E143" s="4" t="inlineStr">
        <is>
          <t>M</t>
        </is>
      </c>
      <c r="F143" s="4" t="n">
        <v>0.75</v>
      </c>
      <c r="G143" s="4" t="inlineStr">
        <is>
          <t>WI-003</t>
        </is>
      </c>
      <c r="H143" s="4" t="inlineStr">
        <is>
          <t>AI làm/người duyệt</t>
        </is>
      </c>
      <c r="I143" s="4" t="inlineStr">
        <is>
          <t>CDS-12 tập 4</t>
        </is>
      </c>
      <c r="J143" s="4" t="inlineStr">
        <is>
          <t>bench.suggest_skill_fix</t>
        </is>
      </c>
      <c r="K143" s="4" t="inlineStr">
        <is>
          <t>Chưa</t>
        </is>
      </c>
    </row>
    <row r="144">
      <c r="A144" s="7" t="inlineStr">
        <is>
          <t>WI-143</t>
        </is>
      </c>
      <c r="B144" s="7" t="inlineStr">
        <is>
          <t>Năng lực</t>
        </is>
      </c>
      <c r="C144" s="7" t="inlineStr">
        <is>
          <t>REGISTRY-01 registry.search — Tìm gói theo id/mpn/từ khóa</t>
        </is>
      </c>
      <c r="D144" s="7" t="inlineStr">
        <is>
          <t>M4</t>
        </is>
      </c>
      <c r="E144" s="7" t="inlineStr">
        <is>
          <t>S</t>
        </is>
      </c>
      <c r="F144" s="7" t="n">
        <v>0.5</v>
      </c>
      <c r="G144" s="7" t="inlineStr">
        <is>
          <t>WI-003</t>
        </is>
      </c>
      <c r="H144" s="7" t="inlineStr">
        <is>
          <t>AI làm</t>
        </is>
      </c>
      <c r="I144" s="7" t="inlineStr">
        <is>
          <t>CDS-12 tập 5</t>
        </is>
      </c>
      <c r="J144" s="7" t="inlineStr">
        <is>
          <t>registry.search</t>
        </is>
      </c>
      <c r="K144" s="7" t="inlineStr">
        <is>
          <t>Chưa</t>
        </is>
      </c>
    </row>
    <row r="145">
      <c r="A145" s="4" t="inlineStr">
        <is>
          <t>WI-144</t>
        </is>
      </c>
      <c r="B145" s="4" t="inlineStr">
        <is>
          <t>Năng lực</t>
        </is>
      </c>
      <c r="C145" s="4" t="inlineStr">
        <is>
          <t>REGISTRY-02 registry.pull — Kiểm chữ ký; nạp gói vào store; ghim</t>
        </is>
      </c>
      <c r="D145" s="4" t="inlineStr">
        <is>
          <t>M4</t>
        </is>
      </c>
      <c r="E145" s="4" t="inlineStr">
        <is>
          <t>S</t>
        </is>
      </c>
      <c r="F145" s="4" t="n">
        <v>0.75</v>
      </c>
      <c r="G145" s="4" t="inlineStr">
        <is>
          <t>WI-003</t>
        </is>
      </c>
      <c r="H145" s="4" t="inlineStr">
        <is>
          <t>AI làm</t>
        </is>
      </c>
      <c r="I145" s="4" t="inlineStr">
        <is>
          <t>CDS-12 tập 5</t>
        </is>
      </c>
      <c r="J145" s="4" t="inlineStr">
        <is>
          <t>registry.pull</t>
        </is>
      </c>
      <c r="K145" s="4" t="inlineStr">
        <is>
          <t>Chưa</t>
        </is>
      </c>
    </row>
    <row r="146">
      <c r="A146" s="7" t="inlineStr">
        <is>
          <t>WI-145</t>
        </is>
      </c>
      <c r="B146" s="7" t="inlineStr">
        <is>
          <t>Năng lực</t>
        </is>
      </c>
      <c r="C146" s="7" t="inlineStr">
        <is>
          <t>REGISTRY-03 registry.pack — Đóng gói .hkp (fact + con trỏ nguồn, skill, bench, badge); kiểm licens</t>
        </is>
      </c>
      <c r="D146" s="7" t="inlineStr">
        <is>
          <t>M4</t>
        </is>
      </c>
      <c r="E146" s="7" t="inlineStr">
        <is>
          <t>S</t>
        </is>
      </c>
      <c r="F146" s="7" t="n">
        <v>0.75</v>
      </c>
      <c r="G146" s="7" t="inlineStr">
        <is>
          <t>WI-003</t>
        </is>
      </c>
      <c r="H146" s="7" t="inlineStr">
        <is>
          <t>AI làm</t>
        </is>
      </c>
      <c r="I146" s="7" t="inlineStr">
        <is>
          <t>CDS-12 tập 5</t>
        </is>
      </c>
      <c r="J146" s="7" t="inlineStr">
        <is>
          <t>registry.pack</t>
        </is>
      </c>
      <c r="K146" s="7" t="inlineStr">
        <is>
          <t>Chưa</t>
        </is>
      </c>
    </row>
    <row r="147">
      <c r="A147" s="4" t="inlineStr">
        <is>
          <t>WI-146</t>
        </is>
      </c>
      <c r="B147" s="4" t="inlineStr">
        <is>
          <t>Năng lực</t>
        </is>
      </c>
      <c r="C147" s="4" t="inlineStr">
        <is>
          <t>REGISTRY-04 registry.publish — Ký và phát hành (nội bộ tự động; công khai hỏi)</t>
        </is>
      </c>
      <c r="D147" s="4" t="inlineStr">
        <is>
          <t>M4</t>
        </is>
      </c>
      <c r="E147" s="4" t="inlineStr">
        <is>
          <t>S</t>
        </is>
      </c>
      <c r="F147" s="4" t="n">
        <v>1</v>
      </c>
      <c r="G147" s="4" t="inlineStr">
        <is>
          <t>WI-003</t>
        </is>
      </c>
      <c r="H147" s="4" t="inlineStr">
        <is>
          <t>AI làm/người duyệt</t>
        </is>
      </c>
      <c r="I147" s="4" t="inlineStr">
        <is>
          <t>CDS-12 tập 5</t>
        </is>
      </c>
      <c r="J147" s="4" t="inlineStr">
        <is>
          <t>registry.publish</t>
        </is>
      </c>
      <c r="K147" s="4" t="inlineStr">
        <is>
          <t>Chưa</t>
        </is>
      </c>
    </row>
    <row r="148">
      <c r="A148" s="7" t="inlineStr">
        <is>
          <t>WI-147</t>
        </is>
      </c>
      <c r="B148" s="7" t="inlineStr">
        <is>
          <t>Năng lực</t>
        </is>
      </c>
      <c r="C148" s="7" t="inlineStr">
        <is>
          <t>REPORT-01 report.progress — Báo cáo tiến độ/ngày: việc tự làm, chờ người, chi phí</t>
        </is>
      </c>
      <c r="D148" s="7" t="inlineStr">
        <is>
          <t>M1</t>
        </is>
      </c>
      <c r="E148" s="7" t="inlineStr">
        <is>
          <t>M</t>
        </is>
      </c>
      <c r="F148" s="7" t="n">
        <v>0.5</v>
      </c>
      <c r="G148" s="7" t="inlineStr">
        <is>
          <t>WI-003</t>
        </is>
      </c>
      <c r="H148" s="7" t="inlineStr">
        <is>
          <t>AI làm</t>
        </is>
      </c>
      <c r="I148" s="7" t="inlineStr">
        <is>
          <t>CDS-12 tập 5</t>
        </is>
      </c>
      <c r="J148" s="7" t="inlineStr">
        <is>
          <t>report.progress</t>
        </is>
      </c>
      <c r="K148" s="7" t="inlineStr">
        <is>
          <t>Chưa</t>
        </is>
      </c>
    </row>
    <row r="149">
      <c r="A149" s="4" t="inlineStr">
        <is>
          <t>WI-148</t>
        </is>
      </c>
      <c r="B149" s="4" t="inlineStr">
        <is>
          <t>Năng lực</t>
        </is>
      </c>
      <c r="C149" s="4" t="inlineStr">
        <is>
          <t>REPORT-02 report.export — docx/pdf/md có mục Nguồn</t>
        </is>
      </c>
      <c r="D149" s="4" t="inlineStr">
        <is>
          <t>M4</t>
        </is>
      </c>
      <c r="E149" s="4" t="inlineStr">
        <is>
          <t>S</t>
        </is>
      </c>
      <c r="F149" s="4" t="n">
        <v>0.75</v>
      </c>
      <c r="G149" s="4" t="inlineStr">
        <is>
          <t>WI-003</t>
        </is>
      </c>
      <c r="H149" s="4" t="inlineStr">
        <is>
          <t>AI làm</t>
        </is>
      </c>
      <c r="I149" s="4" t="inlineStr">
        <is>
          <t>CDS-12 tập 5</t>
        </is>
      </c>
      <c r="J149" s="4" t="inlineStr">
        <is>
          <t>report.export</t>
        </is>
      </c>
      <c r="K149" s="4" t="inlineStr">
        <is>
          <t>Chưa</t>
        </is>
      </c>
    </row>
    <row r="150">
      <c r="A150" s="7" t="inlineStr">
        <is>
          <t>WI-149</t>
        </is>
      </c>
      <c r="B150" s="7" t="inlineStr">
        <is>
          <t>Năng lực</t>
        </is>
      </c>
      <c r="C150" s="7" t="inlineStr">
        <is>
          <t>REPORT-03 report.human_ai_matrix — Ma trận Người–AI từ ledger</t>
        </is>
      </c>
      <c r="D150" s="7" t="inlineStr">
        <is>
          <t>M4</t>
        </is>
      </c>
      <c r="E150" s="7" t="inlineStr">
        <is>
          <t>S</t>
        </is>
      </c>
      <c r="F150" s="7" t="n">
        <v>0.5</v>
      </c>
      <c r="G150" s="7" t="inlineStr">
        <is>
          <t>WI-003</t>
        </is>
      </c>
      <c r="H150" s="7" t="inlineStr">
        <is>
          <t>AI làm</t>
        </is>
      </c>
      <c r="I150" s="7" t="inlineStr">
        <is>
          <t>CDS-12 tập 5</t>
        </is>
      </c>
      <c r="J150" s="7" t="inlineStr">
        <is>
          <t>report.human_ai_matrix</t>
        </is>
      </c>
      <c r="K150" s="7" t="inlineStr">
        <is>
          <t>Chưa</t>
        </is>
      </c>
    </row>
    <row r="151">
      <c r="A151" s="4" t="inlineStr">
        <is>
          <t>WI-150</t>
        </is>
      </c>
      <c r="B151" s="4" t="inlineStr">
        <is>
          <t>Năng lực</t>
        </is>
      </c>
      <c r="C151" s="4" t="inlineStr">
        <is>
          <t>REPORT-04 report.explain — Giải thích một quyết định/mã (rationale có trích dẫn)</t>
        </is>
      </c>
      <c r="D151" s="4" t="inlineStr">
        <is>
          <t>M2</t>
        </is>
      </c>
      <c r="E151" s="4" t="inlineStr">
        <is>
          <t>M</t>
        </is>
      </c>
      <c r="F151" s="4" t="n">
        <v>0.5</v>
      </c>
      <c r="G151" s="4" t="inlineStr">
        <is>
          <t>WI-003</t>
        </is>
      </c>
      <c r="H151" s="4" t="inlineStr">
        <is>
          <t>AI làm</t>
        </is>
      </c>
      <c r="I151" s="4" t="inlineStr">
        <is>
          <t>CDS-12 tập 5</t>
        </is>
      </c>
      <c r="J151" s="4" t="inlineStr">
        <is>
          <t>report.explain</t>
        </is>
      </c>
      <c r="K151" s="4" t="inlineStr">
        <is>
          <t>Chưa</t>
        </is>
      </c>
    </row>
    <row r="152">
      <c r="A152" s="7" t="inlineStr">
        <is>
          <t>WI-151</t>
        </is>
      </c>
      <c r="B152" s="7" t="inlineStr">
        <is>
          <t>Năng lực</t>
        </is>
      </c>
      <c r="C152" s="7" t="inlineStr">
        <is>
          <t>POLICY-01 policy.decide — Hàm quyết định theo cổng: APPROVE/ASK/REJECT có lý do</t>
        </is>
      </c>
      <c r="D152" s="7" t="inlineStr">
        <is>
          <t>M1</t>
        </is>
      </c>
      <c r="E152" s="7" t="inlineStr">
        <is>
          <t>M</t>
        </is>
      </c>
      <c r="F152" s="7" t="n">
        <v>0.5</v>
      </c>
      <c r="G152" s="7" t="inlineStr">
        <is>
          <t>WI-003</t>
        </is>
      </c>
      <c r="H152" s="7" t="inlineStr">
        <is>
          <t>AI làm</t>
        </is>
      </c>
      <c r="I152" s="7" t="inlineStr">
        <is>
          <t>CDS-12 tập 5</t>
        </is>
      </c>
      <c r="J152" s="7" t="inlineStr">
        <is>
          <t>policy.decide</t>
        </is>
      </c>
      <c r="K152" s="7" t="inlineStr">
        <is>
          <t>Chưa</t>
        </is>
      </c>
    </row>
    <row r="153">
      <c r="A153" s="4" t="inlineStr">
        <is>
          <t>WI-152</t>
        </is>
      </c>
      <c r="B153" s="4" t="inlineStr">
        <is>
          <t>Năng lực</t>
        </is>
      </c>
      <c r="C153" s="4" t="inlineStr">
        <is>
          <t>POLICY-02 policy.permit — Quyền theo phiên cho thao tác R3/R4</t>
        </is>
      </c>
      <c r="D153" s="4" t="inlineStr">
        <is>
          <t>M1</t>
        </is>
      </c>
      <c r="E153" s="4" t="inlineStr">
        <is>
          <t>M</t>
        </is>
      </c>
      <c r="F153" s="4" t="n">
        <v>0.5</v>
      </c>
      <c r="G153" s="4" t="inlineStr">
        <is>
          <t>WI-003</t>
        </is>
      </c>
      <c r="H153" s="4" t="inlineStr">
        <is>
          <t>AI làm/người duyệt</t>
        </is>
      </c>
      <c r="I153" s="4" t="inlineStr">
        <is>
          <t>CDS-12 tập 5</t>
        </is>
      </c>
      <c r="J153" s="4" t="inlineStr">
        <is>
          <t>policy.permit</t>
        </is>
      </c>
      <c r="K153" s="4" t="inlineStr">
        <is>
          <t>Chưa</t>
        </is>
      </c>
    </row>
    <row r="154">
      <c r="A154" s="7" t="inlineStr">
        <is>
          <t>WI-153</t>
        </is>
      </c>
      <c r="B154" s="7" t="inlineStr">
        <is>
          <t>Năng lực</t>
        </is>
      </c>
      <c r="C154" s="7" t="inlineStr">
        <is>
          <t>POLICY-03 policy.undo_window — Theo dõi việc đã tự làm còn trong cửa sổ hoàn tác</t>
        </is>
      </c>
      <c r="D154" s="7" t="inlineStr">
        <is>
          <t>M1</t>
        </is>
      </c>
      <c r="E154" s="7" t="inlineStr">
        <is>
          <t>M</t>
        </is>
      </c>
      <c r="F154" s="7" t="n">
        <v>0.5</v>
      </c>
      <c r="G154" s="7" t="inlineStr">
        <is>
          <t>WI-003</t>
        </is>
      </c>
      <c r="H154" s="7" t="inlineStr">
        <is>
          <t>AI làm</t>
        </is>
      </c>
      <c r="I154" s="7" t="inlineStr">
        <is>
          <t>CDS-12 tập 5</t>
        </is>
      </c>
      <c r="J154" s="7" t="inlineStr">
        <is>
          <t>policy.undo_window</t>
        </is>
      </c>
      <c r="K154" s="7" t="inlineStr">
        <is>
          <t>Chưa</t>
        </is>
      </c>
    </row>
    <row r="155">
      <c r="A155" s="4" t="inlineStr">
        <is>
          <t>WI-154</t>
        </is>
      </c>
      <c r="B155" s="4" t="inlineStr">
        <is>
          <t>Năng lực</t>
        </is>
      </c>
      <c r="C155" s="4" t="inlineStr">
        <is>
          <t>POLICY-04 policy.escalate — Leo thang lên người qua hàng đợi/chat/thông báo</t>
        </is>
      </c>
      <c r="D155" s="4" t="inlineStr">
        <is>
          <t>M1</t>
        </is>
      </c>
      <c r="E155" s="4" t="inlineStr">
        <is>
          <t>M</t>
        </is>
      </c>
      <c r="F155" s="4" t="n">
        <v>0.5</v>
      </c>
      <c r="G155" s="4" t="inlineStr">
        <is>
          <t>WI-003</t>
        </is>
      </c>
      <c r="H155" s="4" t="inlineStr">
        <is>
          <t>AI làm</t>
        </is>
      </c>
      <c r="I155" s="4" t="inlineStr">
        <is>
          <t>CDS-12 tập 5</t>
        </is>
      </c>
      <c r="J155" s="4" t="inlineStr">
        <is>
          <t>policy.escalate</t>
        </is>
      </c>
      <c r="K155" s="4" t="inlineStr">
        <is>
          <t>Chưa</t>
        </is>
      </c>
    </row>
    <row r="156">
      <c r="A156" s="7" t="inlineStr">
        <is>
          <t>WI-155</t>
        </is>
      </c>
      <c r="B156" s="7" t="inlineStr">
        <is>
          <t>Năng lực</t>
        </is>
      </c>
      <c r="C156" s="7" t="inlineStr">
        <is>
          <t>POLICY-05 policy.emergency_stop — Hạ về A0, hủy thao tác phần cứng đang chờ</t>
        </is>
      </c>
      <c r="D156" s="7" t="inlineStr">
        <is>
          <t>M1</t>
        </is>
      </c>
      <c r="E156" s="7" t="inlineStr">
        <is>
          <t>M</t>
        </is>
      </c>
      <c r="F156" s="7" t="n">
        <v>0.5</v>
      </c>
      <c r="G156" s="7" t="inlineStr">
        <is>
          <t>WI-003</t>
        </is>
      </c>
      <c r="H156" s="7" t="inlineStr">
        <is>
          <t>AI làm/người duyệt</t>
        </is>
      </c>
      <c r="I156" s="7" t="inlineStr">
        <is>
          <t>CDS-12 tập 5</t>
        </is>
      </c>
      <c r="J156" s="7" t="inlineStr">
        <is>
          <t>policy.emergency_stop</t>
        </is>
      </c>
      <c r="K156" s="7" t="inlineStr">
        <is>
          <t>Chưa</t>
        </is>
      </c>
    </row>
    <row r="157">
      <c r="A157" s="4" t="inlineStr">
        <is>
          <t>WI-156</t>
        </is>
      </c>
      <c r="B157" s="4" t="inlineStr">
        <is>
          <t>Năng lực</t>
        </is>
      </c>
      <c r="C157" s="4" t="inlineStr">
        <is>
          <t>POLICY-06 policy.learn_thresholds — Tổng hợp quyết định của người → đề xuất ngưỡng</t>
        </is>
      </c>
      <c r="D157" s="4" t="inlineStr">
        <is>
          <t>M2</t>
        </is>
      </c>
      <c r="E157" s="4" t="inlineStr">
        <is>
          <t>M</t>
        </is>
      </c>
      <c r="F157" s="4" t="n">
        <v>0.5</v>
      </c>
      <c r="G157" s="4" t="inlineStr">
        <is>
          <t>WI-003</t>
        </is>
      </c>
      <c r="H157" s="4" t="inlineStr">
        <is>
          <t>AI làm/người duyệt</t>
        </is>
      </c>
      <c r="I157" s="4" t="inlineStr">
        <is>
          <t>CDS-12 tập 5</t>
        </is>
      </c>
      <c r="J157" s="4" t="inlineStr">
        <is>
          <t>policy.learn_thresholds</t>
        </is>
      </c>
      <c r="K157" s="4" t="inlineStr">
        <is>
          <t>Chưa</t>
        </is>
      </c>
    </row>
    <row r="158">
      <c r="A158" s="7" t="inlineStr">
        <is>
          <t>WI-157</t>
        </is>
      </c>
      <c r="B158" s="7" t="inlineStr">
        <is>
          <t>Năng lực</t>
        </is>
      </c>
      <c r="C158" s="7" t="inlineStr">
        <is>
          <t>POLICY-07 policy.set_autonomy — Đặt mức tự chủ dự án/board</t>
        </is>
      </c>
      <c r="D158" s="7" t="inlineStr">
        <is>
          <t>M1</t>
        </is>
      </c>
      <c r="E158" s="7" t="inlineStr">
        <is>
          <t>M</t>
        </is>
      </c>
      <c r="F158" s="7" t="n">
        <v>0.75</v>
      </c>
      <c r="G158" s="7" t="inlineStr">
        <is>
          <t>WI-003</t>
        </is>
      </c>
      <c r="H158" s="7" t="inlineStr">
        <is>
          <t>AI làm/người duyệt</t>
        </is>
      </c>
      <c r="I158" s="7" t="inlineStr">
        <is>
          <t>CDS-12 tập 5</t>
        </is>
      </c>
      <c r="J158" s="7" t="inlineStr">
        <is>
          <t>policy.set_autonomy</t>
        </is>
      </c>
      <c r="K158" s="7" t="inlineStr">
        <is>
          <t>Chưa</t>
        </is>
      </c>
    </row>
    <row r="159">
      <c r="A159" s="4" t="inlineStr">
        <is>
          <t>WI-158</t>
        </is>
      </c>
      <c r="B159" s="4" t="inlineStr">
        <is>
          <t>Năng lực</t>
        </is>
      </c>
      <c r="C159" s="4" t="inlineStr">
        <is>
          <t>CHAT-01 chat.parse_intent — Câu lệnh → ý định + tham số (slot); nhận diện lệnh lớn</t>
        </is>
      </c>
      <c r="D159" s="4" t="inlineStr">
        <is>
          <t>M1</t>
        </is>
      </c>
      <c r="E159" s="4" t="inlineStr">
        <is>
          <t>M</t>
        </is>
      </c>
      <c r="F159" s="4" t="n">
        <v>0.5</v>
      </c>
      <c r="G159" s="4" t="inlineStr">
        <is>
          <t>WI-003</t>
        </is>
      </c>
      <c r="H159" s="4" t="inlineStr">
        <is>
          <t>AI làm</t>
        </is>
      </c>
      <c r="I159" s="4" t="inlineStr">
        <is>
          <t>CDS-12 tập 6</t>
        </is>
      </c>
      <c r="J159" s="4" t="inlineStr">
        <is>
          <t>chat.parse_intent</t>
        </is>
      </c>
      <c r="K159" s="4" t="inlineStr">
        <is>
          <t>Chưa</t>
        </is>
      </c>
    </row>
    <row r="160">
      <c r="A160" s="7" t="inlineStr">
        <is>
          <t>WI-159</t>
        </is>
      </c>
      <c r="B160" s="7" t="inlineStr">
        <is>
          <t>Năng lực</t>
        </is>
      </c>
      <c r="C160" s="7" t="inlineStr">
        <is>
          <t>CHAT-02 chat.ground — Đối chiếu ý định với trạng thái (dự án/hộ chiếu/board tồn tại?)</t>
        </is>
      </c>
      <c r="D160" s="7" t="inlineStr">
        <is>
          <t>M1</t>
        </is>
      </c>
      <c r="E160" s="7" t="inlineStr">
        <is>
          <t>M</t>
        </is>
      </c>
      <c r="F160" s="7" t="n">
        <v>0.5</v>
      </c>
      <c r="G160" s="7" t="inlineStr">
        <is>
          <t>WI-003</t>
        </is>
      </c>
      <c r="H160" s="7" t="inlineStr">
        <is>
          <t>AI làm</t>
        </is>
      </c>
      <c r="I160" s="7" t="inlineStr">
        <is>
          <t>CDS-12 tập 6</t>
        </is>
      </c>
      <c r="J160" s="7" t="inlineStr">
        <is>
          <t>chat.ground</t>
        </is>
      </c>
      <c r="K160" s="7" t="inlineStr">
        <is>
          <t>Chưa</t>
        </is>
      </c>
    </row>
    <row r="161">
      <c r="A161" s="4" t="inlineStr">
        <is>
          <t>WI-160</t>
        </is>
      </c>
      <c r="B161" s="4" t="inlineStr">
        <is>
          <t>Năng lực</t>
        </is>
      </c>
      <c r="C161" s="4" t="inlineStr">
        <is>
          <t>CHAT-03 chat.fill_defaults — Điền ô trống bằng mặc định có căn cứ; ghi ledger</t>
        </is>
      </c>
      <c r="D161" s="4" t="inlineStr">
        <is>
          <t>M1</t>
        </is>
      </c>
      <c r="E161" s="4" t="inlineStr">
        <is>
          <t>M</t>
        </is>
      </c>
      <c r="F161" s="4" t="n">
        <v>0.5</v>
      </c>
      <c r="G161" s="4" t="inlineStr">
        <is>
          <t>WI-003</t>
        </is>
      </c>
      <c r="H161" s="4" t="inlineStr">
        <is>
          <t>AI làm</t>
        </is>
      </c>
      <c r="I161" s="4" t="inlineStr">
        <is>
          <t>CDS-12 tập 6</t>
        </is>
      </c>
      <c r="J161" s="4" t="inlineStr">
        <is>
          <t>chat.fill_defaults</t>
        </is>
      </c>
      <c r="K161" s="4" t="inlineStr">
        <is>
          <t>Chưa</t>
        </is>
      </c>
    </row>
    <row r="162">
      <c r="A162" s="7" t="inlineStr">
        <is>
          <t>WI-161</t>
        </is>
      </c>
      <c r="B162" s="7" t="inlineStr">
        <is>
          <t>Năng lực</t>
        </is>
      </c>
      <c r="C162" s="7" t="inlineStr">
        <is>
          <t>CHAT-04 chat.clarify — Một câu hỏi gộp có phương án và mặc định; timeout</t>
        </is>
      </c>
      <c r="D162" s="7" t="inlineStr">
        <is>
          <t>M1</t>
        </is>
      </c>
      <c r="E162" s="7" t="inlineStr">
        <is>
          <t>M</t>
        </is>
      </c>
      <c r="F162" s="7" t="n">
        <v>0.5</v>
      </c>
      <c r="G162" s="7" t="inlineStr">
        <is>
          <t>WI-003</t>
        </is>
      </c>
      <c r="H162" s="7" t="inlineStr">
        <is>
          <t>AI làm</t>
        </is>
      </c>
      <c r="I162" s="7" t="inlineStr">
        <is>
          <t>CDS-12 tập 6</t>
        </is>
      </c>
      <c r="J162" s="7" t="inlineStr">
        <is>
          <t>chat.clarify</t>
        </is>
      </c>
      <c r="K162" s="7" t="inlineStr">
        <is>
          <t>Chưa</t>
        </is>
      </c>
    </row>
    <row r="163">
      <c r="A163" s="4" t="inlineStr">
        <is>
          <t>WI-162</t>
        </is>
      </c>
      <c r="B163" s="4" t="inlineStr">
        <is>
          <t>Năng lực</t>
        </is>
      </c>
      <c r="C163" s="4" t="inlineStr">
        <is>
          <t>CHAT-05 chat.restate — Nói lại ý hiểu 1–2 câu trước chuỗi dài</t>
        </is>
      </c>
      <c r="D163" s="4" t="inlineStr">
        <is>
          <t>M1</t>
        </is>
      </c>
      <c r="E163" s="4" t="inlineStr">
        <is>
          <t>M</t>
        </is>
      </c>
      <c r="F163" s="4" t="n">
        <v>0.5</v>
      </c>
      <c r="G163" s="4" t="inlineStr">
        <is>
          <t>WI-003</t>
        </is>
      </c>
      <c r="H163" s="4" t="inlineStr">
        <is>
          <t>AI làm</t>
        </is>
      </c>
      <c r="I163" s="4" t="inlineStr">
        <is>
          <t>CDS-12 tập 6</t>
        </is>
      </c>
      <c r="J163" s="4" t="inlineStr">
        <is>
          <t>chat.restate</t>
        </is>
      </c>
      <c r="K163" s="4" t="inlineStr">
        <is>
          <t>Chưa</t>
        </is>
      </c>
    </row>
    <row r="164">
      <c r="A164" s="7" t="inlineStr">
        <is>
          <t>WI-163</t>
        </is>
      </c>
      <c r="B164" s="7" t="inlineStr">
        <is>
          <t>Năng lực</t>
        </is>
      </c>
      <c r="C164" s="7" t="inlineStr">
        <is>
          <t>CHAT-06 chat.orchestrate — Biến lệnh lớn thành chuỗi gọi năng lực có nhánh; chạy theo chính sách</t>
        </is>
      </c>
      <c r="D164" s="7" t="inlineStr">
        <is>
          <t>M2</t>
        </is>
      </c>
      <c r="E164" s="7" t="inlineStr">
        <is>
          <t>M</t>
        </is>
      </c>
      <c r="F164" s="7" t="n">
        <v>0.5</v>
      </c>
      <c r="G164" s="7" t="inlineStr">
        <is>
          <t>WI-003</t>
        </is>
      </c>
      <c r="H164" s="7" t="inlineStr">
        <is>
          <t>AI làm</t>
        </is>
      </c>
      <c r="I164" s="7" t="inlineStr">
        <is>
          <t>CDS-12 tập 6</t>
        </is>
      </c>
      <c r="J164" s="7" t="inlineStr">
        <is>
          <t>chat.orchestrate</t>
        </is>
      </c>
      <c r="K164" s="7" t="inlineStr">
        <is>
          <t>Chưa</t>
        </is>
      </c>
    </row>
    <row r="165">
      <c r="A165" s="4" t="inlineStr">
        <is>
          <t>WI-164</t>
        </is>
      </c>
      <c r="B165" s="4" t="inlineStr">
        <is>
          <t>Năng lực</t>
        </is>
      </c>
      <c r="C165" s="4" t="inlineStr">
        <is>
          <t>CHAT-07 chat.report_back — Tóm tắt việc đã làm, đang chờ, hoàn tác được, chi phí</t>
        </is>
      </c>
      <c r="D165" s="4" t="inlineStr">
        <is>
          <t>M1</t>
        </is>
      </c>
      <c r="E165" s="4" t="inlineStr">
        <is>
          <t>M</t>
        </is>
      </c>
      <c r="F165" s="4" t="n">
        <v>0.5</v>
      </c>
      <c r="G165" s="4" t="inlineStr">
        <is>
          <t>WI-003</t>
        </is>
      </c>
      <c r="H165" s="4" t="inlineStr">
        <is>
          <t>AI làm</t>
        </is>
      </c>
      <c r="I165" s="4" t="inlineStr">
        <is>
          <t>CDS-12 tập 6</t>
        </is>
      </c>
      <c r="J165" s="4" t="inlineStr">
        <is>
          <t>chat.report_back</t>
        </is>
      </c>
      <c r="K165" s="4" t="inlineStr">
        <is>
          <t>Chưa</t>
        </is>
      </c>
    </row>
    <row r="166">
      <c r="A166" s="7" t="inlineStr">
        <is>
          <t>WI-165</t>
        </is>
      </c>
      <c r="B166" s="7" t="inlineStr">
        <is>
          <t>Năng lực</t>
        </is>
      </c>
      <c r="C166" s="7" t="inlineStr">
        <is>
          <t>CHAT-08 chat.decline — Nói 'không có trong hộ chiếu'/'không làm được' có lý do và đề xuất</t>
        </is>
      </c>
      <c r="D166" s="7" t="inlineStr">
        <is>
          <t>M0</t>
        </is>
      </c>
      <c r="E166" s="7" t="inlineStr">
        <is>
          <t>M</t>
        </is>
      </c>
      <c r="F166" s="7" t="n">
        <v>0.5</v>
      </c>
      <c r="G166" s="7" t="inlineStr">
        <is>
          <t>WI-003</t>
        </is>
      </c>
      <c r="H166" s="7" t="inlineStr">
        <is>
          <t>AI làm</t>
        </is>
      </c>
      <c r="I166" s="7" t="inlineStr">
        <is>
          <t>CDS-12 tập 6</t>
        </is>
      </c>
      <c r="J166" s="7" t="inlineStr">
        <is>
          <t>chat.decline</t>
        </is>
      </c>
      <c r="K166" s="7" t="inlineStr">
        <is>
          <t>Chưa</t>
        </is>
      </c>
    </row>
    <row r="167">
      <c r="A167" s="4" t="inlineStr">
        <is>
          <t>WI-166</t>
        </is>
      </c>
      <c r="B167" s="4" t="inlineStr">
        <is>
          <t>Năng lực</t>
        </is>
      </c>
      <c r="C167" s="4" t="inlineStr">
        <is>
          <t xml:space="preserve">REQ-01 req.elicit — Thu thập yêu cầu từ lệnh NL, tài liệu, ảnh, chat cũ; sinh câu hỏi gộp </t>
        </is>
      </c>
      <c r="D167" s="4" t="inlineStr">
        <is>
          <t>M1</t>
        </is>
      </c>
      <c r="E167" s="4" t="inlineStr">
        <is>
          <t>M</t>
        </is>
      </c>
      <c r="F167" s="4" t="n">
        <v>0.5</v>
      </c>
      <c r="G167" s="4" t="inlineStr">
        <is>
          <t>WI-003</t>
        </is>
      </c>
      <c r="H167" s="4" t="inlineStr">
        <is>
          <t>AI làm</t>
        </is>
      </c>
      <c r="I167" s="4" t="inlineStr">
        <is>
          <t>CDS-12 tập 1</t>
        </is>
      </c>
      <c r="J167" s="4" t="inlineStr">
        <is>
          <t>req.elicit</t>
        </is>
      </c>
      <c r="K167" s="4" t="inlineStr">
        <is>
          <t>Chưa</t>
        </is>
      </c>
    </row>
    <row r="168">
      <c r="A168" s="7" t="inlineStr">
        <is>
          <t>WI-167</t>
        </is>
      </c>
      <c r="B168" s="7" t="inlineStr">
        <is>
          <t>Năng lực</t>
        </is>
      </c>
      <c r="C168" s="7" t="inlineStr">
        <is>
          <t>REQ-02 req.classify — Phân loại FR/NFR/ràng buộc phần cứng/an toàn/thời gian thực; gán mã UR</t>
        </is>
      </c>
      <c r="D168" s="7" t="inlineStr">
        <is>
          <t>M1</t>
        </is>
      </c>
      <c r="E168" s="7" t="inlineStr">
        <is>
          <t>M</t>
        </is>
      </c>
      <c r="F168" s="7" t="n">
        <v>0.5</v>
      </c>
      <c r="G168" s="7" t="inlineStr">
        <is>
          <t>WI-003</t>
        </is>
      </c>
      <c r="H168" s="7" t="inlineStr">
        <is>
          <t>AI làm</t>
        </is>
      </c>
      <c r="I168" s="7" t="inlineStr">
        <is>
          <t>CDS-12 tập 1</t>
        </is>
      </c>
      <c r="J168" s="7" t="inlineStr">
        <is>
          <t>req.classify</t>
        </is>
      </c>
      <c r="K168" s="7" t="inlineStr">
        <is>
          <t>Chưa</t>
        </is>
      </c>
    </row>
    <row r="169">
      <c r="A169" s="4" t="inlineStr">
        <is>
          <t>WI-168</t>
        </is>
      </c>
      <c r="B169" s="4" t="inlineStr">
        <is>
          <t>Năng lực</t>
        </is>
      </c>
      <c r="C169" s="4" t="inlineStr">
        <is>
          <t xml:space="preserve">REQ-03 req.ground_hw — Đối chiếu yêu cầu với hộ chiếu chip/board (chân, ngoại vi, RAM/Flash, </t>
        </is>
      </c>
      <c r="D169" s="4" t="inlineStr">
        <is>
          <t>M1</t>
        </is>
      </c>
      <c r="E169" s="4" t="inlineStr">
        <is>
          <t>M</t>
        </is>
      </c>
      <c r="F169" s="4" t="n">
        <v>0.5</v>
      </c>
      <c r="G169" s="4" t="inlineStr">
        <is>
          <t>WI-003</t>
        </is>
      </c>
      <c r="H169" s="4" t="inlineStr">
        <is>
          <t>AI làm</t>
        </is>
      </c>
      <c r="I169" s="4" t="inlineStr">
        <is>
          <t>CDS-12 tập 1</t>
        </is>
      </c>
      <c r="J169" s="4" t="inlineStr">
        <is>
          <t>req.ground_hw</t>
        </is>
      </c>
      <c r="K169" s="4" t="inlineStr">
        <is>
          <t>Chưa</t>
        </is>
      </c>
    </row>
    <row r="170">
      <c r="A170" s="7" t="inlineStr">
        <is>
          <t>WI-169</t>
        </is>
      </c>
      <c r="B170" s="7" t="inlineStr">
        <is>
          <t>Năng lực</t>
        </is>
      </c>
      <c r="C170" s="7" t="inlineStr">
        <is>
          <t>REQ-04 req.detect_conflict — Phát hiện yêu cầu mâu thuẫn/mơ hồ/thiếu định lượng; đề xuất câu chữ đo</t>
        </is>
      </c>
      <c r="D170" s="7" t="inlineStr">
        <is>
          <t>M1</t>
        </is>
      </c>
      <c r="E170" s="7" t="inlineStr">
        <is>
          <t>M</t>
        </is>
      </c>
      <c r="F170" s="7" t="n">
        <v>0.5</v>
      </c>
      <c r="G170" s="7" t="inlineStr">
        <is>
          <t>WI-003</t>
        </is>
      </c>
      <c r="H170" s="7" t="inlineStr">
        <is>
          <t>AI làm</t>
        </is>
      </c>
      <c r="I170" s="7" t="inlineStr">
        <is>
          <t>CDS-12 tập 1</t>
        </is>
      </c>
      <c r="J170" s="7" t="inlineStr">
        <is>
          <t>req.detect_conflict</t>
        </is>
      </c>
      <c r="K170" s="7" t="inlineStr">
        <is>
          <t>Chưa</t>
        </is>
      </c>
    </row>
    <row r="171">
      <c r="A171" s="4" t="inlineStr">
        <is>
          <t>WI-170</t>
        </is>
      </c>
      <c r="B171" s="4" t="inlineStr">
        <is>
          <t>Năng lực</t>
        </is>
      </c>
      <c r="C171" s="4" t="inlineStr">
        <is>
          <t>REQ-05 req.prioritize — Ưu tiên MoSCoW theo mục tiêu dự án và rủi ro phần cứng</t>
        </is>
      </c>
      <c r="D171" s="4" t="inlineStr">
        <is>
          <t>M1</t>
        </is>
      </c>
      <c r="E171" s="4" t="inlineStr">
        <is>
          <t>M</t>
        </is>
      </c>
      <c r="F171" s="4" t="n">
        <v>0.5</v>
      </c>
      <c r="G171" s="4" t="inlineStr">
        <is>
          <t>WI-003</t>
        </is>
      </c>
      <c r="H171" s="4" t="inlineStr">
        <is>
          <t>AI làm/người duyệt</t>
        </is>
      </c>
      <c r="I171" s="4" t="inlineStr">
        <is>
          <t>CDS-12 tập 1</t>
        </is>
      </c>
      <c r="J171" s="4" t="inlineStr">
        <is>
          <t>req.prioritize</t>
        </is>
      </c>
      <c r="K171" s="4" t="inlineStr">
        <is>
          <t>Chưa</t>
        </is>
      </c>
    </row>
    <row r="172">
      <c r="A172" s="7" t="inlineStr">
        <is>
          <t>WI-171</t>
        </is>
      </c>
      <c r="B172" s="7" t="inlineStr">
        <is>
          <t>Năng lực</t>
        </is>
      </c>
      <c r="C172" s="7" t="inlineStr">
        <is>
          <t>REQ-06 req.trace_matrix — Ma trận truy vết UR→FR→thiết kế→mã→test; phát hiện lỗ hổng</t>
        </is>
      </c>
      <c r="D172" s="7" t="inlineStr">
        <is>
          <t>M2</t>
        </is>
      </c>
      <c r="E172" s="7" t="inlineStr">
        <is>
          <t>M</t>
        </is>
      </c>
      <c r="F172" s="7" t="n">
        <v>0.5</v>
      </c>
      <c r="G172" s="7" t="inlineStr">
        <is>
          <t>WI-003</t>
        </is>
      </c>
      <c r="H172" s="7" t="inlineStr">
        <is>
          <t>AI làm</t>
        </is>
      </c>
      <c r="I172" s="7" t="inlineStr">
        <is>
          <t>CDS-12 tập 1</t>
        </is>
      </c>
      <c r="J172" s="7" t="inlineStr">
        <is>
          <t>req.trace_matrix</t>
        </is>
      </c>
      <c r="K172" s="7" t="inlineStr">
        <is>
          <t>Chưa</t>
        </is>
      </c>
    </row>
    <row r="173">
      <c r="A173" s="4" t="inlineStr">
        <is>
          <t>WI-172</t>
        </is>
      </c>
      <c r="B173" s="4" t="inlineStr">
        <is>
          <t>Năng lực</t>
        </is>
      </c>
      <c r="C173" s="4" t="inlineStr">
        <is>
          <t>REQ-07 req.acceptance — Sinh tiêu chí chấp nhận/kịch bản kiểm thử từ yêu cầu (Given-When-Then)</t>
        </is>
      </c>
      <c r="D173" s="4" t="inlineStr">
        <is>
          <t>M2</t>
        </is>
      </c>
      <c r="E173" s="4" t="inlineStr">
        <is>
          <t>M</t>
        </is>
      </c>
      <c r="F173" s="4" t="n">
        <v>0.5</v>
      </c>
      <c r="G173" s="4" t="inlineStr">
        <is>
          <t>WI-003</t>
        </is>
      </c>
      <c r="H173" s="4" t="inlineStr">
        <is>
          <t>AI làm</t>
        </is>
      </c>
      <c r="I173" s="4" t="inlineStr">
        <is>
          <t>CDS-12 tập 1</t>
        </is>
      </c>
      <c r="J173" s="4" t="inlineStr">
        <is>
          <t>req.acceptance</t>
        </is>
      </c>
      <c r="K173" s="4" t="inlineStr">
        <is>
          <t>Chưa</t>
        </is>
      </c>
    </row>
    <row r="174">
      <c r="A174" s="7" t="inlineStr">
        <is>
          <t>WI-173</t>
        </is>
      </c>
      <c r="B174" s="7" t="inlineStr">
        <is>
          <t>Năng lực</t>
        </is>
      </c>
      <c r="C174" s="7" t="inlineStr">
        <is>
          <t>REQ-08 req.change_impact — Đánh giá tác động khi đổi yêu cầu: module, fact, test, tài liệu bị ảnh</t>
        </is>
      </c>
      <c r="D174" s="7" t="inlineStr">
        <is>
          <t>M2</t>
        </is>
      </c>
      <c r="E174" s="7" t="inlineStr">
        <is>
          <t>M</t>
        </is>
      </c>
      <c r="F174" s="7" t="n">
        <v>0.5</v>
      </c>
      <c r="G174" s="7" t="inlineStr">
        <is>
          <t>WI-003</t>
        </is>
      </c>
      <c r="H174" s="7" t="inlineStr">
        <is>
          <t>AI làm</t>
        </is>
      </c>
      <c r="I174" s="7" t="inlineStr">
        <is>
          <t>CDS-12 tập 1</t>
        </is>
      </c>
      <c r="J174" s="7" t="inlineStr">
        <is>
          <t>req.change_impact</t>
        </is>
      </c>
      <c r="K174" s="7" t="inlineStr">
        <is>
          <t>Chưa</t>
        </is>
      </c>
    </row>
    <row r="175">
      <c r="A175" s="4" t="inlineStr">
        <is>
          <t>WI-174</t>
        </is>
      </c>
      <c r="B175" s="4" t="inlineStr">
        <is>
          <t>Năng lực</t>
        </is>
      </c>
      <c r="C175" s="4" t="inlineStr">
        <is>
          <t>ARCH-01 arch.style_select — Chọn kiểu kiến trúc firmware (super-loop, event-driven, RTOS, layered/</t>
        </is>
      </c>
      <c r="D175" s="4" t="inlineStr">
        <is>
          <t>M2</t>
        </is>
      </c>
      <c r="E175" s="4" t="inlineStr">
        <is>
          <t>M</t>
        </is>
      </c>
      <c r="F175" s="4" t="n">
        <v>1.125</v>
      </c>
      <c r="G175" s="4" t="inlineStr">
        <is>
          <t>WI-003</t>
        </is>
      </c>
      <c r="H175" s="4" t="inlineStr">
        <is>
          <t>AI làm/người duyệt</t>
        </is>
      </c>
      <c r="I175" s="4" t="inlineStr">
        <is>
          <t>CDS-12 tập 1</t>
        </is>
      </c>
      <c r="J175" s="4" t="inlineStr">
        <is>
          <t>arch.style_select</t>
        </is>
      </c>
      <c r="K175" s="4" t="inlineStr">
        <is>
          <t>Chưa</t>
        </is>
      </c>
    </row>
    <row r="176">
      <c r="A176" s="7" t="inlineStr">
        <is>
          <t>WI-175</t>
        </is>
      </c>
      <c r="B176" s="7" t="inlineStr">
        <is>
          <t>Năng lực</t>
        </is>
      </c>
      <c r="C176" s="7" t="inlineStr">
        <is>
          <t>ARCH-02 arch.decompose — Phân rã hệ thống thành module/lớp/thành phần với trách nhiệm, giao diệ</t>
        </is>
      </c>
      <c r="D176" s="7" t="inlineStr">
        <is>
          <t>M2</t>
        </is>
      </c>
      <c r="E176" s="7" t="inlineStr">
        <is>
          <t>M</t>
        </is>
      </c>
      <c r="F176" s="7" t="n">
        <v>1.125</v>
      </c>
      <c r="G176" s="7" t="inlineStr">
        <is>
          <t>WI-003</t>
        </is>
      </c>
      <c r="H176" s="7" t="inlineStr">
        <is>
          <t>AI làm</t>
        </is>
      </c>
      <c r="I176" s="7" t="inlineStr">
        <is>
          <t>CDS-12 tập 1</t>
        </is>
      </c>
      <c r="J176" s="7" t="inlineStr">
        <is>
          <t>arch.decompose</t>
        </is>
      </c>
      <c r="K176" s="7" t="inlineStr">
        <is>
          <t>Chưa</t>
        </is>
      </c>
    </row>
    <row r="177">
      <c r="A177" s="4" t="inlineStr">
        <is>
          <t>WI-176</t>
        </is>
      </c>
      <c r="B177" s="4" t="inlineStr">
        <is>
          <t>Năng lực</t>
        </is>
      </c>
      <c r="C177" s="4" t="inlineStr">
        <is>
          <t>ARCH-03 arch.map_hw — Gán module ↔ ngoại vi/chân/ngắt/DMA/timer; kiểm xung đột tài nguyên</t>
        </is>
      </c>
      <c r="D177" s="4" t="inlineStr">
        <is>
          <t>M2</t>
        </is>
      </c>
      <c r="E177" s="4" t="inlineStr">
        <is>
          <t>M</t>
        </is>
      </c>
      <c r="F177" s="4" t="n">
        <v>1.125</v>
      </c>
      <c r="G177" s="4" t="inlineStr">
        <is>
          <t>WI-003</t>
        </is>
      </c>
      <c r="H177" s="4" t="inlineStr">
        <is>
          <t>AI làm</t>
        </is>
      </c>
      <c r="I177" s="4" t="inlineStr">
        <is>
          <t>CDS-12 tập 1</t>
        </is>
      </c>
      <c r="J177" s="4" t="inlineStr">
        <is>
          <t>arch.map_hw</t>
        </is>
      </c>
      <c r="K177" s="4" t="inlineStr">
        <is>
          <t>Chưa</t>
        </is>
      </c>
    </row>
    <row r="178">
      <c r="A178" s="7" t="inlineStr">
        <is>
          <t>WI-177</t>
        </is>
      </c>
      <c r="B178" s="7" t="inlineStr">
        <is>
          <t>Năng lực</t>
        </is>
      </c>
      <c r="C178" s="7" t="inlineStr">
        <is>
          <t>ARCH-04 arch.memory_budget — Ngân sách RAM/Flash/stack/heap theo module; cảnh báo vượt</t>
        </is>
      </c>
      <c r="D178" s="7" t="inlineStr">
        <is>
          <t>M2</t>
        </is>
      </c>
      <c r="E178" s="7" t="inlineStr">
        <is>
          <t>M</t>
        </is>
      </c>
      <c r="F178" s="7" t="n">
        <v>0.75</v>
      </c>
      <c r="G178" s="7" t="inlineStr">
        <is>
          <t>WI-003</t>
        </is>
      </c>
      <c r="H178" s="7" t="inlineStr">
        <is>
          <t>AI làm</t>
        </is>
      </c>
      <c r="I178" s="7" t="inlineStr">
        <is>
          <t>CDS-12 tập 1</t>
        </is>
      </c>
      <c r="J178" s="7" t="inlineStr">
        <is>
          <t>arch.memory_budget</t>
        </is>
      </c>
      <c r="K178" s="7" t="inlineStr">
        <is>
          <t>Chưa</t>
        </is>
      </c>
    </row>
    <row r="179">
      <c r="A179" s="4" t="inlineStr">
        <is>
          <t>WI-178</t>
        </is>
      </c>
      <c r="B179" s="4" t="inlineStr">
        <is>
          <t>Năng lực</t>
        </is>
      </c>
      <c r="C179" s="4" t="inlineStr">
        <is>
          <t>ARCH-05 arch.timing_budget — Ngân sách thời gian thực: chu kỳ, WCET ước lượng, ưu tiên ngắt/task</t>
        </is>
      </c>
      <c r="D179" s="4" t="inlineStr">
        <is>
          <t>M2</t>
        </is>
      </c>
      <c r="E179" s="4" t="inlineStr">
        <is>
          <t>M</t>
        </is>
      </c>
      <c r="F179" s="4" t="n">
        <v>0.75</v>
      </c>
      <c r="G179" s="4" t="inlineStr">
        <is>
          <t>WI-003</t>
        </is>
      </c>
      <c r="H179" s="4" t="inlineStr">
        <is>
          <t>AI làm</t>
        </is>
      </c>
      <c r="I179" s="4" t="inlineStr">
        <is>
          <t>CDS-12 tập 1</t>
        </is>
      </c>
      <c r="J179" s="4" t="inlineStr">
        <is>
          <t>arch.timing_budget</t>
        </is>
      </c>
      <c r="K179" s="4" t="inlineStr">
        <is>
          <t>Chưa</t>
        </is>
      </c>
    </row>
    <row r="180">
      <c r="A180" s="7" t="inlineStr">
        <is>
          <t>WI-179</t>
        </is>
      </c>
      <c r="B180" s="7" t="inlineStr">
        <is>
          <t>Năng lực</t>
        </is>
      </c>
      <c r="C180" s="7" t="inlineStr">
        <is>
          <t>ARCH-06 arch.interface_spec — Đặc tả API/giao thức giữa module (chữ ký, message, lỗi, trạng thái)</t>
        </is>
      </c>
      <c r="D180" s="7" t="inlineStr">
        <is>
          <t>M2</t>
        </is>
      </c>
      <c r="E180" s="7" t="inlineStr">
        <is>
          <t>M</t>
        </is>
      </c>
      <c r="F180" s="7" t="n">
        <v>0.75</v>
      </c>
      <c r="G180" s="7" t="inlineStr">
        <is>
          <t>WI-003</t>
        </is>
      </c>
      <c r="H180" s="7" t="inlineStr">
        <is>
          <t>AI làm</t>
        </is>
      </c>
      <c r="I180" s="7" t="inlineStr">
        <is>
          <t>CDS-12 tập 1</t>
        </is>
      </c>
      <c r="J180" s="7" t="inlineStr">
        <is>
          <t>arch.interface_spec</t>
        </is>
      </c>
      <c r="K180" s="7" t="inlineStr">
        <is>
          <t>Chưa</t>
        </is>
      </c>
    </row>
    <row r="181">
      <c r="A181" s="4" t="inlineStr">
        <is>
          <t>WI-180</t>
        </is>
      </c>
      <c r="B181" s="4" t="inlineStr">
        <is>
          <t>Năng lực</t>
        </is>
      </c>
      <c r="C181" s="4" t="inlineStr">
        <is>
          <t>ARCH-07 arch.state_machine — Thiết kế máy trạng thái cho module/thiết bị; kiểm tính đầy đủ chuyển t</t>
        </is>
      </c>
      <c r="D181" s="4" t="inlineStr">
        <is>
          <t>M2</t>
        </is>
      </c>
      <c r="E181" s="4" t="inlineStr">
        <is>
          <t>M</t>
        </is>
      </c>
      <c r="F181" s="4" t="n">
        <v>0.75</v>
      </c>
      <c r="G181" s="4" t="inlineStr">
        <is>
          <t>WI-003</t>
        </is>
      </c>
      <c r="H181" s="4" t="inlineStr">
        <is>
          <t>AI làm</t>
        </is>
      </c>
      <c r="I181" s="4" t="inlineStr">
        <is>
          <t>CDS-12 tập 1</t>
        </is>
      </c>
      <c r="J181" s="4" t="inlineStr">
        <is>
          <t>arch.state_machine</t>
        </is>
      </c>
      <c r="K181" s="4" t="inlineStr">
        <is>
          <t>Chưa</t>
        </is>
      </c>
    </row>
    <row r="182">
      <c r="A182" s="7" t="inlineStr">
        <is>
          <t>WI-181</t>
        </is>
      </c>
      <c r="B182" s="7" t="inlineStr">
        <is>
          <t>Năng lực</t>
        </is>
      </c>
      <c r="C182" s="7" t="inlineStr">
        <is>
          <t xml:space="preserve">ARCH-08 arch.adr — Ghi Architecture Decision Record: bối cảnh, phương án, quyết định, hệ </t>
        </is>
      </c>
      <c r="D182" s="7" t="inlineStr">
        <is>
          <t>M2</t>
        </is>
      </c>
      <c r="E182" s="7" t="inlineStr">
        <is>
          <t>M</t>
        </is>
      </c>
      <c r="F182" s="7" t="n">
        <v>0.75</v>
      </c>
      <c r="G182" s="7" t="inlineStr">
        <is>
          <t>WI-003</t>
        </is>
      </c>
      <c r="H182" s="7" t="inlineStr">
        <is>
          <t>AI làm</t>
        </is>
      </c>
      <c r="I182" s="7" t="inlineStr">
        <is>
          <t>CDS-12 tập 1</t>
        </is>
      </c>
      <c r="J182" s="7" t="inlineStr">
        <is>
          <t>arch.adr</t>
        </is>
      </c>
      <c r="K182" s="7" t="inlineStr">
        <is>
          <t>Chưa</t>
        </is>
      </c>
    </row>
    <row r="183">
      <c r="A183" s="4" t="inlineStr">
        <is>
          <t>WI-182</t>
        </is>
      </c>
      <c r="B183" s="4" t="inlineStr">
        <is>
          <t>Năng lực</t>
        </is>
      </c>
      <c r="C183" s="4" t="inlineStr">
        <is>
          <t>ARCH-09 arch.review — Rà kiến trúc theo checklist nhúng (coupling, ISR ngắn, lock, watchdog,</t>
        </is>
      </c>
      <c r="D183" s="4" t="inlineStr">
        <is>
          <t>M2</t>
        </is>
      </c>
      <c r="E183" s="4" t="inlineStr">
        <is>
          <t>M</t>
        </is>
      </c>
      <c r="F183" s="4" t="n">
        <v>0.75</v>
      </c>
      <c r="G183" s="4" t="inlineStr">
        <is>
          <t>WI-003</t>
        </is>
      </c>
      <c r="H183" s="4" t="inlineStr">
        <is>
          <t>AI làm</t>
        </is>
      </c>
      <c r="I183" s="4" t="inlineStr">
        <is>
          <t>CDS-12 tập 1</t>
        </is>
      </c>
      <c r="J183" s="4" t="inlineStr">
        <is>
          <t>arch.review</t>
        </is>
      </c>
      <c r="K183" s="4" t="inlineStr">
        <is>
          <t>Chưa</t>
        </is>
      </c>
    </row>
    <row r="184">
      <c r="A184" s="7" t="inlineStr">
        <is>
          <t>WI-183</t>
        </is>
      </c>
      <c r="B184" s="7" t="inlineStr">
        <is>
          <t>Năng lực</t>
        </is>
      </c>
      <c r="C184" s="7" t="inlineStr">
        <is>
          <t xml:space="preserve">ARCH-10 arch.compare — So sánh 2–3 phương án kiến trúc theo tiêu chí có trọng số; đề xuất có </t>
        </is>
      </c>
      <c r="D184" s="7" t="inlineStr">
        <is>
          <t>M2</t>
        </is>
      </c>
      <c r="E184" s="7" t="inlineStr">
        <is>
          <t>M</t>
        </is>
      </c>
      <c r="F184" s="7" t="n">
        <v>0.75</v>
      </c>
      <c r="G184" s="7" t="inlineStr">
        <is>
          <t>WI-003</t>
        </is>
      </c>
      <c r="H184" s="7" t="inlineStr">
        <is>
          <t>AI làm/người duyệt</t>
        </is>
      </c>
      <c r="I184" s="7" t="inlineStr">
        <is>
          <t>CDS-12 tập 1</t>
        </is>
      </c>
      <c r="J184" s="7" t="inlineStr">
        <is>
          <t>arch.compare</t>
        </is>
      </c>
      <c r="K184" s="7" t="inlineStr">
        <is>
          <t>Chưa</t>
        </is>
      </c>
    </row>
    <row r="185">
      <c r="A185" s="4" t="inlineStr">
        <is>
          <t>WI-184</t>
        </is>
      </c>
      <c r="B185" s="4" t="inlineStr">
        <is>
          <t>Năng lực</t>
        </is>
      </c>
      <c r="C185" s="4" t="inlineStr">
        <is>
          <t>ARCH-11 arch.to_plan — Chuyển kiến trúc thành kế hoạch hiện thực theo mốc; nối plan.create</t>
        </is>
      </c>
      <c r="D185" s="4" t="inlineStr">
        <is>
          <t>M2</t>
        </is>
      </c>
      <c r="E185" s="4" t="inlineStr">
        <is>
          <t>M</t>
        </is>
      </c>
      <c r="F185" s="4" t="n">
        <v>1.125</v>
      </c>
      <c r="G185" s="4" t="inlineStr">
        <is>
          <t>WI-003</t>
        </is>
      </c>
      <c r="H185" s="4" t="inlineStr">
        <is>
          <t>AI làm</t>
        </is>
      </c>
      <c r="I185" s="4" t="inlineStr">
        <is>
          <t>CDS-12 tập 1</t>
        </is>
      </c>
      <c r="J185" s="4" t="inlineStr">
        <is>
          <t>arch.to_plan</t>
        </is>
      </c>
      <c r="K185" s="4" t="inlineStr">
        <is>
          <t>Chưa</t>
        </is>
      </c>
    </row>
    <row r="186">
      <c r="A186" s="7" t="inlineStr">
        <is>
          <t>WI-185</t>
        </is>
      </c>
      <c r="B186" s="7" t="inlineStr">
        <is>
          <t>Năng lực</t>
        </is>
      </c>
      <c r="C186" s="7" t="inlineStr">
        <is>
          <t>DIAGRAM-01 diagram.render — Vẽ lược đồ từ ngôn ngữ GEditor đã hỗ trợ (Mermaid, PlantUML, Graphviz/</t>
        </is>
      </c>
      <c r="D186" s="7" t="inlineStr">
        <is>
          <t>M1</t>
        </is>
      </c>
      <c r="E186" s="7" t="inlineStr">
        <is>
          <t>M</t>
        </is>
      </c>
      <c r="F186" s="7" t="n">
        <v>0.75</v>
      </c>
      <c r="G186" s="7" t="inlineStr">
        <is>
          <t>WI-003</t>
        </is>
      </c>
      <c r="H186" s="7" t="inlineStr">
        <is>
          <t>AI làm</t>
        </is>
      </c>
      <c r="I186" s="7" t="inlineStr">
        <is>
          <t>CDS-12 tập 1</t>
        </is>
      </c>
      <c r="J186" s="7" t="inlineStr">
        <is>
          <t>diagram.render</t>
        </is>
      </c>
      <c r="K186" s="7" t="inlineStr">
        <is>
          <t>Chưa</t>
        </is>
      </c>
    </row>
    <row r="187">
      <c r="A187" s="4" t="inlineStr">
        <is>
          <t>WI-186</t>
        </is>
      </c>
      <c r="B187" s="4" t="inlineStr">
        <is>
          <t>Năng lực</t>
        </is>
      </c>
      <c r="C187" s="4" t="inlineStr">
        <is>
          <t>DIAGRAM-02 diagram.block — Sơ đồ khối hệ thống/board từ BOM + netlist (khối, bus, nguồn)</t>
        </is>
      </c>
      <c r="D187" s="4" t="inlineStr">
        <is>
          <t>M1</t>
        </is>
      </c>
      <c r="E187" s="4" t="inlineStr">
        <is>
          <t>M</t>
        </is>
      </c>
      <c r="F187" s="4" t="n">
        <v>0.75</v>
      </c>
      <c r="G187" s="4" t="inlineStr">
        <is>
          <t>WI-003</t>
        </is>
      </c>
      <c r="H187" s="4" t="inlineStr">
        <is>
          <t>AI làm</t>
        </is>
      </c>
      <c r="I187" s="4" t="inlineStr">
        <is>
          <t>CDS-12 tập 1</t>
        </is>
      </c>
      <c r="J187" s="4" t="inlineStr">
        <is>
          <t>diagram.block</t>
        </is>
      </c>
      <c r="K187" s="4" t="inlineStr">
        <is>
          <t>Chưa</t>
        </is>
      </c>
    </row>
    <row r="188">
      <c r="A188" s="7" t="inlineStr">
        <is>
          <t>WI-187</t>
        </is>
      </c>
      <c r="B188" s="7" t="inlineStr">
        <is>
          <t>Năng lực</t>
        </is>
      </c>
      <c r="C188" s="7" t="inlineStr">
        <is>
          <t>DIAGRAM-03 diagram.pinmap — Sơ đồ chân/kết nối module ↔ chip từ HwMap; bảng chân kèm theo</t>
        </is>
      </c>
      <c r="D188" s="7" t="inlineStr">
        <is>
          <t>M2</t>
        </is>
      </c>
      <c r="E188" s="7" t="inlineStr">
        <is>
          <t>M</t>
        </is>
      </c>
      <c r="F188" s="7" t="n">
        <v>0.75</v>
      </c>
      <c r="G188" s="7" t="inlineStr">
        <is>
          <t>WI-003</t>
        </is>
      </c>
      <c r="H188" s="7" t="inlineStr">
        <is>
          <t>AI làm</t>
        </is>
      </c>
      <c r="I188" s="7" t="inlineStr">
        <is>
          <t>CDS-12 tập 1</t>
        </is>
      </c>
      <c r="J188" s="7" t="inlineStr">
        <is>
          <t>diagram.pinmap</t>
        </is>
      </c>
      <c r="K188" s="7" t="inlineStr">
        <is>
          <t>Chưa</t>
        </is>
      </c>
    </row>
    <row r="189">
      <c r="A189" s="4" t="inlineStr">
        <is>
          <t>WI-188</t>
        </is>
      </c>
      <c r="B189" s="4" t="inlineStr">
        <is>
          <t>Năng lực</t>
        </is>
      </c>
      <c r="C189" s="4" t="inlineStr">
        <is>
          <t xml:space="preserve">DIAGRAM-04 diagram.architecture — Sơ đồ kiến trúc phần mềm (lớp, module, phụ thuộc, luồng dữ liệu) theo </t>
        </is>
      </c>
      <c r="D189" s="4" t="inlineStr">
        <is>
          <t>M2</t>
        </is>
      </c>
      <c r="E189" s="4" t="inlineStr">
        <is>
          <t>M</t>
        </is>
      </c>
      <c r="F189" s="4" t="n">
        <v>0.75</v>
      </c>
      <c r="G189" s="4" t="inlineStr">
        <is>
          <t>WI-003</t>
        </is>
      </c>
      <c r="H189" s="4" t="inlineStr">
        <is>
          <t>AI làm</t>
        </is>
      </c>
      <c r="I189" s="4" t="inlineStr">
        <is>
          <t>CDS-12 tập 1</t>
        </is>
      </c>
      <c r="J189" s="4" t="inlineStr">
        <is>
          <t>diagram.architecture</t>
        </is>
      </c>
      <c r="K189" s="4" t="inlineStr">
        <is>
          <t>Chưa</t>
        </is>
      </c>
    </row>
    <row r="190">
      <c r="A190" s="7" t="inlineStr">
        <is>
          <t>WI-189</t>
        </is>
      </c>
      <c r="B190" s="7" t="inlineStr">
        <is>
          <t>Năng lực</t>
        </is>
      </c>
      <c r="C190" s="7" t="inlineStr">
        <is>
          <t>DIAGRAM-05 diagram.sequence — Sơ đồ tuần tự cho kịch bản/UC (ISR, task, giao tiếp ngoại vi)</t>
        </is>
      </c>
      <c r="D190" s="7" t="inlineStr">
        <is>
          <t>M2</t>
        </is>
      </c>
      <c r="E190" s="7" t="inlineStr">
        <is>
          <t>M</t>
        </is>
      </c>
      <c r="F190" s="7" t="n">
        <v>0.75</v>
      </c>
      <c r="G190" s="7" t="inlineStr">
        <is>
          <t>WI-003</t>
        </is>
      </c>
      <c r="H190" s="7" t="inlineStr">
        <is>
          <t>AI làm</t>
        </is>
      </c>
      <c r="I190" s="7" t="inlineStr">
        <is>
          <t>CDS-12 tập 1</t>
        </is>
      </c>
      <c r="J190" s="7" t="inlineStr">
        <is>
          <t>diagram.sequence</t>
        </is>
      </c>
      <c r="K190" s="7" t="inlineStr">
        <is>
          <t>Chưa</t>
        </is>
      </c>
    </row>
    <row r="191">
      <c r="A191" s="4" t="inlineStr">
        <is>
          <t>WI-190</t>
        </is>
      </c>
      <c r="B191" s="4" t="inlineStr">
        <is>
          <t>Năng lực</t>
        </is>
      </c>
      <c r="C191" s="4" t="inlineStr">
        <is>
          <t>DIAGRAM-06 diagram.state — Sơ đồ trạng thái từ FSM; đồng bộ hai chiều với mã máy trạng thái</t>
        </is>
      </c>
      <c r="D191" s="4" t="inlineStr">
        <is>
          <t>M2</t>
        </is>
      </c>
      <c r="E191" s="4" t="inlineStr">
        <is>
          <t>M</t>
        </is>
      </c>
      <c r="F191" s="4" t="n">
        <v>0.75</v>
      </c>
      <c r="G191" s="4" t="inlineStr">
        <is>
          <t>WI-003</t>
        </is>
      </c>
      <c r="H191" s="4" t="inlineStr">
        <is>
          <t>AI làm</t>
        </is>
      </c>
      <c r="I191" s="4" t="inlineStr">
        <is>
          <t>CDS-12 tập 1</t>
        </is>
      </c>
      <c r="J191" s="4" t="inlineStr">
        <is>
          <t>diagram.state</t>
        </is>
      </c>
      <c r="K191" s="4" t="inlineStr">
        <is>
          <t>Chưa</t>
        </is>
      </c>
    </row>
    <row r="192">
      <c r="A192" s="7" t="inlineStr">
        <is>
          <t>WI-191</t>
        </is>
      </c>
      <c r="B192" s="7" t="inlineStr">
        <is>
          <t>Năng lực</t>
        </is>
      </c>
      <c r="C192" s="7" t="inlineStr">
        <is>
          <t>DIAGRAM-07 diagram.flow — Lưu đồ thuật toán/luồng nghiệp vụ; sinh từ mã C hoặc từ mô tả</t>
        </is>
      </c>
      <c r="D192" s="7" t="inlineStr">
        <is>
          <t>M2</t>
        </is>
      </c>
      <c r="E192" s="7" t="inlineStr">
        <is>
          <t>M</t>
        </is>
      </c>
      <c r="F192" s="7" t="n">
        <v>0.75</v>
      </c>
      <c r="G192" s="7" t="inlineStr">
        <is>
          <t>WI-003</t>
        </is>
      </c>
      <c r="H192" s="7" t="inlineStr">
        <is>
          <t>AI làm</t>
        </is>
      </c>
      <c r="I192" s="7" t="inlineStr">
        <is>
          <t>CDS-12 tập 1</t>
        </is>
      </c>
      <c r="J192" s="7" t="inlineStr">
        <is>
          <t>diagram.flow</t>
        </is>
      </c>
      <c r="K192" s="7" t="inlineStr">
        <is>
          <t>Chưa</t>
        </is>
      </c>
    </row>
    <row r="193">
      <c r="A193" s="4" t="inlineStr">
        <is>
          <t>WI-192</t>
        </is>
      </c>
      <c r="B193" s="4" t="inlineStr">
        <is>
          <t>Năng lực</t>
        </is>
      </c>
      <c r="C193" s="4" t="inlineStr">
        <is>
          <t>DIAGRAM-08 diagram.timing — Giản đồ thời gian/tín hiệu (WaveDrom) từ timing của datasheet hoặc cap</t>
        </is>
      </c>
      <c r="D193" s="4" t="inlineStr">
        <is>
          <t>M2</t>
        </is>
      </c>
      <c r="E193" s="4" t="inlineStr">
        <is>
          <t>M</t>
        </is>
      </c>
      <c r="F193" s="4" t="n">
        <v>0.75</v>
      </c>
      <c r="G193" s="4" t="inlineStr">
        <is>
          <t>WI-003</t>
        </is>
      </c>
      <c r="H193" s="4" t="inlineStr">
        <is>
          <t>AI làm</t>
        </is>
      </c>
      <c r="I193" s="4" t="inlineStr">
        <is>
          <t>CDS-12 tập 1</t>
        </is>
      </c>
      <c r="J193" s="4" t="inlineStr">
        <is>
          <t>diagram.timing</t>
        </is>
      </c>
      <c r="K193" s="4" t="inlineStr">
        <is>
          <t>Chưa</t>
        </is>
      </c>
    </row>
    <row r="194">
      <c r="A194" s="7" t="inlineStr">
        <is>
          <t>WI-193</t>
        </is>
      </c>
      <c r="B194" s="7" t="inlineStr">
        <is>
          <t>Năng lực</t>
        </is>
      </c>
      <c r="C194" s="7" t="inlineStr">
        <is>
          <t>DIAGRAM-09 diagram.memory_map — Sơ đồ bản đồ bộ nhớ/thanh ghi từ hộ chiếu và linker script</t>
        </is>
      </c>
      <c r="D194" s="7" t="inlineStr">
        <is>
          <t>M2</t>
        </is>
      </c>
      <c r="E194" s="7" t="inlineStr">
        <is>
          <t>M</t>
        </is>
      </c>
      <c r="F194" s="7" t="n">
        <v>0.75</v>
      </c>
      <c r="G194" s="7" t="inlineStr">
        <is>
          <t>WI-003</t>
        </is>
      </c>
      <c r="H194" s="7" t="inlineStr">
        <is>
          <t>AI làm</t>
        </is>
      </c>
      <c r="I194" s="7" t="inlineStr">
        <is>
          <t>CDS-12 tập 1</t>
        </is>
      </c>
      <c r="J194" s="7" t="inlineStr">
        <is>
          <t>diagram.memory_map</t>
        </is>
      </c>
      <c r="K194" s="7" t="inlineStr">
        <is>
          <t>Chưa</t>
        </is>
      </c>
    </row>
    <row r="195">
      <c r="A195" s="4" t="inlineStr">
        <is>
          <t>WI-194</t>
        </is>
      </c>
      <c r="B195" s="4" t="inlineStr">
        <is>
          <t>Năng lực</t>
        </is>
      </c>
      <c r="C195" s="4" t="inlineStr">
        <is>
          <t>DIAGRAM-10 diagram.kg_view — Vẽ lát cắt đồ thị tri thức (fact, nguồn, mâu thuẫn, tác động) theo tru</t>
        </is>
      </c>
      <c r="D195" s="4" t="inlineStr">
        <is>
          <t>M1</t>
        </is>
      </c>
      <c r="E195" s="4" t="inlineStr">
        <is>
          <t>M</t>
        </is>
      </c>
      <c r="F195" s="4" t="n">
        <v>0.75</v>
      </c>
      <c r="G195" s="4" t="inlineStr">
        <is>
          <t>WI-003</t>
        </is>
      </c>
      <c r="H195" s="4" t="inlineStr">
        <is>
          <t>AI làm</t>
        </is>
      </c>
      <c r="I195" s="4" t="inlineStr">
        <is>
          <t>CDS-12 tập 1</t>
        </is>
      </c>
      <c r="J195" s="4" t="inlineStr">
        <is>
          <t>diagram.kg_view</t>
        </is>
      </c>
      <c r="K195" s="4" t="inlineStr">
        <is>
          <t>Chưa</t>
        </is>
      </c>
    </row>
    <row r="196">
      <c r="A196" s="7" t="inlineStr">
        <is>
          <t>WI-195</t>
        </is>
      </c>
      <c r="B196" s="7" t="inlineStr">
        <is>
          <t>Năng lực</t>
        </is>
      </c>
      <c r="C196" s="7" t="inlineStr">
        <is>
          <t>DIAGRAM-11 diagram.gantt — Sơ đồ Gantt/mốc từ Plan; cập nhật theo tiến độ</t>
        </is>
      </c>
      <c r="D196" s="7" t="inlineStr">
        <is>
          <t>M2</t>
        </is>
      </c>
      <c r="E196" s="7" t="inlineStr">
        <is>
          <t>M</t>
        </is>
      </c>
      <c r="F196" s="7" t="n">
        <v>0.75</v>
      </c>
      <c r="G196" s="7" t="inlineStr">
        <is>
          <t>WI-003</t>
        </is>
      </c>
      <c r="H196" s="7" t="inlineStr">
        <is>
          <t>AI làm</t>
        </is>
      </c>
      <c r="I196" s="7" t="inlineStr">
        <is>
          <t>CDS-12 tập 1</t>
        </is>
      </c>
      <c r="J196" s="7" t="inlineStr">
        <is>
          <t>diagram.gantt</t>
        </is>
      </c>
      <c r="K196" s="7" t="inlineStr">
        <is>
          <t>Chưa</t>
        </is>
      </c>
    </row>
    <row r="197">
      <c r="A197" s="4" t="inlineStr">
        <is>
          <t>WI-196</t>
        </is>
      </c>
      <c r="B197" s="4" t="inlineStr">
        <is>
          <t>Năng lực</t>
        </is>
      </c>
      <c r="C197" s="4" t="inlineStr">
        <is>
          <t>DIAGRAM-12 diagram.from_image — Nhận dạng sơ đồ trong ảnh (schematic, sơ đồ vẽ tay) → mã lược đồ chỉnh</t>
        </is>
      </c>
      <c r="D197" s="4" t="inlineStr">
        <is>
          <t>M3</t>
        </is>
      </c>
      <c r="E197" s="4" t="inlineStr">
        <is>
          <t>S</t>
        </is>
      </c>
      <c r="F197" s="4" t="n">
        <v>0.75</v>
      </c>
      <c r="G197" s="4" t="inlineStr">
        <is>
          <t>WI-003</t>
        </is>
      </c>
      <c r="H197" s="4" t="inlineStr">
        <is>
          <t>AI làm</t>
        </is>
      </c>
      <c r="I197" s="4" t="inlineStr">
        <is>
          <t>CDS-12 tập 1</t>
        </is>
      </c>
      <c r="J197" s="4" t="inlineStr">
        <is>
          <t>diagram.from_image</t>
        </is>
      </c>
      <c r="K197" s="4" t="inlineStr">
        <is>
          <t>Chưa</t>
        </is>
      </c>
    </row>
    <row r="198">
      <c r="A198" s="7" t="inlineStr">
        <is>
          <t>WI-197</t>
        </is>
      </c>
      <c r="B198" s="7" t="inlineStr">
        <is>
          <t>Năng lực</t>
        </is>
      </c>
      <c r="C198" s="7" t="inlineStr">
        <is>
          <t>DIAGRAM-13 diagram.lint — Kiểm cú pháp/tính nhất quán lược đồ (nút mồ côi, tên không khớp mã)</t>
        </is>
      </c>
      <c r="D198" s="7" t="inlineStr">
        <is>
          <t>M1</t>
        </is>
      </c>
      <c r="E198" s="7" t="inlineStr">
        <is>
          <t>M</t>
        </is>
      </c>
      <c r="F198" s="7" t="n">
        <v>0.75</v>
      </c>
      <c r="G198" s="7" t="inlineStr">
        <is>
          <t>WI-003</t>
        </is>
      </c>
      <c r="H198" s="7" t="inlineStr">
        <is>
          <t>AI làm</t>
        </is>
      </c>
      <c r="I198" s="7" t="inlineStr">
        <is>
          <t>CDS-12 tập 1</t>
        </is>
      </c>
      <c r="J198" s="7" t="inlineStr">
        <is>
          <t>diagram.lint</t>
        </is>
      </c>
      <c r="K198" s="7" t="inlineStr">
        <is>
          <t>Chưa</t>
        </is>
      </c>
    </row>
    <row r="199">
      <c r="A199" s="4" t="inlineStr">
        <is>
          <t>WI-198</t>
        </is>
      </c>
      <c r="B199" s="4" t="inlineStr">
        <is>
          <t>Năng lực</t>
        </is>
      </c>
      <c r="C199" s="4" t="inlineStr">
        <is>
          <t>DIAGRAM-14 diagram.sync — Đồng bộ lược đồ ↔ mã/kiến trúc khi một bên đổi; cảnh báo lệch</t>
        </is>
      </c>
      <c r="D199" s="4" t="inlineStr">
        <is>
          <t>M3</t>
        </is>
      </c>
      <c r="E199" s="4" t="inlineStr">
        <is>
          <t>S</t>
        </is>
      </c>
      <c r="F199" s="4" t="n">
        <v>0.75</v>
      </c>
      <c r="G199" s="4" t="inlineStr">
        <is>
          <t>WI-003</t>
        </is>
      </c>
      <c r="H199" s="4" t="inlineStr">
        <is>
          <t>AI làm/người duyệt</t>
        </is>
      </c>
      <c r="I199" s="4" t="inlineStr">
        <is>
          <t>CDS-12 tập 1</t>
        </is>
      </c>
      <c r="J199" s="4" t="inlineStr">
        <is>
          <t>diagram.sync</t>
        </is>
      </c>
      <c r="K199" s="4" t="inlineStr">
        <is>
          <t>Chưa</t>
        </is>
      </c>
    </row>
    <row r="200">
      <c r="A200" s="7" t="inlineStr">
        <is>
          <t>WI-199</t>
        </is>
      </c>
      <c r="B200" s="7" t="inlineStr">
        <is>
          <t>Năng lực</t>
        </is>
      </c>
      <c r="C200" s="7" t="inlineStr">
        <is>
          <t>DOC-01 doc.generate — Sinh tài liệu theo chuẩn bộ EAA/EIDE (URD, SRS, SAD, SDD, STP, BPD…) t</t>
        </is>
      </c>
      <c r="D200" s="7" t="inlineStr">
        <is>
          <t>M2</t>
        </is>
      </c>
      <c r="E200" s="7" t="inlineStr">
        <is>
          <t>M</t>
        </is>
      </c>
      <c r="F200" s="7" t="n">
        <v>1.125</v>
      </c>
      <c r="G200" s="7" t="inlineStr">
        <is>
          <t>WI-003</t>
        </is>
      </c>
      <c r="H200" s="7" t="inlineStr">
        <is>
          <t>AI làm</t>
        </is>
      </c>
      <c r="I200" s="7" t="inlineStr">
        <is>
          <t>CDS-12 tập 1</t>
        </is>
      </c>
      <c r="J200" s="7" t="inlineStr">
        <is>
          <t>doc.generate</t>
        </is>
      </c>
      <c r="K200" s="7" t="inlineStr">
        <is>
          <t>Chưa</t>
        </is>
      </c>
    </row>
    <row r="201">
      <c r="A201" s="4" t="inlineStr">
        <is>
          <t>WI-200</t>
        </is>
      </c>
      <c r="B201" s="4" t="inlineStr">
        <is>
          <t>Năng lực</t>
        </is>
      </c>
      <c r="C201" s="4" t="inlineStr">
        <is>
          <t xml:space="preserve">DOC-02 doc.section — Viết/viết lại một mục (mô tả module, hướng dẫn cấu hình, ghi chú phát </t>
        </is>
      </c>
      <c r="D201" s="4" t="inlineStr">
        <is>
          <t>M1</t>
        </is>
      </c>
      <c r="E201" s="4" t="inlineStr">
        <is>
          <t>M</t>
        </is>
      </c>
      <c r="F201" s="4" t="n">
        <v>0.75</v>
      </c>
      <c r="G201" s="4" t="inlineStr">
        <is>
          <t>WI-003</t>
        </is>
      </c>
      <c r="H201" s="4" t="inlineStr">
        <is>
          <t>AI làm</t>
        </is>
      </c>
      <c r="I201" s="4" t="inlineStr">
        <is>
          <t>CDS-12 tập 1</t>
        </is>
      </c>
      <c r="J201" s="4" t="inlineStr">
        <is>
          <t>doc.section</t>
        </is>
      </c>
      <c r="K201" s="4" t="inlineStr">
        <is>
          <t>Chưa</t>
        </is>
      </c>
    </row>
    <row r="202">
      <c r="A202" s="7" t="inlineStr">
        <is>
          <t>WI-201</t>
        </is>
      </c>
      <c r="B202" s="7" t="inlineStr">
        <is>
          <t>Năng lực</t>
        </is>
      </c>
      <c r="C202" s="7" t="inlineStr">
        <is>
          <t>DOC-03 doc.api_ref — Sinh tham chiếu API từ header/Doxygen; ví dụ dùng theo hộ chiếu</t>
        </is>
      </c>
      <c r="D202" s="7" t="inlineStr">
        <is>
          <t>M2</t>
        </is>
      </c>
      <c r="E202" s="7" t="inlineStr">
        <is>
          <t>M</t>
        </is>
      </c>
      <c r="F202" s="7" t="n">
        <v>0.75</v>
      </c>
      <c r="G202" s="7" t="inlineStr">
        <is>
          <t>WI-003</t>
        </is>
      </c>
      <c r="H202" s="7" t="inlineStr">
        <is>
          <t>AI làm</t>
        </is>
      </c>
      <c r="I202" s="7" t="inlineStr">
        <is>
          <t>CDS-12 tập 1</t>
        </is>
      </c>
      <c r="J202" s="7" t="inlineStr">
        <is>
          <t>doc.api_ref</t>
        </is>
      </c>
      <c r="K202" s="7" t="inlineStr">
        <is>
          <t>Chưa</t>
        </is>
      </c>
    </row>
    <row r="203">
      <c r="A203" s="4" t="inlineStr">
        <is>
          <t>WI-202</t>
        </is>
      </c>
      <c r="B203" s="4" t="inlineStr">
        <is>
          <t>Năng lực</t>
        </is>
      </c>
      <c r="C203" s="4" t="inlineStr">
        <is>
          <t>DOC-04 doc.datasheet_summary — Tóm tắt datasheet/errata cho phần dự án dùng, có trích dẫn trang</t>
        </is>
      </c>
      <c r="D203" s="4" t="inlineStr">
        <is>
          <t>M1</t>
        </is>
      </c>
      <c r="E203" s="4" t="inlineStr">
        <is>
          <t>M</t>
        </is>
      </c>
      <c r="F203" s="4" t="n">
        <v>0.75</v>
      </c>
      <c r="G203" s="4" t="inlineStr">
        <is>
          <t>WI-003</t>
        </is>
      </c>
      <c r="H203" s="4" t="inlineStr">
        <is>
          <t>AI làm</t>
        </is>
      </c>
      <c r="I203" s="4" t="inlineStr">
        <is>
          <t>CDS-12 tập 1</t>
        </is>
      </c>
      <c r="J203" s="4" t="inlineStr">
        <is>
          <t>doc.datasheet_summary</t>
        </is>
      </c>
      <c r="K203" s="4" t="inlineStr">
        <is>
          <t>Chưa</t>
        </is>
      </c>
    </row>
    <row r="204">
      <c r="A204" s="7" t="inlineStr">
        <is>
          <t>WI-203</t>
        </is>
      </c>
      <c r="B204" s="7" t="inlineStr">
        <is>
          <t>Năng lực</t>
        </is>
      </c>
      <c r="C204" s="7" t="inlineStr">
        <is>
          <t>DOC-05 doc.bringup_guide — Hướng dẫn bring-up board: nguồn, nạp, kiểm tra bước đầu, lỗi thường gặ</t>
        </is>
      </c>
      <c r="D204" s="7" t="inlineStr">
        <is>
          <t>M2</t>
        </is>
      </c>
      <c r="E204" s="7" t="inlineStr">
        <is>
          <t>M</t>
        </is>
      </c>
      <c r="F204" s="7" t="n">
        <v>0.75</v>
      </c>
      <c r="G204" s="7" t="inlineStr">
        <is>
          <t>WI-003</t>
        </is>
      </c>
      <c r="H204" s="7" t="inlineStr">
        <is>
          <t>AI làm</t>
        </is>
      </c>
      <c r="I204" s="7" t="inlineStr">
        <is>
          <t>CDS-12 tập 1</t>
        </is>
      </c>
      <c r="J204" s="7" t="inlineStr">
        <is>
          <t>doc.bringup_guide</t>
        </is>
      </c>
      <c r="K204" s="7" t="inlineStr">
        <is>
          <t>Chưa</t>
        </is>
      </c>
    </row>
    <row r="205">
      <c r="A205" s="4" t="inlineStr">
        <is>
          <t>WI-204</t>
        </is>
      </c>
      <c r="B205" s="4" t="inlineStr">
        <is>
          <t>Năng lực</t>
        </is>
      </c>
      <c r="C205" s="4" t="inlineStr">
        <is>
          <t>DOC-06 doc.test_report — Báo cáo kiểm thử từ kết quả sim/target/bench với bằng chứng</t>
        </is>
      </c>
      <c r="D205" s="4" t="inlineStr">
        <is>
          <t>M2</t>
        </is>
      </c>
      <c r="E205" s="4" t="inlineStr">
        <is>
          <t>M</t>
        </is>
      </c>
      <c r="F205" s="4" t="n">
        <v>0.75</v>
      </c>
      <c r="G205" s="4" t="inlineStr">
        <is>
          <t>WI-003</t>
        </is>
      </c>
      <c r="H205" s="4" t="inlineStr">
        <is>
          <t>AI làm</t>
        </is>
      </c>
      <c r="I205" s="4" t="inlineStr">
        <is>
          <t>CDS-12 tập 1</t>
        </is>
      </c>
      <c r="J205" s="4" t="inlineStr">
        <is>
          <t>doc.test_report</t>
        </is>
      </c>
      <c r="K205" s="4" t="inlineStr">
        <is>
          <t>Chưa</t>
        </is>
      </c>
    </row>
    <row r="206">
      <c r="A206" s="7" t="inlineStr">
        <is>
          <t>WI-205</t>
        </is>
      </c>
      <c r="B206" s="7" t="inlineStr">
        <is>
          <t>Năng lực</t>
        </is>
      </c>
      <c r="C206" s="7" t="inlineStr">
        <is>
          <t>DOC-07 doc.embed_diagram — Chèn lược đồ (diagram.*) vào tài liệu với chú thích, đánh số hình</t>
        </is>
      </c>
      <c r="D206" s="7" t="inlineStr">
        <is>
          <t>M2</t>
        </is>
      </c>
      <c r="E206" s="7" t="inlineStr">
        <is>
          <t>M</t>
        </is>
      </c>
      <c r="F206" s="7" t="n">
        <v>0.75</v>
      </c>
      <c r="G206" s="7" t="inlineStr">
        <is>
          <t>WI-003</t>
        </is>
      </c>
      <c r="H206" s="7" t="inlineStr">
        <is>
          <t>AI làm</t>
        </is>
      </c>
      <c r="I206" s="7" t="inlineStr">
        <is>
          <t>CDS-12 tập 1</t>
        </is>
      </c>
      <c r="J206" s="7" t="inlineStr">
        <is>
          <t>doc.embed_diagram</t>
        </is>
      </c>
      <c r="K206" s="7" t="inlineStr">
        <is>
          <t>Chưa</t>
        </is>
      </c>
    </row>
    <row r="207">
      <c r="A207" s="4" t="inlineStr">
        <is>
          <t>WI-206</t>
        </is>
      </c>
      <c r="B207" s="4" t="inlineStr">
        <is>
          <t>Năng lực</t>
        </is>
      </c>
      <c r="C207" s="4" t="inlineStr">
        <is>
          <t>DOC-08 doc.style_check — Kiểm tài liệu theo chuẩn: tiếng Việt ưu tiên, thuật ngữ có giải nghĩa,</t>
        </is>
      </c>
      <c r="D207" s="4" t="inlineStr">
        <is>
          <t>M1</t>
        </is>
      </c>
      <c r="E207" s="4" t="inlineStr">
        <is>
          <t>M</t>
        </is>
      </c>
      <c r="F207" s="4" t="n">
        <v>0.75</v>
      </c>
      <c r="G207" s="4" t="inlineStr">
        <is>
          <t>WI-003</t>
        </is>
      </c>
      <c r="H207" s="4" t="inlineStr">
        <is>
          <t>AI làm</t>
        </is>
      </c>
      <c r="I207" s="4" t="inlineStr">
        <is>
          <t>CDS-12 tập 1</t>
        </is>
      </c>
      <c r="J207" s="4" t="inlineStr">
        <is>
          <t>doc.style_check</t>
        </is>
      </c>
      <c r="K207" s="4" t="inlineStr">
        <is>
          <t>Chưa</t>
        </is>
      </c>
    </row>
    <row r="208">
      <c r="A208" s="7" t="inlineStr">
        <is>
          <t>WI-207</t>
        </is>
      </c>
      <c r="B208" s="7" t="inlineStr">
        <is>
          <t>Năng lực</t>
        </is>
      </c>
      <c r="C208" s="7" t="inlineStr">
        <is>
          <t>DOC-09 doc.translate — Dịch tài liệu Việt↔Anh giữ thuật ngữ và bố cục</t>
        </is>
      </c>
      <c r="D208" s="7" t="inlineStr">
        <is>
          <t>M3</t>
        </is>
      </c>
      <c r="E208" s="7" t="inlineStr">
        <is>
          <t>S</t>
        </is>
      </c>
      <c r="F208" s="7" t="n">
        <v>0.75</v>
      </c>
      <c r="G208" s="7" t="inlineStr">
        <is>
          <t>WI-003</t>
        </is>
      </c>
      <c r="H208" s="7" t="inlineStr">
        <is>
          <t>AI làm</t>
        </is>
      </c>
      <c r="I208" s="7" t="inlineStr">
        <is>
          <t>CDS-12 tập 1</t>
        </is>
      </c>
      <c r="J208" s="7" t="inlineStr">
        <is>
          <t>doc.translate</t>
        </is>
      </c>
      <c r="K208" s="7" t="inlineStr">
        <is>
          <t>Chưa</t>
        </is>
      </c>
    </row>
    <row r="209">
      <c r="A209" s="4" t="inlineStr">
        <is>
          <t>WI-208</t>
        </is>
      </c>
      <c r="B209" s="4" t="inlineStr">
        <is>
          <t>Năng lực</t>
        </is>
      </c>
      <c r="C209" s="4" t="inlineStr">
        <is>
          <t>DOC-10 doc.changelog — Sinh changelog/ghi chú phát hành từ commit và ledger</t>
        </is>
      </c>
      <c r="D209" s="4" t="inlineStr">
        <is>
          <t>M2</t>
        </is>
      </c>
      <c r="E209" s="4" t="inlineStr">
        <is>
          <t>M</t>
        </is>
      </c>
      <c r="F209" s="4" t="n">
        <v>0.75</v>
      </c>
      <c r="G209" s="4" t="inlineStr">
        <is>
          <t>WI-003</t>
        </is>
      </c>
      <c r="H209" s="4" t="inlineStr">
        <is>
          <t>AI làm</t>
        </is>
      </c>
      <c r="I209" s="4" t="inlineStr">
        <is>
          <t>CDS-12 tập 1</t>
        </is>
      </c>
      <c r="J209" s="4" t="inlineStr">
        <is>
          <t>doc.changelog</t>
        </is>
      </c>
      <c r="K209" s="4" t="inlineStr">
        <is>
          <t>Chưa</t>
        </is>
      </c>
    </row>
    <row r="210">
      <c r="A210" s="7" t="inlineStr">
        <is>
          <t>WI-209</t>
        </is>
      </c>
      <c r="B210" s="7" t="inlineStr">
        <is>
          <t>Năng lực</t>
        </is>
      </c>
      <c r="C210" s="7" t="inlineStr">
        <is>
          <t>DOC-11 doc.slides — Sinh bộ slide trình bày dự án/đề án từ tài liệu và lược đồ</t>
        </is>
      </c>
      <c r="D210" s="7" t="inlineStr">
        <is>
          <t>M3</t>
        </is>
      </c>
      <c r="E210" s="7" t="inlineStr">
        <is>
          <t>S</t>
        </is>
      </c>
      <c r="F210" s="7" t="n">
        <v>0.75</v>
      </c>
      <c r="G210" s="7" t="inlineStr">
        <is>
          <t>WI-003</t>
        </is>
      </c>
      <c r="H210" s="7" t="inlineStr">
        <is>
          <t>AI làm</t>
        </is>
      </c>
      <c r="I210" s="7" t="inlineStr">
        <is>
          <t>CDS-12 tập 1</t>
        </is>
      </c>
      <c r="J210" s="7" t="inlineStr">
        <is>
          <t>doc.slides</t>
        </is>
      </c>
      <c r="K210" s="7" t="inlineStr">
        <is>
          <t>Chưa</t>
        </is>
      </c>
    </row>
    <row r="211">
      <c r="A211" s="4" t="inlineStr">
        <is>
          <t>WI-210</t>
        </is>
      </c>
      <c r="B211" s="4" t="inlineStr">
        <is>
          <t>Năng lực</t>
        </is>
      </c>
      <c r="C211" s="4" t="inlineStr">
        <is>
          <t>DOC-12 doc.sync — Cập nhật tài liệu khi mã/kiến trúc/fact đổi; đánh dấu mục lỗi thời</t>
        </is>
      </c>
      <c r="D211" s="4" t="inlineStr">
        <is>
          <t>M3</t>
        </is>
      </c>
      <c r="E211" s="4" t="inlineStr">
        <is>
          <t>S</t>
        </is>
      </c>
      <c r="F211" s="4" t="n">
        <v>0.75</v>
      </c>
      <c r="G211" s="4" t="inlineStr">
        <is>
          <t>WI-003</t>
        </is>
      </c>
      <c r="H211" s="4" t="inlineStr">
        <is>
          <t>AI làm/người duyệt</t>
        </is>
      </c>
      <c r="I211" s="4" t="inlineStr">
        <is>
          <t>CDS-12 tập 1</t>
        </is>
      </c>
      <c r="J211" s="4" t="inlineStr">
        <is>
          <t>doc.sync</t>
        </is>
      </c>
      <c r="K211" s="4" t="inlineStr">
        <is>
          <t>Chưa</t>
        </is>
      </c>
    </row>
    <row r="212">
      <c r="A212" s="7" t="inlineStr">
        <is>
          <t>WI-211</t>
        </is>
      </c>
      <c r="B212" s="7" t="inlineStr">
        <is>
          <t>Năng lực</t>
        </is>
      </c>
      <c r="C212" s="7" t="inlineStr">
        <is>
          <t xml:space="preserve">VIEW-01 view.kg_map — Hiển thị bản đồ tri thức toàn dự án: chip/board/module/fact/nguồn; tô </t>
        </is>
      </c>
      <c r="D212" s="7" t="inlineStr">
        <is>
          <t>M1</t>
        </is>
      </c>
      <c r="E212" s="7" t="inlineStr">
        <is>
          <t>M</t>
        </is>
      </c>
      <c r="F212" s="7" t="n">
        <v>0.5</v>
      </c>
      <c r="G212" s="7" t="inlineStr">
        <is>
          <t>WI-003</t>
        </is>
      </c>
      <c r="H212" s="7" t="inlineStr">
        <is>
          <t>AI làm</t>
        </is>
      </c>
      <c r="I212" s="7" t="inlineStr">
        <is>
          <t>CDS-12 tập 2</t>
        </is>
      </c>
      <c r="J212" s="7" t="inlineStr">
        <is>
          <t>view.kg_map</t>
        </is>
      </c>
      <c r="K212" s="7" t="inlineStr">
        <is>
          <t>Chưa</t>
        </is>
      </c>
    </row>
    <row r="213">
      <c r="A213" s="4" t="inlineStr">
        <is>
          <t>WI-212</t>
        </is>
      </c>
      <c r="B213" s="4" t="inlineStr">
        <is>
          <t>Năng lực</t>
        </is>
      </c>
      <c r="C213" s="4" t="inlineStr">
        <is>
          <t xml:space="preserve">VIEW-02 view.kg_focus — Bản đồ lân cận từ một nút (thanh ghi, chân, module) với đường dẫn tới </t>
        </is>
      </c>
      <c r="D213" s="4" t="inlineStr">
        <is>
          <t>M1</t>
        </is>
      </c>
      <c r="E213" s="4" t="inlineStr">
        <is>
          <t>M</t>
        </is>
      </c>
      <c r="F213" s="4" t="n">
        <v>0.5</v>
      </c>
      <c r="G213" s="4" t="inlineStr">
        <is>
          <t>WI-003</t>
        </is>
      </c>
      <c r="H213" s="4" t="inlineStr">
        <is>
          <t>AI làm</t>
        </is>
      </c>
      <c r="I213" s="4" t="inlineStr">
        <is>
          <t>CDS-12 tập 2</t>
        </is>
      </c>
      <c r="J213" s="4" t="inlineStr">
        <is>
          <t>view.kg_focus</t>
        </is>
      </c>
      <c r="K213" s="4" t="inlineStr">
        <is>
          <t>Chưa</t>
        </is>
      </c>
    </row>
    <row r="214">
      <c r="A214" s="7" t="inlineStr">
        <is>
          <t>WI-213</t>
        </is>
      </c>
      <c r="B214" s="7" t="inlineStr">
        <is>
          <t>Năng lực</t>
        </is>
      </c>
      <c r="C214" s="7" t="inlineStr">
        <is>
          <t>VIEW-03 view.provenance — Xem chuỗi nguồn gốc của một fact: tài liệu → trang/locator → trích đoạ</t>
        </is>
      </c>
      <c r="D214" s="7" t="inlineStr">
        <is>
          <t>M1</t>
        </is>
      </c>
      <c r="E214" s="7" t="inlineStr">
        <is>
          <t>M</t>
        </is>
      </c>
      <c r="F214" s="7" t="n">
        <v>0.5</v>
      </c>
      <c r="G214" s="7" t="inlineStr">
        <is>
          <t>WI-003</t>
        </is>
      </c>
      <c r="H214" s="7" t="inlineStr">
        <is>
          <t>AI làm</t>
        </is>
      </c>
      <c r="I214" s="7" t="inlineStr">
        <is>
          <t>CDS-12 tập 2</t>
        </is>
      </c>
      <c r="J214" s="7" t="inlineStr">
        <is>
          <t>view.provenance</t>
        </is>
      </c>
      <c r="K214" s="7" t="inlineStr">
        <is>
          <t>Chưa</t>
        </is>
      </c>
    </row>
    <row r="215">
      <c r="A215" s="4" t="inlineStr">
        <is>
          <t>WI-214</t>
        </is>
      </c>
      <c r="B215" s="4" t="inlineStr">
        <is>
          <t>Năng lực</t>
        </is>
      </c>
      <c r="C215" s="4" t="inlineStr">
        <is>
          <t>VIEW-04 view.conflict_board — Bảng mâu thuẫn/chờ duyệt/đã thay thế; thao tác duyệt ngay trên bảng</t>
        </is>
      </c>
      <c r="D215" s="4" t="inlineStr">
        <is>
          <t>M1</t>
        </is>
      </c>
      <c r="E215" s="4" t="inlineStr">
        <is>
          <t>M</t>
        </is>
      </c>
      <c r="F215" s="4" t="n">
        <v>0.5</v>
      </c>
      <c r="G215" s="4" t="inlineStr">
        <is>
          <t>WI-003</t>
        </is>
      </c>
      <c r="H215" s="4" t="inlineStr">
        <is>
          <t>AI làm</t>
        </is>
      </c>
      <c r="I215" s="4" t="inlineStr">
        <is>
          <t>CDS-12 tập 2</t>
        </is>
      </c>
      <c r="J215" s="4" t="inlineStr">
        <is>
          <t>view.conflict_board</t>
        </is>
      </c>
      <c r="K215" s="4" t="inlineStr">
        <is>
          <t>Chưa</t>
        </is>
      </c>
    </row>
    <row r="216">
      <c r="A216" s="7" t="inlineStr">
        <is>
          <t>WI-215</t>
        </is>
      </c>
      <c r="B216" s="7" t="inlineStr">
        <is>
          <t>Năng lực</t>
        </is>
      </c>
      <c r="C216" s="7" t="inlineStr">
        <is>
          <t>VIEW-05 view.coverage_map — Bản đồ độ phủ tri thức: ngoại vi/thanh ghi/chân nào đã có fact, đang t</t>
        </is>
      </c>
      <c r="D216" s="7" t="inlineStr">
        <is>
          <t>M2</t>
        </is>
      </c>
      <c r="E216" s="7" t="inlineStr">
        <is>
          <t>M</t>
        </is>
      </c>
      <c r="F216" s="7" t="n">
        <v>0.5</v>
      </c>
      <c r="G216" s="7" t="inlineStr">
        <is>
          <t>WI-003</t>
        </is>
      </c>
      <c r="H216" s="7" t="inlineStr">
        <is>
          <t>AI làm</t>
        </is>
      </c>
      <c r="I216" s="7" t="inlineStr">
        <is>
          <t>CDS-12 tập 2</t>
        </is>
      </c>
      <c r="J216" s="7" t="inlineStr">
        <is>
          <t>view.coverage_map</t>
        </is>
      </c>
      <c r="K216" s="7" t="inlineStr">
        <is>
          <t>Chưa</t>
        </is>
      </c>
    </row>
    <row r="217">
      <c r="A217" s="4" t="inlineStr">
        <is>
          <t>WI-216</t>
        </is>
      </c>
      <c r="B217" s="4" t="inlineStr">
        <is>
          <t>Năng lực</t>
        </is>
      </c>
      <c r="C217" s="4" t="inlineStr">
        <is>
          <t>VIEW-06 view.impact_map — Bản đồ tác động khi fact/yêu cầu đổi: module, test, tài liệu bị ảnh hư</t>
        </is>
      </c>
      <c r="D217" s="4" t="inlineStr">
        <is>
          <t>M2</t>
        </is>
      </c>
      <c r="E217" s="4" t="inlineStr">
        <is>
          <t>M</t>
        </is>
      </c>
      <c r="F217" s="4" t="n">
        <v>0.5</v>
      </c>
      <c r="G217" s="4" t="inlineStr">
        <is>
          <t>WI-003</t>
        </is>
      </c>
      <c r="H217" s="4" t="inlineStr">
        <is>
          <t>AI làm</t>
        </is>
      </c>
      <c r="I217" s="4" t="inlineStr">
        <is>
          <t>CDS-12 tập 2</t>
        </is>
      </c>
      <c r="J217" s="4" t="inlineStr">
        <is>
          <t>view.impact_map</t>
        </is>
      </c>
      <c r="K217" s="4" t="inlineStr">
        <is>
          <t>Chưa</t>
        </is>
      </c>
    </row>
    <row r="218">
      <c r="A218" s="7" t="inlineStr">
        <is>
          <t>WI-217</t>
        </is>
      </c>
      <c r="B218" s="7" t="inlineStr">
        <is>
          <t>Năng lực</t>
        </is>
      </c>
      <c r="C218" s="7" t="inlineStr">
        <is>
          <t>VIEW-07 view.rag_ask — Hỏi–đáp RAG trên toàn kho tài liệu dự án (PDF, ảnh OCR, mã, chat); trả</t>
        </is>
      </c>
      <c r="D218" s="7" t="inlineStr">
        <is>
          <t>M1</t>
        </is>
      </c>
      <c r="E218" s="7" t="inlineStr">
        <is>
          <t>M</t>
        </is>
      </c>
      <c r="F218" s="7" t="n">
        <v>0.5</v>
      </c>
      <c r="G218" s="7" t="inlineStr">
        <is>
          <t>WI-003</t>
        </is>
      </c>
      <c r="H218" s="7" t="inlineStr">
        <is>
          <t>AI làm</t>
        </is>
      </c>
      <c r="I218" s="7" t="inlineStr">
        <is>
          <t>CDS-12 tập 2</t>
        </is>
      </c>
      <c r="J218" s="7" t="inlineStr">
        <is>
          <t>view.rag_ask</t>
        </is>
      </c>
      <c r="K218" s="7" t="inlineStr">
        <is>
          <t>Chưa</t>
        </is>
      </c>
    </row>
    <row r="219">
      <c r="A219" s="4" t="inlineStr">
        <is>
          <t>WI-218</t>
        </is>
      </c>
      <c r="B219" s="4" t="inlineStr">
        <is>
          <t>Năng lực</t>
        </is>
      </c>
      <c r="C219" s="4" t="inlineStr">
        <is>
          <t>VIEW-08 view.rag_trace — Hiển thị lý do trả lời: đoạn văn bản được truy hồi, điểm số, đường lan</t>
        </is>
      </c>
      <c r="D219" s="4" t="inlineStr">
        <is>
          <t>M1</t>
        </is>
      </c>
      <c r="E219" s="4" t="inlineStr">
        <is>
          <t>M</t>
        </is>
      </c>
      <c r="F219" s="4" t="n">
        <v>0.5</v>
      </c>
      <c r="G219" s="4" t="inlineStr">
        <is>
          <t>WI-003</t>
        </is>
      </c>
      <c r="H219" s="4" t="inlineStr">
        <is>
          <t>AI làm</t>
        </is>
      </c>
      <c r="I219" s="4" t="inlineStr">
        <is>
          <t>CDS-12 tập 2</t>
        </is>
      </c>
      <c r="J219" s="4" t="inlineStr">
        <is>
          <t>view.rag_trace</t>
        </is>
      </c>
      <c r="K219" s="4" t="inlineStr">
        <is>
          <t>Chưa</t>
        </is>
      </c>
    </row>
    <row r="220">
      <c r="A220" s="7" t="inlineStr">
        <is>
          <t>WI-219</t>
        </is>
      </c>
      <c r="B220" s="7" t="inlineStr">
        <is>
          <t>Năng lực</t>
        </is>
      </c>
      <c r="C220" s="7" t="inlineStr">
        <is>
          <t xml:space="preserve">VIEW-09 view.rag_index — Xây/cập nhật chỉ mục RAG (chunk, embedding, chỉ mục từ khóa + đồ thị) </t>
        </is>
      </c>
      <c r="D220" s="7" t="inlineStr">
        <is>
          <t>M1</t>
        </is>
      </c>
      <c r="E220" s="7" t="inlineStr">
        <is>
          <t>M</t>
        </is>
      </c>
      <c r="F220" s="7" t="n">
        <v>0.75</v>
      </c>
      <c r="G220" s="7" t="inlineStr">
        <is>
          <t>WI-003</t>
        </is>
      </c>
      <c r="H220" s="7" t="inlineStr">
        <is>
          <t>AI làm</t>
        </is>
      </c>
      <c r="I220" s="7" t="inlineStr">
        <is>
          <t>CDS-12 tập 2</t>
        </is>
      </c>
      <c r="J220" s="7" t="inlineStr">
        <is>
          <t>view.rag_index</t>
        </is>
      </c>
      <c r="K220" s="7" t="inlineStr">
        <is>
          <t>Chưa</t>
        </is>
      </c>
    </row>
    <row r="221">
      <c r="A221" s="4" t="inlineStr">
        <is>
          <t>WI-220</t>
        </is>
      </c>
      <c r="B221" s="4" t="inlineStr">
        <is>
          <t>Năng lực</t>
        </is>
      </c>
      <c r="C221" s="4" t="inlineStr">
        <is>
          <t>VIEW-10 view.rag_compare — So sánh câu trả lời theo nhiều nguồn (datasheet vs errata vs cộng đồng</t>
        </is>
      </c>
      <c r="D221" s="4" t="inlineStr">
        <is>
          <t>M2</t>
        </is>
      </c>
      <c r="E221" s="4" t="inlineStr">
        <is>
          <t>M</t>
        </is>
      </c>
      <c r="F221" s="4" t="n">
        <v>0.5</v>
      </c>
      <c r="G221" s="4" t="inlineStr">
        <is>
          <t>WI-003</t>
        </is>
      </c>
      <c r="H221" s="4" t="inlineStr">
        <is>
          <t>AI làm</t>
        </is>
      </c>
      <c r="I221" s="4" t="inlineStr">
        <is>
          <t>CDS-12 tập 2</t>
        </is>
      </c>
      <c r="J221" s="4" t="inlineStr">
        <is>
          <t>view.rag_compare</t>
        </is>
      </c>
      <c r="K221" s="4" t="inlineStr">
        <is>
          <t>Chưa</t>
        </is>
      </c>
    </row>
    <row r="222">
      <c r="A222" s="7" t="inlineStr">
        <is>
          <t>WI-221</t>
        </is>
      </c>
      <c r="B222" s="7" t="inlineStr">
        <is>
          <t>Năng lực</t>
        </is>
      </c>
      <c r="C222" s="7" t="inlineStr">
        <is>
          <t>VIEW-11 view.doc_side_by_side — Xem tài liệu gốc cạnh fact/mã đã trích: bôi sáng vùng nguồn trong PDF/</t>
        </is>
      </c>
      <c r="D222" s="7" t="inlineStr">
        <is>
          <t>M1</t>
        </is>
      </c>
      <c r="E222" s="7" t="inlineStr">
        <is>
          <t>M</t>
        </is>
      </c>
      <c r="F222" s="7" t="n">
        <v>0.5</v>
      </c>
      <c r="G222" s="7" t="inlineStr">
        <is>
          <t>WI-003</t>
        </is>
      </c>
      <c r="H222" s="7" t="inlineStr">
        <is>
          <t>AI làm</t>
        </is>
      </c>
      <c r="I222" s="7" t="inlineStr">
        <is>
          <t>CDS-12 tập 2</t>
        </is>
      </c>
      <c r="J222" s="7" t="inlineStr">
        <is>
          <t>view.doc_side_by_side</t>
        </is>
      </c>
      <c r="K222" s="7" t="inlineStr">
        <is>
          <t>Chưa</t>
        </is>
      </c>
    </row>
    <row r="223">
      <c r="A223" s="4" t="inlineStr">
        <is>
          <t>WI-222</t>
        </is>
      </c>
      <c r="B223" s="4" t="inlineStr">
        <is>
          <t>Năng lực</t>
        </is>
      </c>
      <c r="C223" s="4" t="inlineStr">
        <is>
          <t>VIEW-12 view.timeline — Dòng thời gian tri thức/quyết định: fact nhập, supersede, gate, merge,</t>
        </is>
      </c>
      <c r="D223" s="4" t="inlineStr">
        <is>
          <t>M2</t>
        </is>
      </c>
      <c r="E223" s="4" t="inlineStr">
        <is>
          <t>M</t>
        </is>
      </c>
      <c r="F223" s="4" t="n">
        <v>0.5</v>
      </c>
      <c r="G223" s="4" t="inlineStr">
        <is>
          <t>WI-003</t>
        </is>
      </c>
      <c r="H223" s="4" t="inlineStr">
        <is>
          <t>AI làm</t>
        </is>
      </c>
      <c r="I223" s="4" t="inlineStr">
        <is>
          <t>CDS-12 tập 2</t>
        </is>
      </c>
      <c r="J223" s="4" t="inlineStr">
        <is>
          <t>view.timeline</t>
        </is>
      </c>
      <c r="K223" s="4" t="inlineStr">
        <is>
          <t>Chưa</t>
        </is>
      </c>
    </row>
    <row r="224">
      <c r="A224" s="7" t="inlineStr">
        <is>
          <t>WI-223</t>
        </is>
      </c>
      <c r="B224" s="7" t="inlineStr">
        <is>
          <t>Năng lực</t>
        </is>
      </c>
      <c r="C224" s="7" t="inlineStr">
        <is>
          <t>VIEW-13 view.export_map — Xuất bản đồ tri thức ra DOT/GraphML/SVG/PNG hoặc mã Mermaid để chèn tà</t>
        </is>
      </c>
      <c r="D224" s="7" t="inlineStr">
        <is>
          <t>M1</t>
        </is>
      </c>
      <c r="E224" s="7" t="inlineStr">
        <is>
          <t>M</t>
        </is>
      </c>
      <c r="F224" s="7" t="n">
        <v>0.5</v>
      </c>
      <c r="G224" s="7" t="inlineStr">
        <is>
          <t>WI-003</t>
        </is>
      </c>
      <c r="H224" s="7" t="inlineStr">
        <is>
          <t>AI làm</t>
        </is>
      </c>
      <c r="I224" s="7" t="inlineStr">
        <is>
          <t>CDS-12 tập 2</t>
        </is>
      </c>
      <c r="J224" s="7" t="inlineStr">
        <is>
          <t>view.export_map</t>
        </is>
      </c>
      <c r="K224" s="7" t="inlineStr">
        <is>
          <t>Chưa</t>
        </is>
      </c>
    </row>
    <row r="225">
      <c r="A225" s="4" t="inlineStr">
        <is>
          <t>WI-224</t>
        </is>
      </c>
      <c r="B225" s="4" t="inlineStr">
        <is>
          <t>Năng lực</t>
        </is>
      </c>
      <c r="C225" s="4" t="inlineStr">
        <is>
          <t>DISCOVER-01 discover.ports — Liệt kê cổng USB/serial/JTAG-SWD đang cắm; VID/PID, driver, quyền truy</t>
        </is>
      </c>
      <c r="D225" s="4" t="inlineStr">
        <is>
          <t>M2</t>
        </is>
      </c>
      <c r="E225" s="4" t="inlineStr">
        <is>
          <t>M</t>
        </is>
      </c>
      <c r="F225" s="4" t="n">
        <v>0.75</v>
      </c>
      <c r="G225" s="4" t="inlineStr">
        <is>
          <t>WI-003</t>
        </is>
      </c>
      <c r="H225" s="4" t="inlineStr">
        <is>
          <t>AI làm</t>
        </is>
      </c>
      <c r="I225" s="4" t="inlineStr">
        <is>
          <t>CDS-12 tập 4</t>
        </is>
      </c>
      <c r="J225" s="4" t="inlineStr">
        <is>
          <t>discover.ports</t>
        </is>
      </c>
      <c r="K225" s="4" t="inlineStr">
        <is>
          <t>Chưa</t>
        </is>
      </c>
    </row>
    <row r="226">
      <c r="A226" s="7" t="inlineStr">
        <is>
          <t>WI-225</t>
        </is>
      </c>
      <c r="B226" s="7" t="inlineStr">
        <is>
          <t>Năng lực</t>
        </is>
      </c>
      <c r="C226" s="7" t="inlineStr">
        <is>
          <t>DISCOVER-02 discover.probe — Dò debug probe (ST-Link, J-Link, CMSIS-DAP, PICkit, AVRISP, ESP USB-JT</t>
        </is>
      </c>
      <c r="D226" s="7" t="inlineStr">
        <is>
          <t>M2</t>
        </is>
      </c>
      <c r="E226" s="7" t="inlineStr">
        <is>
          <t>M</t>
        </is>
      </c>
      <c r="F226" s="7" t="n">
        <v>0.75</v>
      </c>
      <c r="G226" s="7" t="inlineStr">
        <is>
          <t>WI-003</t>
        </is>
      </c>
      <c r="H226" s="7" t="inlineStr">
        <is>
          <t>AI làm</t>
        </is>
      </c>
      <c r="I226" s="7" t="inlineStr">
        <is>
          <t>CDS-12 tập 4</t>
        </is>
      </c>
      <c r="J226" s="7" t="inlineStr">
        <is>
          <t>discover.probe</t>
        </is>
      </c>
      <c r="K226" s="7" t="inlineStr">
        <is>
          <t>Chưa</t>
        </is>
      </c>
    </row>
    <row r="227">
      <c r="A227" s="4" t="inlineStr">
        <is>
          <t>WI-226</t>
        </is>
      </c>
      <c r="B227" s="4" t="inlineStr">
        <is>
          <t>Năng lực</t>
        </is>
      </c>
      <c r="C227" s="4" t="inlineStr">
        <is>
          <t xml:space="preserve">DISCOVER-03 discover.chip_id — Đọc ID chip qua probe/bootloader (IDCODE, DEVICE_ID, signature bytes, </t>
        </is>
      </c>
      <c r="D227" s="4" t="inlineStr">
        <is>
          <t>M2</t>
        </is>
      </c>
      <c r="E227" s="4" t="inlineStr">
        <is>
          <t>M</t>
        </is>
      </c>
      <c r="F227" s="4" t="n">
        <v>0.75</v>
      </c>
      <c r="G227" s="4" t="inlineStr">
        <is>
          <t>WI-003</t>
        </is>
      </c>
      <c r="H227" s="4" t="inlineStr">
        <is>
          <t>AI làm</t>
        </is>
      </c>
      <c r="I227" s="4" t="inlineStr">
        <is>
          <t>CDS-12 tập 4</t>
        </is>
      </c>
      <c r="J227" s="4" t="inlineStr">
        <is>
          <t>discover.chip_id</t>
        </is>
      </c>
      <c r="K227" s="4" t="inlineStr">
        <is>
          <t>Chưa</t>
        </is>
      </c>
    </row>
    <row r="228">
      <c r="A228" s="7" t="inlineStr">
        <is>
          <t>WI-227</t>
        </is>
      </c>
      <c r="B228" s="7" t="inlineStr">
        <is>
          <t>Năng lực</t>
        </is>
      </c>
      <c r="C228" s="7" t="inlineStr">
        <is>
          <t>DISCOVER-04 discover.board_match — Nhận diện board từ chip ID + ngoại vi phản hồi (I2C scan, GPIO) + ảnh/</t>
        </is>
      </c>
      <c r="D228" s="7" t="inlineStr">
        <is>
          <t>M2</t>
        </is>
      </c>
      <c r="E228" s="7" t="inlineStr">
        <is>
          <t>M</t>
        </is>
      </c>
      <c r="F228" s="7" t="n">
        <v>0.75</v>
      </c>
      <c r="G228" s="7" t="inlineStr">
        <is>
          <t>WI-003</t>
        </is>
      </c>
      <c r="H228" s="7" t="inlineStr">
        <is>
          <t>AI làm/người duyệt</t>
        </is>
      </c>
      <c r="I228" s="7" t="inlineStr">
        <is>
          <t>CDS-12 tập 4</t>
        </is>
      </c>
      <c r="J228" s="7" t="inlineStr">
        <is>
          <t>discover.board_match</t>
        </is>
      </c>
      <c r="K228" s="7" t="inlineStr">
        <is>
          <t>Chưa</t>
        </is>
      </c>
    </row>
    <row r="229">
      <c r="A229" s="4" t="inlineStr">
        <is>
          <t>WI-228</t>
        </is>
      </c>
      <c r="B229" s="4" t="inlineStr">
        <is>
          <t>Năng lực</t>
        </is>
      </c>
      <c r="C229" s="4" t="inlineStr">
        <is>
          <t>DISCOVER-05 discover.bus_scan — Quét bus I2C/SPI/1-Wire/CAN tìm thiết bị đang có; đối chiếu địa chỉ vớ</t>
        </is>
      </c>
      <c r="D229" s="4" t="inlineStr">
        <is>
          <t>M3</t>
        </is>
      </c>
      <c r="E229" s="4" t="inlineStr">
        <is>
          <t>S</t>
        </is>
      </c>
      <c r="F229" s="4" t="n">
        <v>1.125</v>
      </c>
      <c r="G229" s="4" t="inlineStr">
        <is>
          <t>WI-003</t>
        </is>
      </c>
      <c r="H229" s="4" t="inlineStr">
        <is>
          <t>AI làm</t>
        </is>
      </c>
      <c r="I229" s="4" t="inlineStr">
        <is>
          <t>CDS-12 tập 4</t>
        </is>
      </c>
      <c r="J229" s="4" t="inlineStr">
        <is>
          <t>discover.bus_scan</t>
        </is>
      </c>
      <c r="K229" s="4" t="inlineStr">
        <is>
          <t>Chưa</t>
        </is>
      </c>
    </row>
    <row r="230">
      <c r="A230" s="7" t="inlineStr">
        <is>
          <t>WI-229</t>
        </is>
      </c>
      <c r="B230" s="7" t="inlineStr">
        <is>
          <t>Năng lực</t>
        </is>
      </c>
      <c r="C230" s="7" t="inlineStr">
        <is>
          <t>DISCOVER-06 discover.link_speed — Dò tốc độ kết nối tối ưu: baud serial (auto-baud), SWD/JTAG clock, SPI</t>
        </is>
      </c>
      <c r="D230" s="7" t="inlineStr">
        <is>
          <t>M2</t>
        </is>
      </c>
      <c r="E230" s="7" t="inlineStr">
        <is>
          <t>M</t>
        </is>
      </c>
      <c r="F230" s="7" t="n">
        <v>1.125</v>
      </c>
      <c r="G230" s="7" t="inlineStr">
        <is>
          <t>WI-003</t>
        </is>
      </c>
      <c r="H230" s="7" t="inlineStr">
        <is>
          <t>AI làm</t>
        </is>
      </c>
      <c r="I230" s="7" t="inlineStr">
        <is>
          <t>CDS-12 tập 4</t>
        </is>
      </c>
      <c r="J230" s="7" t="inlineStr">
        <is>
          <t>discover.link_speed</t>
        </is>
      </c>
      <c r="K230" s="7" t="inlineStr">
        <is>
          <t>Chưa</t>
        </is>
      </c>
    </row>
    <row r="231">
      <c r="A231" s="4" t="inlineStr">
        <is>
          <t>WI-230</t>
        </is>
      </c>
      <c r="B231" s="4" t="inlineStr">
        <is>
          <t>Năng lực</t>
        </is>
      </c>
      <c r="C231" s="4" t="inlineStr">
        <is>
          <t>DISCOVER-07 discover.clock_measure — Đo tần số thực của chip/bus (qua probe timestamp, LA, hoặc firmware đo</t>
        </is>
      </c>
      <c r="D231" s="4" t="inlineStr">
        <is>
          <t>M3</t>
        </is>
      </c>
      <c r="E231" s="4" t="inlineStr">
        <is>
          <t>S</t>
        </is>
      </c>
      <c r="F231" s="4" t="n">
        <v>1.125</v>
      </c>
      <c r="G231" s="4" t="inlineStr">
        <is>
          <t>WI-003</t>
        </is>
      </c>
      <c r="H231" s="4" t="inlineStr">
        <is>
          <t>AI làm</t>
        </is>
      </c>
      <c r="I231" s="4" t="inlineStr">
        <is>
          <t>CDS-12 tập 4</t>
        </is>
      </c>
      <c r="J231" s="4" t="inlineStr">
        <is>
          <t>discover.clock_measure</t>
        </is>
      </c>
      <c r="K231" s="4" t="inlineStr">
        <is>
          <t>Chưa</t>
        </is>
      </c>
    </row>
    <row r="232">
      <c r="A232" s="7" t="inlineStr">
        <is>
          <t>WI-231</t>
        </is>
      </c>
      <c r="B232" s="7" t="inlineStr">
        <is>
          <t>Năng lực</t>
        </is>
      </c>
      <c r="C232" s="7" t="inlineStr">
        <is>
          <t>DISCOVER-08 discover.power — Đọc điện áp/dòng cấp (nếu probe/board hỗ trợ) và cảnh báo bất thường t</t>
        </is>
      </c>
      <c r="D232" s="7" t="inlineStr">
        <is>
          <t>M3</t>
        </is>
      </c>
      <c r="E232" s="7" t="inlineStr">
        <is>
          <t>S</t>
        </is>
      </c>
      <c r="F232" s="7" t="n">
        <v>0.75</v>
      </c>
      <c r="G232" s="7" t="inlineStr">
        <is>
          <t>WI-003</t>
        </is>
      </c>
      <c r="H232" s="7" t="inlineStr">
        <is>
          <t>AI làm</t>
        </is>
      </c>
      <c r="I232" s="7" t="inlineStr">
        <is>
          <t>CDS-12 tập 4</t>
        </is>
      </c>
      <c r="J232" s="7" t="inlineStr">
        <is>
          <t>discover.power</t>
        </is>
      </c>
      <c r="K232" s="7" t="inlineStr">
        <is>
          <t>Chưa</t>
        </is>
      </c>
    </row>
    <row r="233">
      <c r="A233" s="4" t="inlineStr">
        <is>
          <t>WI-232</t>
        </is>
      </c>
      <c r="B233" s="4" t="inlineStr">
        <is>
          <t>Năng lực</t>
        </is>
      </c>
      <c r="C233" s="4" t="inlineStr">
        <is>
          <t>DISCOVER-09 discover.firmware_probe — Nhận diện firmware đang chạy trên board (banner serial, bootloader, ph</t>
        </is>
      </c>
      <c r="D233" s="4" t="inlineStr">
        <is>
          <t>M2</t>
        </is>
      </c>
      <c r="E233" s="4" t="inlineStr">
        <is>
          <t>M</t>
        </is>
      </c>
      <c r="F233" s="4" t="n">
        <v>0.75</v>
      </c>
      <c r="G233" s="4" t="inlineStr">
        <is>
          <t>WI-003</t>
        </is>
      </c>
      <c r="H233" s="4" t="inlineStr">
        <is>
          <t>AI làm</t>
        </is>
      </c>
      <c r="I233" s="4" t="inlineStr">
        <is>
          <t>CDS-12 tập 4</t>
        </is>
      </c>
      <c r="J233" s="4" t="inlineStr">
        <is>
          <t>discover.firmware_probe</t>
        </is>
      </c>
      <c r="K233" s="4" t="inlineStr">
        <is>
          <t>Chưa</t>
        </is>
      </c>
    </row>
    <row r="234">
      <c r="A234" s="7" t="inlineStr">
        <is>
          <t>WI-233</t>
        </is>
      </c>
      <c r="B234" s="7" t="inlineStr">
        <is>
          <t>Năng lực</t>
        </is>
      </c>
      <c r="C234" s="7" t="inlineStr">
        <is>
          <t>DISCOVER-10 discover.network — Dò thiết bị nhúng trên mạng LAN (mDNS, OTA endpoint, IP cố định) cho b</t>
        </is>
      </c>
      <c r="D234" s="7" t="inlineStr">
        <is>
          <t>M3</t>
        </is>
      </c>
      <c r="E234" s="7" t="inlineStr">
        <is>
          <t>S</t>
        </is>
      </c>
      <c r="F234" s="7" t="n">
        <v>0.75</v>
      </c>
      <c r="G234" s="7" t="inlineStr">
        <is>
          <t>WI-003</t>
        </is>
      </c>
      <c r="H234" s="7" t="inlineStr">
        <is>
          <t>AI làm</t>
        </is>
      </c>
      <c r="I234" s="7" t="inlineStr">
        <is>
          <t>CDS-12 tập 4</t>
        </is>
      </c>
      <c r="J234" s="7" t="inlineStr">
        <is>
          <t>discover.network</t>
        </is>
      </c>
      <c r="K234" s="7" t="inlineStr">
        <is>
          <t>Chưa</t>
        </is>
      </c>
    </row>
    <row r="235">
      <c r="A235" s="4" t="inlineStr">
        <is>
          <t>WI-234</t>
        </is>
      </c>
      <c r="B235" s="4" t="inlineStr">
        <is>
          <t>Năng lực</t>
        </is>
      </c>
      <c r="C235" s="4" t="inlineStr">
        <is>
          <t>DISCOVER-11 discover.env_hw — Tóm tắt phần cứng máy phát triển: OS, cổng, driver thiếu, quyền (udev/</t>
        </is>
      </c>
      <c r="D235" s="4" t="inlineStr">
        <is>
          <t>M2</t>
        </is>
      </c>
      <c r="E235" s="4" t="inlineStr">
        <is>
          <t>M</t>
        </is>
      </c>
      <c r="F235" s="4" t="n">
        <v>0.75</v>
      </c>
      <c r="G235" s="4" t="inlineStr">
        <is>
          <t>WI-003</t>
        </is>
      </c>
      <c r="H235" s="4" t="inlineStr">
        <is>
          <t>AI làm</t>
        </is>
      </c>
      <c r="I235" s="4" t="inlineStr">
        <is>
          <t>CDS-12 tập 4</t>
        </is>
      </c>
      <c r="J235" s="4" t="inlineStr">
        <is>
          <t>discover.env_hw</t>
        </is>
      </c>
      <c r="K235" s="4" t="inlineStr">
        <is>
          <t>Chưa</t>
        </is>
      </c>
    </row>
    <row r="236">
      <c r="A236" s="7" t="inlineStr">
        <is>
          <t>WI-235</t>
        </is>
      </c>
      <c r="B236" s="7" t="inlineStr">
        <is>
          <t>Năng lực</t>
        </is>
      </c>
      <c r="C236" s="7" t="inlineStr">
        <is>
          <t>DISCOVER-12 discover.auto_setup — Từ kết quả dò: chọn adapter ISA, cấu hình openocd/probe-rs/esptool, tố</t>
        </is>
      </c>
      <c r="D236" s="7" t="inlineStr">
        <is>
          <t>M2</t>
        </is>
      </c>
      <c r="E236" s="7" t="inlineStr">
        <is>
          <t>M</t>
        </is>
      </c>
      <c r="F236" s="7" t="n">
        <v>1.125</v>
      </c>
      <c r="G236" s="7" t="inlineStr">
        <is>
          <t>WI-003</t>
        </is>
      </c>
      <c r="H236" s="7" t="inlineStr">
        <is>
          <t>AI làm</t>
        </is>
      </c>
      <c r="I236" s="7" t="inlineStr">
        <is>
          <t>CDS-12 tập 4</t>
        </is>
      </c>
      <c r="J236" s="7" t="inlineStr">
        <is>
          <t>discover.auto_setup</t>
        </is>
      </c>
      <c r="K236" s="7" t="inlineStr">
        <is>
          <t>Chưa</t>
        </is>
      </c>
    </row>
    <row r="237">
      <c r="A237" s="4" t="inlineStr">
        <is>
          <t>WI-236</t>
        </is>
      </c>
      <c r="B237" s="4" t="inlineStr">
        <is>
          <t>Năng lực</t>
        </is>
      </c>
      <c r="C237" s="4" t="inlineStr">
        <is>
          <t>TOOL-01 tool.need — Nhận diện nhu cầu công cụ mới: khi chuỗi thiếu năng lực phù hợp hoặc n</t>
        </is>
      </c>
      <c r="D237" s="4" t="inlineStr">
        <is>
          <t>M1</t>
        </is>
      </c>
      <c r="E237" s="4" t="inlineStr">
        <is>
          <t>M</t>
        </is>
      </c>
      <c r="F237" s="4" t="n">
        <v>0.5</v>
      </c>
      <c r="G237" s="4" t="inlineStr">
        <is>
          <t>WI-003</t>
        </is>
      </c>
      <c r="H237" s="4" t="inlineStr">
        <is>
          <t>AI làm</t>
        </is>
      </c>
      <c r="I237" s="4" t="inlineStr">
        <is>
          <t>CDS-12 tập 3</t>
        </is>
      </c>
      <c r="J237" s="4" t="inlineStr">
        <is>
          <t>tool.need</t>
        </is>
      </c>
      <c r="K237" s="4" t="inlineStr">
        <is>
          <t>Chưa</t>
        </is>
      </c>
    </row>
    <row r="238">
      <c r="A238" s="7" t="inlineStr">
        <is>
          <t>WI-237</t>
        </is>
      </c>
      <c r="B238" s="7" t="inlineStr">
        <is>
          <t>Năng lực</t>
        </is>
      </c>
      <c r="C238" s="7" t="inlineStr">
        <is>
          <t>TOOL-02 tool.search — Tìm công cụ đã có (do tác tử tự viết trước đó, trong dự án/người dùng/</t>
        </is>
      </c>
      <c r="D238" s="7" t="inlineStr">
        <is>
          <t>M1</t>
        </is>
      </c>
      <c r="E238" s="7" t="inlineStr">
        <is>
          <t>M</t>
        </is>
      </c>
      <c r="F238" s="7" t="n">
        <v>0.5</v>
      </c>
      <c r="G238" s="7" t="inlineStr">
        <is>
          <t>WI-003</t>
        </is>
      </c>
      <c r="H238" s="7" t="inlineStr">
        <is>
          <t>AI làm</t>
        </is>
      </c>
      <c r="I238" s="7" t="inlineStr">
        <is>
          <t>CDS-12 tập 3</t>
        </is>
      </c>
      <c r="J238" s="7" t="inlineStr">
        <is>
          <t>tool.search</t>
        </is>
      </c>
      <c r="K238" s="7" t="inlineStr">
        <is>
          <t>Chưa</t>
        </is>
      </c>
    </row>
    <row r="239">
      <c r="A239" s="4" t="inlineStr">
        <is>
          <t>WI-238</t>
        </is>
      </c>
      <c r="B239" s="4" t="inlineStr">
        <is>
          <t>Năng lực</t>
        </is>
      </c>
      <c r="C239" s="4" t="inlineStr">
        <is>
          <t>TOOL-03 tool.write — Tự viết công cụ bằng Python theo ToolSpec: hàm thuần có chữ ký, docstr</t>
        </is>
      </c>
      <c r="D239" s="4" t="inlineStr">
        <is>
          <t>M1</t>
        </is>
      </c>
      <c r="E239" s="4" t="inlineStr">
        <is>
          <t>M</t>
        </is>
      </c>
      <c r="F239" s="4" t="n">
        <v>1</v>
      </c>
      <c r="G239" s="4" t="inlineStr">
        <is>
          <t>WI-003</t>
        </is>
      </c>
      <c r="H239" s="4" t="inlineStr">
        <is>
          <t>AI làm</t>
        </is>
      </c>
      <c r="I239" s="4" t="inlineStr">
        <is>
          <t>CDS-12 tập 3</t>
        </is>
      </c>
      <c r="J239" s="4" t="inlineStr">
        <is>
          <t>tool.write</t>
        </is>
      </c>
      <c r="K239" s="4" t="inlineStr">
        <is>
          <t>Chưa</t>
        </is>
      </c>
    </row>
    <row r="240">
      <c r="A240" s="7" t="inlineStr">
        <is>
          <t>WI-239</t>
        </is>
      </c>
      <c r="B240" s="7" t="inlineStr">
        <is>
          <t>Năng lực</t>
        </is>
      </c>
      <c r="C240" s="7" t="inlineStr">
        <is>
          <t>TOOL-04 tool.test — Chạy test của công cụ trong sandbox (không mạng, không phần cứng); kiể</t>
        </is>
      </c>
      <c r="D240" s="7" t="inlineStr">
        <is>
          <t>M1</t>
        </is>
      </c>
      <c r="E240" s="7" t="inlineStr">
        <is>
          <t>M</t>
        </is>
      </c>
      <c r="F240" s="7" t="n">
        <v>0.5</v>
      </c>
      <c r="G240" s="7" t="inlineStr">
        <is>
          <t>WI-003</t>
        </is>
      </c>
      <c r="H240" s="7" t="inlineStr">
        <is>
          <t>AI làm</t>
        </is>
      </c>
      <c r="I240" s="7" t="inlineStr">
        <is>
          <t>CDS-12 tập 3</t>
        </is>
      </c>
      <c r="J240" s="7" t="inlineStr">
        <is>
          <t>tool.test</t>
        </is>
      </c>
      <c r="K240" s="7" t="inlineStr">
        <is>
          <t>Chưa</t>
        </is>
      </c>
    </row>
    <row r="241">
      <c r="A241" s="4" t="inlineStr">
        <is>
          <t>WI-240</t>
        </is>
      </c>
      <c r="B241" s="4" t="inlineStr">
        <is>
          <t>Năng lực</t>
        </is>
      </c>
      <c r="C241" s="4" t="inlineStr">
        <is>
          <t>TOOL-05 tool.run — Thực thi công cụ trong sandbox với giới hạn theo hiệu ứng khai báo; ch</t>
        </is>
      </c>
      <c r="D241" s="4" t="inlineStr">
        <is>
          <t>M1</t>
        </is>
      </c>
      <c r="E241" s="4" t="inlineStr">
        <is>
          <t>M</t>
        </is>
      </c>
      <c r="F241" s="4" t="n">
        <v>1</v>
      </c>
      <c r="G241" s="4" t="inlineStr">
        <is>
          <t>WI-003</t>
        </is>
      </c>
      <c r="H241" s="4" t="inlineStr">
        <is>
          <t>AI làm/người duyệt</t>
        </is>
      </c>
      <c r="I241" s="4" t="inlineStr">
        <is>
          <t>CDS-12 tập 3</t>
        </is>
      </c>
      <c r="J241" s="4" t="inlineStr">
        <is>
          <t>tool.run</t>
        </is>
      </c>
      <c r="K241" s="4" t="inlineStr">
        <is>
          <t>Chưa</t>
        </is>
      </c>
    </row>
    <row r="242">
      <c r="A242" s="7" t="inlineStr">
        <is>
          <t>WI-241</t>
        </is>
      </c>
      <c r="B242" s="7" t="inlineStr">
        <is>
          <t>Năng lực</t>
        </is>
      </c>
      <c r="C242" s="7" t="inlineStr">
        <is>
          <t>TOOL-06 tool.register — Đăng ký công cụ thành năng lực tạm (namespace user.*) trong Capability</t>
        </is>
      </c>
      <c r="D242" s="7" t="inlineStr">
        <is>
          <t>M1</t>
        </is>
      </c>
      <c r="E242" s="7" t="inlineStr">
        <is>
          <t>M</t>
        </is>
      </c>
      <c r="F242" s="7" t="n">
        <v>0.75</v>
      </c>
      <c r="G242" s="7" t="inlineStr">
        <is>
          <t>WI-003</t>
        </is>
      </c>
      <c r="H242" s="7" t="inlineStr">
        <is>
          <t>AI làm</t>
        </is>
      </c>
      <c r="I242" s="7" t="inlineStr">
        <is>
          <t>CDS-12 tập 3</t>
        </is>
      </c>
      <c r="J242" s="7" t="inlineStr">
        <is>
          <t>tool.register</t>
        </is>
      </c>
      <c r="K242" s="7" t="inlineStr">
        <is>
          <t>Chưa</t>
        </is>
      </c>
    </row>
    <row r="243">
      <c r="A243" s="4" t="inlineStr">
        <is>
          <t>WI-242</t>
        </is>
      </c>
      <c r="B243" s="4" t="inlineStr">
        <is>
          <t>Năng lực</t>
        </is>
      </c>
      <c r="C243" s="4" t="inlineStr">
        <is>
          <t>TOOL-07 tool.repair — Sửa công cụ khi thất bại (ToolReport/lỗi runtime) ≤ 3 vòng; ghi sổ lỗi</t>
        </is>
      </c>
      <c r="D243" s="4" t="inlineStr">
        <is>
          <t>M1</t>
        </is>
      </c>
      <c r="E243" s="4" t="inlineStr">
        <is>
          <t>M</t>
        </is>
      </c>
      <c r="F243" s="4" t="n">
        <v>1</v>
      </c>
      <c r="G243" s="4" t="inlineStr">
        <is>
          <t>WI-003</t>
        </is>
      </c>
      <c r="H243" s="4" t="inlineStr">
        <is>
          <t>AI làm</t>
        </is>
      </c>
      <c r="I243" s="4" t="inlineStr">
        <is>
          <t>CDS-12 tập 3</t>
        </is>
      </c>
      <c r="J243" s="4" t="inlineStr">
        <is>
          <t>tool.repair</t>
        </is>
      </c>
      <c r="K243" s="4" t="inlineStr">
        <is>
          <t>Chưa</t>
        </is>
      </c>
    </row>
    <row r="244">
      <c r="A244" s="7" t="inlineStr">
        <is>
          <t>WI-243</t>
        </is>
      </c>
      <c r="B244" s="7" t="inlineStr">
        <is>
          <t>Năng lực</t>
        </is>
      </c>
      <c r="C244" s="7" t="inlineStr">
        <is>
          <t xml:space="preserve">TOOL-08 tool.promote — Thăng công cụ tạm thành năng lực chính thức (namespace chuẩn) sau khi </t>
        </is>
      </c>
      <c r="D244" s="7" t="inlineStr">
        <is>
          <t>M2</t>
        </is>
      </c>
      <c r="E244" s="7" t="inlineStr">
        <is>
          <t>M</t>
        </is>
      </c>
      <c r="F244" s="7" t="n">
        <v>0.75</v>
      </c>
      <c r="G244" s="7" t="inlineStr">
        <is>
          <t>WI-003</t>
        </is>
      </c>
      <c r="H244" s="7" t="inlineStr">
        <is>
          <t>AI làm/người duyệt</t>
        </is>
      </c>
      <c r="I244" s="7" t="inlineStr">
        <is>
          <t>CDS-12 tập 3</t>
        </is>
      </c>
      <c r="J244" s="7" t="inlineStr">
        <is>
          <t>tool.promote</t>
        </is>
      </c>
      <c r="K244" s="7" t="inlineStr">
        <is>
          <t>Chưa</t>
        </is>
      </c>
    </row>
    <row r="245">
      <c r="A245" s="4" t="inlineStr">
        <is>
          <t>WI-244</t>
        </is>
      </c>
      <c r="B245" s="4" t="inlineStr">
        <is>
          <t>Năng lực</t>
        </is>
      </c>
      <c r="C245" s="4" t="inlineStr">
        <is>
          <t>TOOL-09 tool.compose — Ghép nhiều công cụ/năng lực thành công cụ mới (pipeline) không cần viế</t>
        </is>
      </c>
      <c r="D245" s="4" t="inlineStr">
        <is>
          <t>M2</t>
        </is>
      </c>
      <c r="E245" s="4" t="inlineStr">
        <is>
          <t>M</t>
        </is>
      </c>
      <c r="F245" s="4" t="n">
        <v>0.75</v>
      </c>
      <c r="G245" s="4" t="inlineStr">
        <is>
          <t>WI-003</t>
        </is>
      </c>
      <c r="H245" s="4" t="inlineStr">
        <is>
          <t>AI làm</t>
        </is>
      </c>
      <c r="I245" s="4" t="inlineStr">
        <is>
          <t>CDS-12 tập 3</t>
        </is>
      </c>
      <c r="J245" s="4" t="inlineStr">
        <is>
          <t>tool.compose</t>
        </is>
      </c>
      <c r="K245" s="4" t="inlineStr">
        <is>
          <t>Chưa</t>
        </is>
      </c>
    </row>
    <row r="246">
      <c r="A246" s="7" t="inlineStr">
        <is>
          <t>WI-245</t>
        </is>
      </c>
      <c r="B246" s="7" t="inlineStr">
        <is>
          <t>Năng lực</t>
        </is>
      </c>
      <c r="C246" s="7" t="inlineStr">
        <is>
          <t>TOOL-10 tool.deprecate — Vô hiệu hóa công cụ lỗi/không dùng; giữ lịch sử; thay thế bằng năng lự</t>
        </is>
      </c>
      <c r="D246" s="7" t="inlineStr">
        <is>
          <t>M2</t>
        </is>
      </c>
      <c r="E246" s="7" t="inlineStr">
        <is>
          <t>M</t>
        </is>
      </c>
      <c r="F246" s="7" t="n">
        <v>0.75</v>
      </c>
      <c r="G246" s="7" t="inlineStr">
        <is>
          <t>WI-003</t>
        </is>
      </c>
      <c r="H246" s="7" t="inlineStr">
        <is>
          <t>AI làm</t>
        </is>
      </c>
      <c r="I246" s="7" t="inlineStr">
        <is>
          <t>CDS-12 tập 3</t>
        </is>
      </c>
      <c r="J246" s="7" t="inlineStr">
        <is>
          <t>tool.deprecate</t>
        </is>
      </c>
      <c r="K246" s="7" t="inlineStr">
        <is>
          <t>Chưa</t>
        </is>
      </c>
    </row>
    <row r="247">
      <c r="A247" s="4" t="inlineStr">
        <is>
          <t>WI-246</t>
        </is>
      </c>
      <c r="B247" s="4" t="inlineStr">
        <is>
          <t>Tài liệu</t>
        </is>
      </c>
      <c r="C247" s="4" t="inlineStr">
        <is>
          <t>Cập nhật URD/SRS/SAD/SDD/STP/BPD/KAD/APD v1.2 (tool.*, tham chiếu tài liệu mới)</t>
        </is>
      </c>
      <c r="D247" s="4" t="inlineStr">
        <is>
          <t>M1</t>
        </is>
      </c>
      <c r="E247" s="4" t="inlineStr">
        <is>
          <t>S</t>
        </is>
      </c>
      <c r="F247" s="4" t="n">
        <v>1</v>
      </c>
      <c r="G247" s="4" t="inlineStr"/>
      <c r="H247" s="4" t="inlineStr">
        <is>
          <t>AI làm/người duyệt</t>
        </is>
      </c>
      <c r="I247" s="4" t="inlineStr">
        <is>
          <t>Bộ v1.2</t>
        </is>
      </c>
      <c r="J247" s="4" t="inlineStr"/>
      <c r="K247" s="4" t="inlineStr">
        <is>
          <t>Chưa</t>
        </is>
      </c>
    </row>
    <row r="248">
      <c r="A248" s="7" t="inlineStr">
        <is>
          <t>WI-247</t>
        </is>
      </c>
      <c r="B248" s="7" t="inlineStr">
        <is>
          <t>Tài liệu</t>
        </is>
      </c>
      <c r="C248" s="7" t="inlineStr">
        <is>
          <t>Cập nhật Danh mục v1.2 và Use case v1.2 khi thêm năng lực</t>
        </is>
      </c>
      <c r="D248" s="7" t="inlineStr">
        <is>
          <t>M1</t>
        </is>
      </c>
      <c r="E248" s="7" t="inlineStr">
        <is>
          <t>S</t>
        </is>
      </c>
      <c r="F248" s="7" t="n">
        <v>0.5</v>
      </c>
      <c r="G248" s="7" t="inlineStr"/>
      <c r="H248" s="7" t="inlineStr">
        <is>
          <t>AI làm/người duyệt</t>
        </is>
      </c>
      <c r="I248" s="7" t="inlineStr">
        <is>
          <t>PLN-27</t>
        </is>
      </c>
      <c r="J248" s="7" t="inlineStr"/>
      <c r="K248" s="7" t="inlineStr">
        <is>
          <t>Chưa</t>
        </is>
      </c>
    </row>
    <row r="249">
      <c r="A249" s="4" t="inlineStr">
        <is>
          <t>WI-248</t>
        </is>
      </c>
      <c r="B249" s="4" t="inlineStr">
        <is>
          <t>Tài liệu</t>
        </is>
      </c>
      <c r="C249" s="4" t="inlineStr">
        <is>
          <t>Sinh lại tài liệu tự động trong CI (docs job)</t>
        </is>
      </c>
      <c r="D249" s="4" t="inlineStr">
        <is>
          <t>M2</t>
        </is>
      </c>
      <c r="E249" s="4" t="inlineStr">
        <is>
          <t>S</t>
        </is>
      </c>
      <c r="F249" s="4" t="n">
        <v>1</v>
      </c>
      <c r="G249" s="4" t="inlineStr"/>
      <c r="H249" s="4" t="inlineStr">
        <is>
          <t>AI làm/người duyệt</t>
        </is>
      </c>
      <c r="I249" s="4" t="inlineStr">
        <is>
          <t>DEP-26 §5</t>
        </is>
      </c>
      <c r="J249" s="4" t="inlineStr"/>
      <c r="K249" s="4" t="inlineStr">
        <is>
          <t>Chưa</t>
        </is>
      </c>
    </row>
    <row r="250">
      <c r="A250" s="7" t="inlineStr">
        <is>
          <t>WI-249</t>
        </is>
      </c>
      <c r="B250" s="7" t="inlineStr">
        <is>
          <t>Tài liệu</t>
        </is>
      </c>
      <c r="C250" s="7" t="inlineStr">
        <is>
          <t>Chương thực nghiệm đề án từ benchmark và ma trận Người–AI</t>
        </is>
      </c>
      <c r="D250" s="7" t="inlineStr">
        <is>
          <t>M3</t>
        </is>
      </c>
      <c r="E250" s="7" t="inlineStr">
        <is>
          <t>S</t>
        </is>
      </c>
      <c r="F250" s="7" t="n">
        <v>3</v>
      </c>
      <c r="G250" s="7" t="inlineStr"/>
      <c r="H250" s="7" t="inlineStr">
        <is>
          <t>AI làm/người duyệt</t>
        </is>
      </c>
      <c r="I250" s="7" t="inlineStr">
        <is>
          <t>BEN-21, report.human_ai_matrix</t>
        </is>
      </c>
      <c r="J250" s="7" t="inlineStr"/>
      <c r="K250" s="7" t="inlineStr">
        <is>
          <t>Chưa</t>
        </is>
      </c>
    </row>
    <row r="251">
      <c r="A251" s="4" t="inlineStr">
        <is>
          <t>WI-250</t>
        </is>
      </c>
      <c r="B251" s="4" t="inlineStr">
        <is>
          <t>Kiểm thử</t>
        </is>
      </c>
      <c r="C251" s="4" t="inlineStr">
        <is>
          <t>TC-01…08 bất biến + TC-66 registry + TC-51…57 tự chủ</t>
        </is>
      </c>
      <c r="D251" s="4" t="inlineStr">
        <is>
          <t>M1</t>
        </is>
      </c>
      <c r="E251" s="4" t="inlineStr">
        <is>
          <t>M</t>
        </is>
      </c>
      <c r="F251" s="4" t="n">
        <v>2</v>
      </c>
      <c r="G251" s="4" t="inlineStr"/>
      <c r="H251" s="4" t="inlineStr">
        <is>
          <t>AI làm/người duyệt</t>
        </is>
      </c>
      <c r="I251" s="4" t="inlineStr">
        <is>
          <t>STP-05, POL-17</t>
        </is>
      </c>
      <c r="J251" s="4" t="inlineStr"/>
      <c r="K251" s="4" t="inlineStr">
        <is>
          <t>Chưa</t>
        </is>
      </c>
    </row>
    <row r="252">
      <c r="A252" s="7" t="inlineStr">
        <is>
          <t>WI-251</t>
        </is>
      </c>
      <c r="B252" s="7" t="inlineStr">
        <is>
          <t>Kiểm thử</t>
        </is>
      </c>
      <c r="C252" s="7" t="inlineStr">
        <is>
          <t>TC-59…65 hội thoại (L2b) + Z-01…Z-10 + 50 câu lệnh</t>
        </is>
      </c>
      <c r="D252" s="7" t="inlineStr">
        <is>
          <t>M1</t>
        </is>
      </c>
      <c r="E252" s="7" t="inlineStr">
        <is>
          <t>M</t>
        </is>
      </c>
      <c r="F252" s="7" t="n">
        <v>2</v>
      </c>
      <c r="G252" s="7" t="inlineStr"/>
      <c r="H252" s="7" t="inlineStr">
        <is>
          <t>AI làm/người duyệt</t>
        </is>
      </c>
      <c r="I252" s="7" t="inlineStr">
        <is>
          <t>DPS-09, PRS-16</t>
        </is>
      </c>
      <c r="J252" s="7" t="inlineStr"/>
      <c r="K252" s="7" t="inlineStr">
        <is>
          <t>Chưa</t>
        </is>
      </c>
    </row>
    <row r="253">
      <c r="A253" s="4" t="inlineStr">
        <is>
          <t>WI-252</t>
        </is>
      </c>
      <c r="B253" s="4" t="inlineStr">
        <is>
          <t>Kiểm thử</t>
        </is>
      </c>
      <c r="C253" s="4" t="inlineStr">
        <is>
          <t>TC-CX/TC-MM/TC-SE/TC-DD</t>
        </is>
      </c>
      <c r="D253" s="4" t="inlineStr">
        <is>
          <t>M1</t>
        </is>
      </c>
      <c r="E253" s="4" t="inlineStr">
        <is>
          <t>M</t>
        </is>
      </c>
      <c r="F253" s="4" t="n">
        <v>2</v>
      </c>
      <c r="G253" s="4" t="inlineStr"/>
      <c r="H253" s="4" t="inlineStr">
        <is>
          <t>AI làm/người duyệt</t>
        </is>
      </c>
      <c r="I253" s="4" t="inlineStr">
        <is>
          <t>CXD, MEM, SEC, DDD</t>
        </is>
      </c>
      <c r="J253" s="4" t="inlineStr"/>
      <c r="K253" s="4" t="inlineStr">
        <is>
          <t>Chưa</t>
        </is>
      </c>
    </row>
    <row r="254">
      <c r="A254" s="7" t="inlineStr">
        <is>
          <t>WI-253</t>
        </is>
      </c>
      <c r="B254" s="7" t="inlineStr">
        <is>
          <t>Kiểm thử</t>
        </is>
      </c>
      <c r="C254" s="7" t="inlineStr">
        <is>
          <t>TC hợp đồng sinh tự động cho 238 năng lực</t>
        </is>
      </c>
      <c r="D254" s="7" t="inlineStr">
        <is>
          <t>M1</t>
        </is>
      </c>
      <c r="E254" s="7" t="inlineStr">
        <is>
          <t>M</t>
        </is>
      </c>
      <c r="F254" s="7" t="n">
        <v>1.5</v>
      </c>
      <c r="G254" s="7" t="inlineStr"/>
      <c r="H254" s="7" t="inlineStr">
        <is>
          <t>AI làm/người duyệt</t>
        </is>
      </c>
      <c r="I254" s="7" t="inlineStr">
        <is>
          <t>STP-05 §1</t>
        </is>
      </c>
      <c r="J254" s="7" t="inlineStr"/>
      <c r="K254" s="7" t="inlineStr">
        <is>
          <t>Chưa</t>
        </is>
      </c>
    </row>
    <row r="255">
      <c r="A255" s="4" t="inlineStr">
        <is>
          <t>WI-254</t>
        </is>
      </c>
      <c r="B255" s="4" t="inlineStr">
        <is>
          <t>Kiểm thử</t>
        </is>
      </c>
      <c r="C255" s="4" t="inlineStr">
        <is>
          <t>TC-67…82 kỹ nghệ/tri thức/dò board + TC-TG/TC-SM (L3 trên Nucleo/Uno)</t>
        </is>
      </c>
      <c r="D255" s="4" t="inlineStr">
        <is>
          <t>M2</t>
        </is>
      </c>
      <c r="E255" s="4" t="inlineStr">
        <is>
          <t>M</t>
        </is>
      </c>
      <c r="F255" s="4" t="n">
        <v>4</v>
      </c>
      <c r="G255" s="4" t="inlineStr"/>
      <c r="H255" s="4" t="inlineStr">
        <is>
          <t>AI làm/người duyệt</t>
        </is>
      </c>
      <c r="I255" s="4" t="inlineStr">
        <is>
          <t>STP-05, TGT-19, SIM-20</t>
        </is>
      </c>
      <c r="J255" s="4" t="inlineStr"/>
      <c r="K255" s="4" t="inlineStr">
        <is>
          <t>Chưa</t>
        </is>
      </c>
    </row>
    <row r="256">
      <c r="A256" s="7" t="inlineStr">
        <is>
          <t>WI-255</t>
        </is>
      </c>
      <c r="B256" s="7" t="inlineStr">
        <is>
          <t>Kiểm thử</t>
        </is>
      </c>
      <c r="C256" s="7" t="inlineStr">
        <is>
          <t>TC-UX-01…08 + TC-DP + kịch bản chuẩn ≤ 5 bấm (TC-58)</t>
        </is>
      </c>
      <c r="D256" s="7" t="inlineStr">
        <is>
          <t>M2</t>
        </is>
      </c>
      <c r="E256" s="7" t="inlineStr">
        <is>
          <t>M</t>
        </is>
      </c>
      <c r="F256" s="7" t="n">
        <v>2</v>
      </c>
      <c r="G256" s="7" t="inlineStr"/>
      <c r="H256" s="7" t="inlineStr">
        <is>
          <t>AI làm/người duyệt</t>
        </is>
      </c>
      <c r="I256" s="7" t="inlineStr">
        <is>
          <t>UXD-13, DEP-26</t>
        </is>
      </c>
      <c r="J256" s="7" t="inlineStr"/>
      <c r="K256" s="7" t="inlineStr">
        <is>
          <t>Chưa</t>
        </is>
      </c>
    </row>
    <row r="257">
      <c r="A257" s="4" t="inlineStr">
        <is>
          <t>WI-256</t>
        </is>
      </c>
      <c r="B257" s="4" t="inlineStr">
        <is>
          <t>Kiểm thử</t>
        </is>
      </c>
      <c r="C257" s="4" t="inlineStr">
        <is>
          <t>TC-TL-01…03 công cụ tự tạo</t>
        </is>
      </c>
      <c r="D257" s="4" t="inlineStr">
        <is>
          <t>M1</t>
        </is>
      </c>
      <c r="E257" s="4" t="inlineStr">
        <is>
          <t>M</t>
        </is>
      </c>
      <c r="F257" s="4" t="n">
        <v>1</v>
      </c>
      <c r="G257" s="4" t="inlineStr"/>
      <c r="H257" s="4" t="inlineStr">
        <is>
          <t>AI làm/người duyệt</t>
        </is>
      </c>
      <c r="I257" s="4" t="inlineStr">
        <is>
          <t>CDS tool.*</t>
        </is>
      </c>
      <c r="J257" s="4" t="inlineStr"/>
      <c r="K257" s="4" t="inlineStr">
        <is>
          <t>Chưa</t>
        </is>
      </c>
    </row>
    <row r="258">
      <c r="A258" s="7" t="inlineStr">
        <is>
          <t>WI-257</t>
        </is>
      </c>
      <c r="B258" s="7" t="inlineStr">
        <is>
          <t>Người</t>
        </is>
      </c>
      <c r="C258" s="7" t="inlineStr">
        <is>
          <t>Ký danh sách trắng (nguồn, gói, board lab) và đặt autonomy.yaml ban đầu</t>
        </is>
      </c>
      <c r="D258" s="7" t="inlineStr">
        <is>
          <t>M1</t>
        </is>
      </c>
      <c r="E258" s="7" t="inlineStr">
        <is>
          <t>M</t>
        </is>
      </c>
      <c r="F258" s="7" t="n">
        <v>0.5</v>
      </c>
      <c r="G258" s="7" t="inlineStr"/>
      <c r="H258" s="7" t="inlineStr">
        <is>
          <t>Người</t>
        </is>
      </c>
      <c r="I258" s="7" t="inlineStr">
        <is>
          <t>POL-17 §3</t>
        </is>
      </c>
      <c r="J258" s="7" t="inlineStr"/>
      <c r="K258" s="7" t="inlineStr">
        <is>
          <t>Chưa</t>
        </is>
      </c>
    </row>
    <row r="259">
      <c r="A259" s="4" t="inlineStr">
        <is>
          <t>WI-258</t>
        </is>
      </c>
      <c r="B259" s="4" t="inlineStr">
        <is>
          <t>Người</t>
        </is>
      </c>
      <c r="C259" s="4" t="inlineStr">
        <is>
          <t>Xác nhận mã màu PTIT chính thức và ngôn ngữ lược đồ GEditor hỗ trợ</t>
        </is>
      </c>
      <c r="D259" s="4" t="inlineStr">
        <is>
          <t>M1</t>
        </is>
      </c>
      <c r="E259" s="4" t="inlineStr">
        <is>
          <t>M</t>
        </is>
      </c>
      <c r="F259" s="4" t="n">
        <v>0.5</v>
      </c>
      <c r="G259" s="4" t="inlineStr"/>
      <c r="H259" s="4" t="inlineStr">
        <is>
          <t>Người</t>
        </is>
      </c>
      <c r="I259" s="4" t="inlineStr">
        <is>
          <t>UXD-13, GPI-23</t>
        </is>
      </c>
      <c r="J259" s="4" t="inlineStr"/>
      <c r="K259" s="4" t="inlineStr">
        <is>
          <t>Chưa</t>
        </is>
      </c>
    </row>
    <row r="260">
      <c r="A260" s="7" t="inlineStr">
        <is>
          <t>WI-259</t>
        </is>
      </c>
      <c r="B260" s="7" t="inlineStr">
        <is>
          <t>Người</t>
        </is>
      </c>
      <c r="C260" s="7" t="inlineStr">
        <is>
          <t>Chốt API plugin GEditor còn thiếu (GP-01…12)</t>
        </is>
      </c>
      <c r="D260" s="7" t="inlineStr">
        <is>
          <t>M2</t>
        </is>
      </c>
      <c r="E260" s="7" t="inlineStr">
        <is>
          <t>M</t>
        </is>
      </c>
      <c r="F260" s="7" t="n">
        <v>2</v>
      </c>
      <c r="G260" s="7" t="inlineStr"/>
      <c r="H260" s="7" t="inlineStr">
        <is>
          <t>Người</t>
        </is>
      </c>
      <c r="I260" s="7" t="inlineStr">
        <is>
          <t>GPI-23 §6</t>
        </is>
      </c>
      <c r="J260" s="7" t="inlineStr"/>
      <c r="K260" s="7" t="inlineStr">
        <is>
          <t>Chưa</t>
        </is>
      </c>
    </row>
    <row r="261">
      <c r="A261" s="4" t="inlineStr">
        <is>
          <t>WI-260</t>
        </is>
      </c>
      <c r="B261" s="4" t="inlineStr">
        <is>
          <t>Người</t>
        </is>
      </c>
      <c r="C261" s="4" t="inlineStr">
        <is>
          <t>Đo tham số vật lý robot (khối lượng, tâm khối) thay nhãn tạm</t>
        </is>
      </c>
      <c r="D261" s="4" t="inlineStr">
        <is>
          <t>M2</t>
        </is>
      </c>
      <c r="E261" s="4" t="inlineStr">
        <is>
          <t>M</t>
        </is>
      </c>
      <c r="F261" s="4" t="n">
        <v>0.5</v>
      </c>
      <c r="G261" s="4" t="inlineStr"/>
      <c r="H261" s="4" t="inlineStr">
        <is>
          <t>Người</t>
        </is>
      </c>
      <c r="I261" s="4" t="inlineStr">
        <is>
          <t>SIM-20 §4</t>
        </is>
      </c>
      <c r="J261" s="4" t="inlineStr"/>
      <c r="K261" s="4" t="inlineStr">
        <is>
          <t>Chưa</t>
        </is>
      </c>
    </row>
    <row r="262">
      <c r="A262" s="7" t="inlineStr">
        <is>
          <t>WI-261</t>
        </is>
      </c>
      <c r="B262" s="7" t="inlineStr">
        <is>
          <t>Người</t>
        </is>
      </c>
      <c r="C262" s="7" t="inlineStr">
        <is>
          <t>Duyệt tool.promote và pack đầu tiên; ý kiến pháp lý license registry công khai</t>
        </is>
      </c>
      <c r="D262" s="7" t="inlineStr">
        <is>
          <t>M4</t>
        </is>
      </c>
      <c r="E262" s="7" t="inlineStr">
        <is>
          <t>M</t>
        </is>
      </c>
      <c r="F262" s="7" t="n">
        <v>1</v>
      </c>
      <c r="G262" s="7" t="inlineStr"/>
      <c r="H262" s="7" t="inlineStr">
        <is>
          <t>Người</t>
        </is>
      </c>
      <c r="I262" s="7" t="inlineStr">
        <is>
          <t>PKG-22</t>
        </is>
      </c>
      <c r="J262" s="7" t="inlineStr"/>
      <c r="K262" s="7" t="inlineStr">
        <is>
          <t>Chưa</t>
        </is>
      </c>
    </row>
  </sheetData>
  <dataValidations count="1">
    <dataValidation sqref="K2:K262" showDropDown="0" showInputMessage="0" showErrorMessage="0" allowBlank="1" type="list">
      <formula1>"Chưa,Đang,Xong,Bỏ"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6" customWidth="1" min="4" max="4"/>
    <col width="30" customWidth="1" min="5" max="5"/>
    <col width="22" customWidth="1" min="6" max="6"/>
  </cols>
  <sheetData>
    <row r="1">
      <c r="A1" s="6" t="inlineStr">
        <is>
          <t>Nhóm UR</t>
        </is>
      </c>
      <c r="B1" s="6" t="inlineStr">
        <is>
          <t>Nhóm năng lực</t>
        </is>
      </c>
      <c r="C1" s="6" t="inlineStr">
        <is>
          <t>FR (năng lực)</t>
        </is>
      </c>
      <c r="D1" s="6" t="inlineStr">
        <is>
          <t>Thiết kế</t>
        </is>
      </c>
      <c r="E1" s="6" t="inlineStr">
        <is>
          <t>Test case</t>
        </is>
      </c>
      <c r="F1" s="6" t="inlineStr">
        <is>
          <t>Màn hình</t>
        </is>
      </c>
    </row>
    <row r="2">
      <c r="A2" s="7" t="inlineStr">
        <is>
          <t>UR-TT-*</t>
        </is>
      </c>
      <c r="B2" s="7" t="inlineStr">
        <is>
          <t>archive</t>
        </is>
      </c>
      <c r="C2" s="7" t="inlineStr">
        <is>
          <t>FR-ARCHIVE-01…07</t>
        </is>
      </c>
      <c r="D2" s="7" t="inlineStr">
        <is>
          <t>CDS-12 tập 2; SDD-04 §4</t>
        </is>
      </c>
      <c r="E2" s="7" t="inlineStr">
        <is>
          <t>TC-11, TC-SE-02</t>
        </is>
      </c>
      <c r="F2" s="7" t="inlineStr">
        <is>
          <t>Ingest</t>
        </is>
      </c>
    </row>
    <row r="3">
      <c r="A3" s="4" t="inlineStr">
        <is>
          <t>UR-TT-*</t>
        </is>
      </c>
      <c r="B3" s="4" t="inlineStr">
        <is>
          <t>search</t>
        </is>
      </c>
      <c r="C3" s="4" t="inlineStr">
        <is>
          <t>FR-SEARCH-01…09</t>
        </is>
      </c>
      <c r="D3" s="4" t="inlineStr">
        <is>
          <t>CDS-12 tập 2; SDD-04 §4</t>
        </is>
      </c>
      <c r="E3" s="4" t="inlineStr">
        <is>
          <t>TC-07, S01…S07</t>
        </is>
      </c>
      <c r="F3" s="4" t="inlineStr">
        <is>
          <t>Ingest</t>
        </is>
      </c>
    </row>
    <row r="4">
      <c r="A4" s="7" t="inlineStr">
        <is>
          <t>UR-TT-*</t>
        </is>
      </c>
      <c r="B4" s="7" t="inlineStr">
        <is>
          <t>extract</t>
        </is>
      </c>
      <c r="C4" s="7" t="inlineStr">
        <is>
          <t>FR-EXTRACT-01…21</t>
        </is>
      </c>
      <c r="D4" s="7" t="inlineStr">
        <is>
          <t>CDS-12 tập 2; SDD-04 §4</t>
        </is>
      </c>
      <c r="E4" s="7" t="inlineStr">
        <is>
          <t>TC-09, TC-10, TC-12, TC-22</t>
        </is>
      </c>
      <c r="F4" s="7" t="inlineStr">
        <is>
          <t>Ingest/Passport</t>
        </is>
      </c>
    </row>
    <row r="5">
      <c r="A5" s="4" t="inlineStr">
        <is>
          <t>UR-TT-*</t>
        </is>
      </c>
      <c r="B5" s="4" t="inlineStr">
        <is>
          <t>passport</t>
        </is>
      </c>
      <c r="C5" s="4" t="inlineStr">
        <is>
          <t>FR-PASSPORT-01…08</t>
        </is>
      </c>
      <c r="D5" s="4" t="inlineStr">
        <is>
          <t>CDS-12 tập 2; SDD-04 §4</t>
        </is>
      </c>
      <c r="E5" s="4" t="inlineStr">
        <is>
          <t>TC-15, TC-16, TC-18</t>
        </is>
      </c>
      <c r="F5" s="4" t="inlineStr">
        <is>
          <t>Passport</t>
        </is>
      </c>
    </row>
    <row r="6">
      <c r="A6" s="7" t="inlineStr">
        <is>
          <t>UR-TT-*</t>
        </is>
      </c>
      <c r="B6" s="7" t="inlineStr">
        <is>
          <t>kg</t>
        </is>
      </c>
      <c r="C6" s="7" t="inlineStr">
        <is>
          <t>FR-KG-01…09</t>
        </is>
      </c>
      <c r="D6" s="7" t="inlineStr">
        <is>
          <t>CDS-12 tập 2; SDD-04 §4</t>
        </is>
      </c>
      <c r="E6" s="7" t="inlineStr">
        <is>
          <t>TC-13, TC-17, S09…S17</t>
        </is>
      </c>
      <c r="F6" s="7" t="inlineStr">
        <is>
          <t>RagAsk/ReviewQueue</t>
        </is>
      </c>
    </row>
    <row r="7">
      <c r="A7" s="4" t="inlineStr">
        <is>
          <t>UR-MC-*</t>
        </is>
      </c>
      <c r="B7" s="4" t="inlineStr">
        <is>
          <t>board</t>
        </is>
      </c>
      <c r="C7" s="4" t="inlineStr">
        <is>
          <t>FR-BOARD-01…05</t>
        </is>
      </c>
      <c r="D7" s="4" t="inlineStr">
        <is>
          <t>CDS-12 tập 2; SDD-04 §4</t>
        </is>
      </c>
      <c r="E7" s="4" t="inlineStr">
        <is>
          <t>TC-20, TC-21</t>
        </is>
      </c>
      <c r="F7" s="4" t="inlineStr">
        <is>
          <t>Board</t>
        </is>
      </c>
    </row>
    <row r="8">
      <c r="A8" s="7" t="inlineStr">
        <is>
          <t>UR-MA-*</t>
        </is>
      </c>
      <c r="B8" s="7" t="inlineStr">
        <is>
          <t>plan</t>
        </is>
      </c>
      <c r="C8" s="7" t="inlineStr">
        <is>
          <t>FR-PLAN-01…07</t>
        </is>
      </c>
      <c r="D8" s="7" t="inlineStr">
        <is>
          <t>CDS-12 tập 1; SDD-04 §4</t>
        </is>
      </c>
      <c r="E8" s="7" t="inlineStr">
        <is>
          <t>TC-26, S18…S22</t>
        </is>
      </c>
      <c r="F8" s="7" t="inlineStr">
        <is>
          <t>PlanDiff</t>
        </is>
      </c>
    </row>
    <row r="9">
      <c r="A9" s="4" t="inlineStr">
        <is>
          <t>UR-MA-*</t>
        </is>
      </c>
      <c r="B9" s="4" t="inlineStr">
        <is>
          <t>code</t>
        </is>
      </c>
      <c r="C9" s="4" t="inlineStr">
        <is>
          <t>FR-CODE-01…16</t>
        </is>
      </c>
      <c r="D9" s="4" t="inlineStr">
        <is>
          <t>CDS-12 tập 3; SDD-04 §4</t>
        </is>
      </c>
      <c r="E9" s="4" t="inlineStr">
        <is>
          <t>TC-04, TC-31, S23…S28</t>
        </is>
      </c>
      <c r="F9" s="4" t="inlineStr">
        <is>
          <t>Code/PlanDiff</t>
        </is>
      </c>
    </row>
    <row r="10">
      <c r="A10" s="7" t="inlineStr">
        <is>
          <t>UR-MA-*</t>
        </is>
      </c>
      <c r="B10" s="7" t="inlineStr">
        <is>
          <t>memory</t>
        </is>
      </c>
      <c r="C10" s="7" t="inlineStr">
        <is>
          <t>FR-MEMORY-01…08</t>
        </is>
      </c>
      <c r="D10" s="7" t="inlineStr">
        <is>
          <t>CDS-12 tập 6; SDD-04 §4</t>
        </is>
      </c>
      <c r="E10" s="7" t="inlineStr">
        <is>
          <t>TC-MM-01…09, TC-CX-01…08</t>
        </is>
      </c>
      <c r="F10" s="7" t="inlineStr">
        <is>
          <t>Chat</t>
        </is>
      </c>
    </row>
    <row r="11">
      <c r="A11" s="4" t="inlineStr">
        <is>
          <t>UR-XM-*</t>
        </is>
      </c>
      <c r="B11" s="4" t="inlineStr">
        <is>
          <t>sim</t>
        </is>
      </c>
      <c r="C11" s="4" t="inlineStr">
        <is>
          <t>FR-SIM-01…07</t>
        </is>
      </c>
      <c r="D11" s="4" t="inlineStr">
        <is>
          <t>CDS-12 tập 4; SDD-04 §4</t>
        </is>
      </c>
      <c r="E11" s="4" t="inlineStr">
        <is>
          <t>TC-34, TC-SM-01…06</t>
        </is>
      </c>
      <c r="F11" s="4" t="inlineStr">
        <is>
          <t>Sim</t>
        </is>
      </c>
    </row>
    <row r="12">
      <c r="A12" s="7" t="inlineStr">
        <is>
          <t>UR-XM-*</t>
        </is>
      </c>
      <c r="B12" s="7" t="inlineStr">
        <is>
          <t>target</t>
        </is>
      </c>
      <c r="C12" s="7" t="inlineStr">
        <is>
          <t>FR-TARGET-01…09</t>
        </is>
      </c>
      <c r="D12" s="7" t="inlineStr">
        <is>
          <t>CDS-12 tập 4; SDD-04 §4</t>
        </is>
      </c>
      <c r="E12" s="7" t="inlineStr">
        <is>
          <t>TC-32, TC-33, TC-36, TC-TG-05</t>
        </is>
      </c>
      <c r="F12" s="7" t="inlineStr">
        <is>
          <t>Discovery/Debug</t>
        </is>
      </c>
    </row>
    <row r="13">
      <c r="A13" s="4" t="inlineStr">
        <is>
          <t>UR-XM-*</t>
        </is>
      </c>
      <c r="B13" s="4" t="inlineStr">
        <is>
          <t>measure</t>
        </is>
      </c>
      <c r="C13" s="4" t="inlineStr">
        <is>
          <t>FR-MEASURE-01…03</t>
        </is>
      </c>
      <c r="D13" s="4" t="inlineStr">
        <is>
          <t>CDS-12 tập 4; SDD-04 §4</t>
        </is>
      </c>
      <c r="E13" s="4" t="inlineStr">
        <is>
          <t>TC-06 (F)</t>
        </is>
      </c>
      <c r="F13" s="4" t="inlineStr">
        <is>
          <t>Debug</t>
        </is>
      </c>
    </row>
    <row r="14">
      <c r="A14" s="7" t="inlineStr">
        <is>
          <t>UR-XM-*</t>
        </is>
      </c>
      <c r="B14" s="7" t="inlineStr">
        <is>
          <t>bench</t>
        </is>
      </c>
      <c r="C14" s="7" t="inlineStr">
        <is>
          <t>FR-BENCH-01…03</t>
        </is>
      </c>
      <c r="D14" s="7" t="inlineStr">
        <is>
          <t>CDS-12 tập 4; SDD-04 §4</t>
        </is>
      </c>
      <c r="E14" s="7" t="inlineStr">
        <is>
          <t>TC-47</t>
        </is>
      </c>
      <c r="F14" s="7" t="inlineStr">
        <is>
          <t>Bench</t>
        </is>
      </c>
    </row>
    <row r="15">
      <c r="A15" s="4" t="inlineStr">
        <is>
          <t>UR-GL-*</t>
        </is>
      </c>
      <c r="B15" s="4" t="inlineStr">
        <is>
          <t>debug</t>
        </is>
      </c>
      <c r="C15" s="4" t="inlineStr">
        <is>
          <t>FR-DEBUG-01…06</t>
        </is>
      </c>
      <c r="D15" s="4" t="inlineStr">
        <is>
          <t>CDS-12 tập 4; SDD-04 §4</t>
        </is>
      </c>
      <c r="E15" s="4" t="inlineStr">
        <is>
          <t>TC-37, TC-38</t>
        </is>
      </c>
      <c r="F15" s="4" t="inlineStr">
        <is>
          <t>LogAssist/Debug</t>
        </is>
      </c>
    </row>
    <row r="16">
      <c r="A16" s="7" t="inlineStr">
        <is>
          <t>UR-QS-*</t>
        </is>
      </c>
      <c r="B16" s="7" t="inlineStr">
        <is>
          <t>view</t>
        </is>
      </c>
      <c r="C16" s="7" t="inlineStr">
        <is>
          <t>FR-VIEW-01…13</t>
        </is>
      </c>
      <c r="D16" s="7" t="inlineStr">
        <is>
          <t>CDS-12 tập 2; SDD-04 §4</t>
        </is>
      </c>
      <c r="E16" s="7" t="inlineStr">
        <is>
          <t>TC-78, TC-79</t>
        </is>
      </c>
      <c r="F16" s="7" t="inlineStr">
        <is>
          <t>RagAsk</t>
        </is>
      </c>
    </row>
    <row r="17">
      <c r="A17" s="4" t="inlineStr">
        <is>
          <t>UR-QS-*</t>
        </is>
      </c>
      <c r="B17" s="4" t="inlineStr">
        <is>
          <t>debug</t>
        </is>
      </c>
      <c r="C17" s="4" t="inlineStr">
        <is>
          <t>FR-DEBUG-01…06</t>
        </is>
      </c>
      <c r="D17" s="4" t="inlineStr">
        <is>
          <t>CDS-12 tập 4; SDD-04 §4</t>
        </is>
      </c>
      <c r="E17" s="4" t="inlineStr">
        <is>
          <t>TC-37, TC-38</t>
        </is>
      </c>
      <c r="F17" s="4" t="inlineStr">
        <is>
          <t>LogAssist/Debug</t>
        </is>
      </c>
    </row>
    <row r="18">
      <c r="A18" s="7" t="inlineStr">
        <is>
          <t>UR-MH-*</t>
        </is>
      </c>
      <c r="B18" s="7" t="inlineStr">
        <is>
          <t>memory</t>
        </is>
      </c>
      <c r="C18" s="7" t="inlineStr">
        <is>
          <t>FR-MEMORY-01…08</t>
        </is>
      </c>
      <c r="D18" s="7" t="inlineStr">
        <is>
          <t>CDS-12 tập 6; SDD-04 §4</t>
        </is>
      </c>
      <c r="E18" s="7" t="inlineStr">
        <is>
          <t>TC-MM-01…09, TC-CX-01…08</t>
        </is>
      </c>
      <c r="F18" s="7" t="inlineStr">
        <is>
          <t>Chat</t>
        </is>
      </c>
    </row>
    <row r="19">
      <c r="A19" s="4" t="inlineStr">
        <is>
          <t>UR-MH-*</t>
        </is>
      </c>
      <c r="B19" s="4" t="inlineStr">
        <is>
          <t>policy</t>
        </is>
      </c>
      <c r="C19" s="4" t="inlineStr">
        <is>
          <t>FR-POLICY-01…07</t>
        </is>
      </c>
      <c r="D19" s="4" t="inlineStr">
        <is>
          <t>CDS-12 tập 5; SDD-04 §4</t>
        </is>
      </c>
      <c r="E19" s="4" t="inlineStr">
        <is>
          <t>TC-51…57</t>
        </is>
      </c>
      <c r="F19" s="4" t="inlineStr">
        <is>
          <t>ReviewQueue/Main</t>
        </is>
      </c>
    </row>
    <row r="20">
      <c r="A20" s="7" t="inlineStr">
        <is>
          <t>UR-RG-*</t>
        </is>
      </c>
      <c r="B20" s="7" t="inlineStr">
        <is>
          <t>registry</t>
        </is>
      </c>
      <c r="C20" s="7" t="inlineStr">
        <is>
          <t>FR-REGISTRY-01…05</t>
        </is>
      </c>
      <c r="D20" s="7" t="inlineStr">
        <is>
          <t>CDS-12 tập 5; SDD-04 §4</t>
        </is>
      </c>
      <c r="E20" s="7" t="inlineStr">
        <is>
          <t>TC-41…43, TC-PK</t>
        </is>
      </c>
      <c r="F20" s="7" t="inlineStr">
        <is>
          <t>Registry</t>
        </is>
      </c>
    </row>
    <row r="21">
      <c r="A21" s="4" t="inlineStr">
        <is>
          <t>UR-QT-*</t>
        </is>
      </c>
      <c r="B21" s="4" t="inlineStr">
        <is>
          <t>policy</t>
        </is>
      </c>
      <c r="C21" s="4" t="inlineStr">
        <is>
          <t>FR-POLICY-01…07</t>
        </is>
      </c>
      <c r="D21" s="4" t="inlineStr">
        <is>
          <t>CDS-12 tập 5; SDD-04 §4</t>
        </is>
      </c>
      <c r="E21" s="4" t="inlineStr">
        <is>
          <t>TC-51…57</t>
        </is>
      </c>
      <c r="F21" s="4" t="inlineStr">
        <is>
          <t>ReviewQueue/Main</t>
        </is>
      </c>
    </row>
    <row r="22">
      <c r="A22" s="7" t="inlineStr">
        <is>
          <t>UR-QT-*</t>
        </is>
      </c>
      <c r="B22" s="7" t="inlineStr">
        <is>
          <t>env</t>
        </is>
      </c>
      <c r="C22" s="7" t="inlineStr">
        <is>
          <t>FR-ENV-01…07</t>
        </is>
      </c>
      <c r="D22" s="7" t="inlineStr">
        <is>
          <t>CDS-12 tập 3; SDD-04 §4</t>
        </is>
      </c>
      <c r="E22" s="7" t="inlineStr">
        <is>
          <t>TC-46, TC-TG-02</t>
        </is>
      </c>
      <c r="F22" s="7" t="inlineStr">
        <is>
          <t>Env</t>
        </is>
      </c>
    </row>
    <row r="23">
      <c r="A23" s="4" t="inlineStr">
        <is>
          <t>UR-QT-*</t>
        </is>
      </c>
      <c r="B23" s="4" t="inlineStr">
        <is>
          <t>project</t>
        </is>
      </c>
      <c r="C23" s="4" t="inlineStr">
        <is>
          <t>FR-PROJECT-01…09</t>
        </is>
      </c>
      <c r="D23" s="4" t="inlineStr">
        <is>
          <t>CDS-12 tập 3; SDD-04 §4</t>
        </is>
      </c>
      <c r="E23" s="4" t="inlineStr">
        <is>
          <t>TC-60, TC-45</t>
        </is>
      </c>
      <c r="F23" s="4" t="inlineStr">
        <is>
          <t>Main</t>
        </is>
      </c>
    </row>
    <row r="24">
      <c r="A24" s="7" t="inlineStr">
        <is>
          <t>UR-HT-*</t>
        </is>
      </c>
      <c r="B24" s="7" t="inlineStr">
        <is>
          <t>bench</t>
        </is>
      </c>
      <c r="C24" s="7" t="inlineStr">
        <is>
          <t>FR-BENCH-01…03</t>
        </is>
      </c>
      <c r="D24" s="7" t="inlineStr">
        <is>
          <t>CDS-12 tập 4; SDD-04 §4</t>
        </is>
      </c>
      <c r="E24" s="7" t="inlineStr">
        <is>
          <t>TC-47</t>
        </is>
      </c>
      <c r="F24" s="7" t="inlineStr">
        <is>
          <t>Bench</t>
        </is>
      </c>
    </row>
    <row r="25">
      <c r="A25" s="4" t="inlineStr">
        <is>
          <t>UR-HT-*</t>
        </is>
      </c>
      <c r="B25" s="4" t="inlineStr">
        <is>
          <t>report</t>
        </is>
      </c>
      <c r="C25" s="4" t="inlineStr">
        <is>
          <t>FR-REPORT-01…04</t>
        </is>
      </c>
      <c r="D25" s="4" t="inlineStr">
        <is>
          <t>CDS-12 tập 5; SDD-04 §4</t>
        </is>
      </c>
      <c r="E25" s="4" t="inlineStr">
        <is>
          <t>TC-75</t>
        </is>
      </c>
      <c r="F25" s="4" t="inlineStr">
        <is>
          <t>Doc</t>
        </is>
      </c>
    </row>
    <row r="26">
      <c r="A26" s="7" t="inlineStr">
        <is>
          <t>UR-NL-*</t>
        </is>
      </c>
      <c r="B26" s="7" t="inlineStr">
        <is>
          <t>chat</t>
        </is>
      </c>
      <c r="C26" s="7" t="inlineStr">
        <is>
          <t>FR-CHAT-01…08</t>
        </is>
      </c>
      <c r="D26" s="7" t="inlineStr">
        <is>
          <t>CDS-12 tập 6; SDD-04 §4</t>
        </is>
      </c>
      <c r="E26" s="7" t="inlineStr">
        <is>
          <t>TC-59…64</t>
        </is>
      </c>
      <c r="F26" s="7" t="inlineStr">
        <is>
          <t>Chat</t>
        </is>
      </c>
    </row>
    <row r="27">
      <c r="A27" s="4" t="inlineStr">
        <is>
          <t>UR-NL-*</t>
        </is>
      </c>
      <c r="B27" s="4" t="inlineStr">
        <is>
          <t>policy</t>
        </is>
      </c>
      <c r="C27" s="4" t="inlineStr">
        <is>
          <t>FR-POLICY-01…07</t>
        </is>
      </c>
      <c r="D27" s="4" t="inlineStr">
        <is>
          <t>CDS-12 tập 5; SDD-04 §4</t>
        </is>
      </c>
      <c r="E27" s="4" t="inlineStr">
        <is>
          <t>TC-51…57</t>
        </is>
      </c>
      <c r="F27" s="4" t="inlineStr">
        <is>
          <t>ReviewQueue/Main</t>
        </is>
      </c>
    </row>
    <row r="28">
      <c r="A28" s="7" t="inlineStr">
        <is>
          <t>UR-NL-*</t>
        </is>
      </c>
      <c r="B28" s="7" t="inlineStr">
        <is>
          <t>memory</t>
        </is>
      </c>
      <c r="C28" s="7" t="inlineStr">
        <is>
          <t>FR-MEMORY-01…08</t>
        </is>
      </c>
      <c r="D28" s="7" t="inlineStr">
        <is>
          <t>CDS-12 tập 6; SDD-04 §4</t>
        </is>
      </c>
      <c r="E28" s="7" t="inlineStr">
        <is>
          <t>TC-MM-01…09, TC-CX-01…08</t>
        </is>
      </c>
      <c r="F28" s="7" t="inlineStr">
        <is>
          <t>Chat</t>
        </is>
      </c>
    </row>
    <row r="29">
      <c r="A29" s="4" t="inlineStr">
        <is>
          <t>UR-NL-*</t>
        </is>
      </c>
      <c r="B29" s="4" t="inlineStr">
        <is>
          <t>tool</t>
        </is>
      </c>
      <c r="C29" s="4" t="inlineStr">
        <is>
          <t>FR-TOOL-01…10</t>
        </is>
      </c>
      <c r="D29" s="4" t="inlineStr">
        <is>
          <t>CDS-12 tập 3; SDD-04 §4</t>
        </is>
      </c>
      <c r="E29" s="4" t="inlineStr">
        <is>
          <t>TC-TL-01…03, S41…S45</t>
        </is>
      </c>
      <c r="F29" s="4" t="inlineStr">
        <is>
          <t>ToolForge</t>
        </is>
      </c>
    </row>
    <row r="30">
      <c r="A30" s="7" t="inlineStr">
        <is>
          <t>UR-KN-*</t>
        </is>
      </c>
      <c r="B30" s="7" t="inlineStr">
        <is>
          <t>req</t>
        </is>
      </c>
      <c r="C30" s="7" t="inlineStr">
        <is>
          <t>FR-REQ-01…08</t>
        </is>
      </c>
      <c r="D30" s="7" t="inlineStr">
        <is>
          <t>CDS-12 tập 1; SDD-04 §4</t>
        </is>
      </c>
      <c r="E30" s="7" t="inlineStr">
        <is>
          <t>TC-67, TC-68</t>
        </is>
      </c>
      <c r="F30" s="7" t="inlineStr">
        <is>
          <t>ReqArch</t>
        </is>
      </c>
    </row>
    <row r="31">
      <c r="A31" s="4" t="inlineStr">
        <is>
          <t>UR-KN-*</t>
        </is>
      </c>
      <c r="B31" s="4" t="inlineStr">
        <is>
          <t>arch</t>
        </is>
      </c>
      <c r="C31" s="4" t="inlineStr">
        <is>
          <t>FR-ARCH-01…11</t>
        </is>
      </c>
      <c r="D31" s="4" t="inlineStr">
        <is>
          <t>CDS-12 tập 1; SDD-04 §4</t>
        </is>
      </c>
      <c r="E31" s="4" t="inlineStr">
        <is>
          <t>TC-69, TC-70</t>
        </is>
      </c>
      <c r="F31" s="4" t="inlineStr">
        <is>
          <t>ReqArch</t>
        </is>
      </c>
    </row>
    <row r="32">
      <c r="A32" s="7" t="inlineStr">
        <is>
          <t>UR-KN-*</t>
        </is>
      </c>
      <c r="B32" s="7" t="inlineStr">
        <is>
          <t>diagram</t>
        </is>
      </c>
      <c r="C32" s="7" t="inlineStr">
        <is>
          <t>FR-DIAGRAM-01…14</t>
        </is>
      </c>
      <c r="D32" s="7" t="inlineStr">
        <is>
          <t>CDS-12 tập 1; SDD-04 §4</t>
        </is>
      </c>
      <c r="E32" s="7" t="inlineStr">
        <is>
          <t>TC-71…74</t>
        </is>
      </c>
      <c r="F32" s="7" t="inlineStr">
        <is>
          <t>DiagramView</t>
        </is>
      </c>
    </row>
    <row r="33">
      <c r="A33" s="4" t="inlineStr">
        <is>
          <t>UR-KN-*</t>
        </is>
      </c>
      <c r="B33" s="4" t="inlineStr">
        <is>
          <t>doc</t>
        </is>
      </c>
      <c r="C33" s="4" t="inlineStr">
        <is>
          <t>FR-DOC-01…12</t>
        </is>
      </c>
      <c r="D33" s="4" t="inlineStr">
        <is>
          <t>CDS-12 tập 1; SDD-04 §4</t>
        </is>
      </c>
      <c r="E33" s="4" t="inlineStr">
        <is>
          <t>TC-75…77</t>
        </is>
      </c>
      <c r="F33" s="4" t="inlineStr">
        <is>
          <t>Doc</t>
        </is>
      </c>
    </row>
    <row r="34">
      <c r="A34" s="7" t="inlineStr">
        <is>
          <t>UR-TQ-*</t>
        </is>
      </c>
      <c r="B34" s="7" t="inlineStr">
        <is>
          <t>view</t>
        </is>
      </c>
      <c r="C34" s="7" t="inlineStr">
        <is>
          <t>FR-VIEW-01…13</t>
        </is>
      </c>
      <c r="D34" s="7" t="inlineStr">
        <is>
          <t>CDS-12 tập 2; SDD-04 §4</t>
        </is>
      </c>
      <c r="E34" s="7" t="inlineStr">
        <is>
          <t>TC-78, TC-79</t>
        </is>
      </c>
      <c r="F34" s="7" t="inlineStr">
        <is>
          <t>RagAsk</t>
        </is>
      </c>
    </row>
    <row r="35">
      <c r="A35" s="4" t="inlineStr">
        <is>
          <t>UR-TQ-*</t>
        </is>
      </c>
      <c r="B35" s="4" t="inlineStr">
        <is>
          <t>kg</t>
        </is>
      </c>
      <c r="C35" s="4" t="inlineStr">
        <is>
          <t>FR-KG-01…09</t>
        </is>
      </c>
      <c r="D35" s="4" t="inlineStr">
        <is>
          <t>CDS-12 tập 2; SDD-04 §4</t>
        </is>
      </c>
      <c r="E35" s="4" t="inlineStr">
        <is>
          <t>TC-13, TC-17, S09…S17</t>
        </is>
      </c>
      <c r="F35" s="4" t="inlineStr">
        <is>
          <t>RagAsk/ReviewQueue</t>
        </is>
      </c>
    </row>
    <row r="36">
      <c r="A36" s="7" t="inlineStr">
        <is>
          <t>UR-DT-*</t>
        </is>
      </c>
      <c r="B36" s="7" t="inlineStr">
        <is>
          <t>discover</t>
        </is>
      </c>
      <c r="C36" s="7" t="inlineStr">
        <is>
          <t>FR-DISCOVER-01…12</t>
        </is>
      </c>
      <c r="D36" s="7" t="inlineStr">
        <is>
          <t>CDS-12 tập 4; SDD-04 §4</t>
        </is>
      </c>
      <c r="E36" s="7" t="inlineStr">
        <is>
          <t>TC-80…82, TC-TG-03/04</t>
        </is>
      </c>
      <c r="F36" s="7" t="inlineStr">
        <is>
          <t>Discovery</t>
        </is>
      </c>
    </row>
    <row r="37">
      <c r="A37" s="4" t="inlineStr">
        <is>
          <t>UR-DT-*</t>
        </is>
      </c>
      <c r="B37" s="4" t="inlineStr">
        <is>
          <t>target</t>
        </is>
      </c>
      <c r="C37" s="4" t="inlineStr">
        <is>
          <t>FR-TARGET-01…09</t>
        </is>
      </c>
      <c r="D37" s="4" t="inlineStr">
        <is>
          <t>CDS-12 tập 4; SDD-04 §4</t>
        </is>
      </c>
      <c r="E37" s="4" t="inlineStr">
        <is>
          <t>TC-32, TC-33, TC-36, TC-TG-05</t>
        </is>
      </c>
      <c r="F37" s="4" t="inlineStr">
        <is>
          <t>Discovery/Debug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50" customWidth="1" min="3" max="3"/>
  </cols>
  <sheetData>
    <row r="1">
      <c r="A1" s="6" t="inlineStr">
        <is>
          <t>Loại việc</t>
        </is>
      </c>
      <c r="B1" s="6" t="inlineStr">
        <is>
          <t>Ai làm</t>
        </is>
      </c>
      <c r="C1" s="6" t="inlineStr">
        <is>
          <t>Ghi chú</t>
        </is>
      </c>
    </row>
    <row r="2">
      <c r="A2" s="7" t="inlineStr">
        <is>
          <t>Thiết kế và quyết định kiến trúc</t>
        </is>
      </c>
      <c r="B2" s="7" t="inlineStr">
        <is>
          <t>Người (chủ sản phẩm) + AI đề xuất</t>
        </is>
      </c>
      <c r="C2" s="7" t="inlineStr">
        <is>
          <t>ADR, danh sách trắng, ngưỡng chính sách, mức tự chủ</t>
        </is>
      </c>
    </row>
    <row r="3">
      <c r="A3" s="4" t="inlineStr">
        <is>
          <t>Viết mã năng lực T1 (R0/R1)</t>
        </is>
      </c>
      <c r="B3" s="4" t="inlineStr">
        <is>
          <t>AI làm (coder) — người review theo mẫu</t>
        </is>
      </c>
      <c r="C3" s="4" t="inlineStr">
        <is>
          <t>Test hợp đồng sinh tự động; reviewer AI khác hãng</t>
        </is>
      </c>
    </row>
    <row r="4">
      <c r="A4" s="7" t="inlineStr">
        <is>
          <t>Viết mã hạ tầng (Router, PolicyGate, Orchestrator, Sandbox)</t>
        </is>
      </c>
      <c r="B4" s="7" t="inlineStr">
        <is>
          <t>AI viết / người duyệt kỹ</t>
        </is>
      </c>
      <c r="C4" s="7" t="inlineStr">
        <is>
          <t>Bất biến an toàn phải có test cưỡng chế</t>
        </is>
      </c>
    </row>
    <row r="5">
      <c r="A5" s="4" t="inlineStr">
        <is>
          <t>Plugin Swift</t>
        </is>
      </c>
      <c r="B5" s="4" t="inlineStr">
        <is>
          <t>AI viết / người duyệt + chạy trên GEditor thật</t>
        </is>
      </c>
      <c r="C5" s="4" t="inlineStr">
        <is>
          <t>Mã RPC sinh từ openrpc</t>
        </is>
      </c>
    </row>
    <row r="6">
      <c r="A6" s="7" t="inlineStr">
        <is>
          <t>Prompt và skill</t>
        </is>
      </c>
      <c r="B6" s="7" t="inlineStr">
        <is>
          <t>AI dự thảo / người duyệt + benchmark</t>
        </is>
      </c>
      <c r="C6" s="7" t="inlineStr">
        <is>
          <t>PRS-16 §8</t>
        </is>
      </c>
    </row>
    <row r="7">
      <c r="A7" s="4" t="inlineStr">
        <is>
          <t>Kiểm phần cứng (L3), đo tham số, board lab</t>
        </is>
      </c>
      <c r="B7" s="4" t="inlineStr">
        <is>
          <t>Người</t>
        </is>
      </c>
      <c r="C7" s="4" t="inlineStr">
        <is>
          <t>Runner có board; ký danh sách trắng</t>
        </is>
      </c>
    </row>
    <row r="8">
      <c r="A8" s="7" t="inlineStr">
        <is>
          <t>Tài liệu</t>
        </is>
      </c>
      <c r="B8" s="7" t="inlineStr">
        <is>
          <t>AI sinh từ mô hình / người duyệt</t>
        </is>
      </c>
      <c r="C8" s="7" t="inlineStr">
        <is>
          <t>docs job trong CI</t>
        </is>
      </c>
    </row>
    <row r="9">
      <c r="A9" s="4" t="inlineStr">
        <is>
          <t>Pháp lý license registry công khai</t>
        </is>
      </c>
      <c r="B9" s="4" t="inlineStr">
        <is>
          <t>Người</t>
        </is>
      </c>
      <c r="C9" s="4" t="inlineStr">
        <is>
          <t>PKG-22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</cols>
  <sheetData>
    <row r="1">
      <c r="A1" s="8" t="inlineStr">
        <is>
          <t>THỐNG KÊ BACKLOG (công thức)</t>
        </is>
      </c>
    </row>
    <row r="3">
      <c r="A3" t="inlineStr">
        <is>
          <t>Tổng việc</t>
        </is>
      </c>
      <c r="B3">
        <f>COUNTA('2. Backlog'!A:A)-1</f>
        <v/>
      </c>
    </row>
    <row r="4">
      <c r="A4" t="inlineStr">
        <is>
          <t>Tổng ngày ước lượng</t>
        </is>
      </c>
      <c r="B4">
        <f>SUM('2. Backlog'!F:F)</f>
        <v/>
      </c>
    </row>
    <row r="5">
      <c r="A5" t="inlineStr">
        <is>
          <t>Đã xong</t>
        </is>
      </c>
      <c r="B5">
        <f>COUNTIF('2. Backlog'!K:K,"Xong")</f>
        <v/>
      </c>
    </row>
    <row r="6">
      <c r="A6" t="inlineStr">
        <is>
          <t>Tiến độ</t>
        </is>
      </c>
      <c r="B6" s="9">
        <f>B5/B3</f>
        <v/>
      </c>
    </row>
    <row r="8">
      <c r="A8" s="10" t="inlineStr">
        <is>
          <t>Theo loại</t>
        </is>
      </c>
    </row>
    <row r="9">
      <c r="A9" t="inlineStr">
        <is>
          <t>Hạ tầng</t>
        </is>
      </c>
      <c r="B9">
        <f>COUNTIF('2. Backlog'!B:B,"Hạ tầng")</f>
        <v/>
      </c>
      <c r="C9">
        <f>SUMIF('2. Backlog'!B:B,"Hạ tầng",'2. Backlog'!F:F)</f>
        <v/>
      </c>
    </row>
    <row r="10">
      <c r="A10" t="inlineStr">
        <is>
          <t>Năng lực</t>
        </is>
      </c>
      <c r="B10">
        <f>COUNTIF('2. Backlog'!B:B,"Năng lực")</f>
        <v/>
      </c>
      <c r="C10">
        <f>SUMIF('2. Backlog'!B:B,"Năng lực",'2. Backlog'!F:F)</f>
        <v/>
      </c>
    </row>
    <row r="11">
      <c r="A11" t="inlineStr">
        <is>
          <t>Tài liệu</t>
        </is>
      </c>
      <c r="B11">
        <f>COUNTIF('2. Backlog'!B:B,"Tài liệu")</f>
        <v/>
      </c>
      <c r="C11">
        <f>SUMIF('2. Backlog'!B:B,"Tài liệu",'2. Backlog'!F:F)</f>
        <v/>
      </c>
    </row>
    <row r="12">
      <c r="A12" t="inlineStr">
        <is>
          <t>Kiểm thử</t>
        </is>
      </c>
      <c r="B12">
        <f>COUNTIF('2. Backlog'!B:B,"Kiểm thử")</f>
        <v/>
      </c>
      <c r="C12">
        <f>SUMIF('2. Backlog'!B:B,"Kiểm thử",'2. Backlog'!F:F)</f>
        <v/>
      </c>
    </row>
    <row r="13">
      <c r="A13" t="inlineStr">
        <is>
          <t>Người</t>
        </is>
      </c>
      <c r="B13">
        <f>COUNTIF('2. Backlog'!B:B,"Người")</f>
        <v/>
      </c>
      <c r="C13">
        <f>SUMIF('2. Backlog'!B:B,"Người",'2. Backlog'!F:F)</f>
        <v/>
      </c>
    </row>
    <row r="15">
      <c r="A15" s="10" t="inlineStr">
        <is>
          <t>Theo ai làm</t>
        </is>
      </c>
    </row>
    <row r="16">
      <c r="A16" t="inlineStr">
        <is>
          <t>AI làm</t>
        </is>
      </c>
      <c r="B16">
        <f>COUNTIF('2. Backlog'!H:H,"AI làm")</f>
        <v/>
      </c>
      <c r="C16">
        <f>SUMIF('2. Backlog'!H:H,"AI làm",'2. Backlog'!F:F)</f>
        <v/>
      </c>
    </row>
    <row r="17">
      <c r="A17" t="inlineStr">
        <is>
          <t>AI làm/người duyệt</t>
        </is>
      </c>
      <c r="B17">
        <f>COUNTIF('2. Backlog'!H:H,"AI làm/người duyệt")</f>
        <v/>
      </c>
      <c r="C17">
        <f>SUMIF('2. Backlog'!H:H,"AI làm/người duyệt",'2. Backlog'!F:F)</f>
        <v/>
      </c>
    </row>
    <row r="18">
      <c r="A18" t="inlineStr">
        <is>
          <t>AI làm/người duyệt (Swift)</t>
        </is>
      </c>
      <c r="B18">
        <f>COUNTIF('2. Backlog'!H:H,"AI làm/người duyệt (Swift)")</f>
        <v/>
      </c>
      <c r="C18">
        <f>SUMIF('2. Backlog'!H:H,"AI làm/người duyệt (Swift)",'2. Backlog'!F:F)</f>
        <v/>
      </c>
    </row>
    <row r="19">
      <c r="A19" t="inlineStr">
        <is>
          <t>Người</t>
        </is>
      </c>
      <c r="B19">
        <f>COUNTIF('2. Backlog'!H:H,"Người")</f>
        <v/>
      </c>
      <c r="C19">
        <f>SUMIF('2. Backlog'!H:H,"Người",'2. Backlog'!F:F)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2026-09-07T03:27:08Z</dcterms:created>
  <dcterms:modified xsi:type="dcterms:W3CDTF">2026-09-07T03:27:08Z</dcterms:modified>
</cp:coreProperties>
</file>