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Hướng dẫn" sheetId="1" state="visible" r:id="rId3"/>
    <sheet name="1. Lĩnh vực" sheetId="2" state="visible" r:id="rId4"/>
    <sheet name="2. Tài liệu hiện có" sheetId="3" state="visible" r:id="rId5"/>
    <sheet name="3. Nhóm năng lực" sheetId="4" state="visible" r:id="rId6"/>
    <sheet name="4. UI-UX" sheetId="5" state="visible" r:id="rId7"/>
    <sheet name="5. Use case" sheetId="6" state="visible" r:id="rId8"/>
    <sheet name="6. Tài liệu bổ sung" sheetId="7" state="visible" r:id="rId9"/>
    <sheet name="7. Thống kê"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<sst xmlns="http://schemas.openxmlformats.org/spreadsheetml/2006/main" count="1395" uniqueCount="814">
  <si>
    <t xml:space="preserve">EIDE — RÀ SOÁT ĐỘ ĐẦY ĐỦ BỘ HỒ SƠ THIẾT KẾ ĐỂ ĐƯA VÀO PHÁT TRIỂN</t>
  </si>
  <si>
    <t xml:space="preserve">Đề án tốt nghiệp Thạc sĩ ngành Kỹ thuật Điện tử — Học viện Công nghệ Bưu chính Viễn thông (PTIT) · Học viên: Vũ Trí Công · Người hướng dẫn: TS. Nguyễn Trung Hiếu · 05/09/2026 (hỗ trợ: Claude)</t>
  </si>
  <si>
    <t xml:space="preserve">Câu hỏi: bộ hồ sơ v1.1 (10 tài liệu + 2 Excel + 17 mockup + mã M0) đã chi tiết đến MỨC 3 (lập trình được) cho toàn bộ hệ thống chưa? Nếu chưa, thiếu gì và cần tài liệu nào.</t>
  </si>
  <si>
    <t xml:space="preserve">CẬP NHẬT 05/09/2026 — bộ hồ sơ v1.2: toàn bộ 19 tài liệu bổ sung đã hoàn thành (CXD-10 … CON-28, PLN-27), 40 lĩnh vực đạt mức 3; bổ sung nhóm năng lực gốc tool.* (10 năng lực) — 238 năng lực / 27 nhóm; 23 màn hình có mockup; 56 UC có sơ đồ tuần tự.</t>
  </si>
  <si>
    <t xml:space="preserve">Định nghĩa ba mức chi tiết</t>
  </si>
  <si>
    <t xml:space="preserve">Mức 1 — Khái niệm / tổng quan: Mô tả cái gì và vì sao: định vị, nguyên tắc, kịch bản, danh mục. Đủ để thống nhất phạm vi, chưa đủ để lập trình.</t>
  </si>
  <si>
    <t xml:space="preserve">Mức 2 — Kiến trúc / đặc tả logic: Thành phần, trách nhiệm, giao diện chính, luồng, dữ liệu chính, hợp đồng năng lực 13 trường. Đủ để chia việc và ước lượng, lập trình viên vẫn phải tự quyết nhiều chi tiết.</t>
  </si>
  <si>
    <t xml:space="preserve">Mức 3 — Thiết kế chi tiết lập trình được: Schema đầy đủ (JSON Schema/bảng), chữ ký hàm, thuật toán/pseudo-code, máy trạng thái, mã lỗi, prompt và output schema, cấu hình mẫu, test case và fixture. Lập trình viên (hoặc tác tử) hiện thực mà không cần hỏi thêm.</t>
  </si>
  <si>
    <t xml:space="preserve">Các sheet</t>
  </si>
  <si>
    <t xml:space="preserve">1. Lĩnh vực: 40 lĩnh vực thiết kế cần có để phát triển, mức hiện tại, kết luận Đủ / Một phần / Thiếu, khoảng trống cụ thể, tài liệu đề xuất, ưu tiên, mốc cần trước, ước lượng.</t>
  </si>
  <si>
    <t xml:space="preserve">2. Tài liệu hiện có: 14 hiện vật (10 docx, 2 xlsx, mockup, mã) — mức đạt, còn thiếu gì, hướng xử lý.</t>
  </si>
  <si>
    <t xml:space="preserve">3. Nhóm năng lực: 26 nhóm (228 năng lực) — mức chi tiết hiện có, thiếu gì ở mức 3, tập CDS-12 đích, mốc.</t>
  </si>
  <si>
    <t xml:space="preserve">4. UI/UX: 22 màn hình (17 có mockup + 5 mới) — cập nhật v1.1 cần làm, đặc tả còn thiếu, năng lực chính.</t>
  </si>
  <si>
    <t xml:space="preserve">5. Use case: 45 UC hiện có + 10 UC mới (nhóm I, J) — có gì, thiếu gì.</t>
  </si>
  <si>
    <t xml:space="preserve">6. Kế hoạch tài liệu bổ sung: 19 tài liệu/phụ lục mới (CXD-10 … CON-28) với mục lục, đầu vào, mốc, thứ tự làm, ước lượng ngày, trạng thái.</t>
  </si>
  <si>
    <t xml:space="preserve">7. Thống kê: công thức tổng hợp — tỷ lệ lĩnh vực đủ mức 3, số ngày ước lượng theo mốc, tiến độ tài liệu bổ sung.</t>
  </si>
  <si>
    <t xml:space="preserve">Kết luận ngắn</t>
  </si>
  <si>
    <t xml:space="preserve">Đã đủ mức 3: định vị/nguyên tắc, yêu cầu người dùng, kiến trúc hệ thống, luồng nghiệp vụ, kiến trúc tri thức, chính sách hội thoại, lõi dữ liệu (store/KG/gateway — có mã M0), hợp đồng năng lực và Router.</t>
  </si>
  <si>
    <t xml:space="preserve">Mới ở mức 2 (phải xuống mức 3 trước khi code): đặc tả chi tiết 228 năng lực (nhất là extract, code, diagram, view, discover, arch), chính sách tự chủ máy đọc được, API đầy đủ, từ điển dữ liệu/DDL, ISA/toolchain/adapter, benchmark, gói registry, kiểm thử fixture.</t>
  </si>
  <si>
    <t xml:space="preserve">Thiếu hẳn (mức 1): kiến trúc ngữ cảnh, kiến trúc bộ nhớ tác tử, prompt &amp; vai trò, đặc tả UI/UX (mockup chưa theo v1.1), thiết kế mô phỏng, giao diện plugin GEditor, triển khai/cài đặt.</t>
  </si>
  <si>
    <t xml:space="preserve">Đề xuất: làm chậm và đủ — 19 tài liệu/phụ lục bổ sung (~77 ngày công ước lượng, có AI hỗ trợ giảm ~60%), theo thứ tự ở sheet 6; nhóm phải xong TRƯỚC khi bắt đầu mã M1: CXD-10, MEM-11, UXD-13, DDD-14, CDS-12 (tập 2, 3, 5, 6), API-15, PRS-16, POL-17, UCD-24, PLN-27.</t>
  </si>
  <si>
    <t xml:space="preserve">Mã</t>
  </si>
  <si>
    <t xml:space="preserve">Lĩnh vực thiết kế</t>
  </si>
  <si>
    <t xml:space="preserve">Cần gì để đạt mức 3</t>
  </si>
  <si>
    <t xml:space="preserve">Tài liệu hiện có</t>
  </si>
  <si>
    <t xml:space="preserve">Mức hiện tại (1–3)</t>
  </si>
  <si>
    <t xml:space="preserve">Kết luận</t>
  </si>
  <si>
    <t xml:space="preserve">Khoảng trống cụ thể</t>
  </si>
  <si>
    <t xml:space="preserve">Tài liệu đề xuất</t>
  </si>
  <si>
    <t xml:space="preserve">Ưu tiên</t>
  </si>
  <si>
    <t xml:space="preserve">Mốc cần trước</t>
  </si>
  <si>
    <t xml:space="preserve">Ước lượng (ngày)</t>
  </si>
  <si>
    <t xml:space="preserve">L01</t>
  </si>
  <si>
    <t xml:space="preserve">Tầm nhìn, phạm vi, nguyên tắc sản phẩm</t>
  </si>
  <si>
    <t xml:space="preserve">Định vị, nguyên tắc, kịch bản, lộ trình, chỉ số</t>
  </si>
  <si>
    <t xml:space="preserve">PDA-00 §1–2, §12–14</t>
  </si>
  <si>
    <t xml:space="preserve">Đủ</t>
  </si>
  <si>
    <t xml:space="preserve">—</t>
  </si>
  <si>
    <t xml:space="preserve">M0</t>
  </si>
  <si>
    <t xml:space="preserve">L02</t>
  </si>
  <si>
    <t xml:space="preserve">Yêu cầu người dùng và chất lượng</t>
  </si>
  <si>
    <t xml:space="preserve">UR có tiêu chí chấp nhận đo được, ưu tiên, giai đoạn, truy vết</t>
  </si>
  <si>
    <t xml:space="preserve">URD-01 (14 nhóm UR, UQ, CR)</t>
  </si>
  <si>
    <t xml:space="preserve">Đã bổ sung trong bộ v1.2 — trước đó: Một số tiêu chí chấp nhận mới (KN, TQ, DT) cần số đo cụ thể hơn khi có prototype</t>
  </si>
  <si>
    <t xml:space="preserve">Cập nhật URD-01 v1.2 sau M1</t>
  </si>
  <si>
    <t xml:space="preserve">C</t>
  </si>
  <si>
    <t xml:space="preserve">M2</t>
  </si>
  <si>
    <t xml:space="preserve">L03</t>
  </si>
  <si>
    <t xml:space="preserve">Yêu cầu chức năng theo mô-đun và theo năng lực</t>
  </si>
  <si>
    <t xml:space="preserve">FR có mã, ưu tiên, mốc, truy vết; mỗi năng lực là FR</t>
  </si>
  <si>
    <t xml:space="preserve">SRS-02 §3, §3B (228 FR); Danh mục năng lực</t>
  </si>
  <si>
    <t xml:space="preserve">Đã bổ sung trong bộ v1.2 — trước đó: FR năng lực mới dừng ở mô tả một câu + vào/ra tên gọi; chưa có schema tham số, mã lỗi, tiêu chí chấp nhận riêng cho từng năng lực</t>
  </si>
  <si>
    <t xml:space="preserve">EIDE-CDS-12 (đặc tả chi tiết năng lực, theo nhóm)</t>
  </si>
  <si>
    <t xml:space="preserve">M</t>
  </si>
  <si>
    <t xml:space="preserve">M1</t>
  </si>
  <si>
    <t xml:space="preserve">L04</t>
  </si>
  <si>
    <t xml:space="preserve">Kiến trúc hệ thống (ngữ cảnh, thành phần, hành vi, dữ liệu, triển khai, ADR)</t>
  </si>
  <si>
    <t xml:space="preserve">Góc nhìn 42010 với thành phần và giao diện rõ</t>
  </si>
  <si>
    <t xml:space="preserve">SAD-03 (14 ADR, góc nhìn năng lực)</t>
  </si>
  <si>
    <t xml:space="preserve">Đã bổ sung trong bộ v1.2 — trước đó: Sơ đồ thành phần dạng C4 mức container/component chưa vẽ bằng Mermaid/PlantUML (mới hình PNG)</t>
  </si>
  <si>
    <t xml:space="preserve">Bổ sung lược đồ C4 vào SAD-03 v1.2 (dùng chính diagram.* khi có)</t>
  </si>
  <si>
    <t xml:space="preserve">L05</t>
  </si>
  <si>
    <t xml:space="preserve">Thiết kế chi tiết lõi (store, KG, gateway, hooks, targets)</t>
  </si>
  <si>
    <t xml:space="preserve">Schema, chữ ký hàm, bảng SQLite, cấu hình</t>
  </si>
  <si>
    <t xml:space="preserve">SDD-04 §3–4; mã M0 hkw-core</t>
  </si>
  <si>
    <t xml:space="preserve">Đã bổ sung trong bộ v1.2 — trước đó: Đã có mã M0 chạy (24 test); bảng mới (capability_run, decision_log, requirement…) chỉ liệt kê cột, chưa có DDL và migration</t>
  </si>
  <si>
    <t xml:space="preserve">EIDE-DDD-14 (từ điển dữ liệu + DDL + migration)</t>
  </si>
  <si>
    <t xml:space="preserve">L06</t>
  </si>
  <si>
    <t xml:space="preserve">Hợp đồng năng lực và Capability Registry/Router</t>
  </si>
  <si>
    <t xml:space="preserve">Schema khai báo YAML, thuật toán invoke, grounding, undo</t>
  </si>
  <si>
    <t xml:space="preserve">SDD-04 §4.0; Danh mục</t>
  </si>
  <si>
    <t xml:space="preserve">Đã bổ sung trong bộ v1.2 — trước đó: Danh sách grounding chuẩn (source_exists, project_open…) và loại undo chưa liệt kê đầy đủ</t>
  </si>
  <si>
    <t xml:space="preserve">Phụ lục trong CDS-12</t>
  </si>
  <si>
    <t xml:space="preserve">S</t>
  </si>
  <si>
    <t xml:space="preserve">L07</t>
  </si>
  <si>
    <t xml:space="preserve">Tầng hiểu lệnh (Orchestrator) và chính sách hội thoại</t>
  </si>
  <si>
    <t xml:space="preserve">Schema Intent, thuật toán ground/defaults/clarify, chuỗi mẫu, kịch bản test</t>
  </si>
  <si>
    <t xml:space="preserve">DPS-09; SDD-04 §4.6</t>
  </si>
  <si>
    <t xml:space="preserve">Đã bổ sung trong bộ v1.2 — trước đó: Prompt thật của vai trò intent/planner và bộ 50 câu lệnh có nhãn chưa viết</t>
  </si>
  <si>
    <t xml:space="preserve">EIDE-PRS-16 (prompt &amp; vai trò) + fixture tests/dialog</t>
  </si>
  <si>
    <t xml:space="preserve">L08</t>
  </si>
  <si>
    <t xml:space="preserve">Chính sách tự chủ (mức, lớp rủi ro, hàm quyết định, hoàn tác)</t>
  </si>
  <si>
    <t xml:space="preserve">Bảng quy tắc theo cổng dạng máy đọc được, schema autonomy.yaml, mã lỗi</t>
  </si>
  <si>
    <t xml:space="preserve">APD-08; SDD-04 §4.7, §6</t>
  </si>
  <si>
    <t xml:space="preserve">Đã bổ sung trong bộ v1.2 — trước đó: Quy tắc §4 còn ở dạng văn xuôi; cần bảng quy tắc (điều kiện → quyết định) có thể nạp vào PolicyGate; schema autonomy.yaml đầy đủ; test 40 tình huống TC-51 chưa có dữ liệu</t>
  </si>
  <si>
    <t xml:space="preserve">EIDE-POL-17 (đặc tả quy tắc chính sách máy đọc được + fixture)</t>
  </si>
  <si>
    <t xml:space="preserve">L09</t>
  </si>
  <si>
    <t xml:space="preserve">Kiến trúc ngữ cảnh (context engineering)</t>
  </si>
  <si>
    <t xml:space="preserve">Lớp ngữ cảnh theo vai trò, mẫu prompt, ngân sách token, thuật toán nén/chọn, cache, đo lường</t>
  </si>
  <si>
    <t xml:space="preserve">KAD-07 §6.6, §6.6b (bảng lớp và ngân sách); memory.compose/compress trong Danh mục</t>
  </si>
  <si>
    <t xml:space="preserve">Đã bổ sung trong bộ v1.2 — trước đó: Chưa có: cấu trúc ngữ cảnh cụ thể cho từng vai trò (intent, planner, coder, reviewer, debugger, architect, writer); thuật toán chọn fact (Graph-RAG 2 bước) và nén log; định dạng khối ngữ cảnh; prompt caching; cách đo hiệu quả ngữ cảnh; xử lý tràn ngân sách</t>
  </si>
  <si>
    <t xml:space="preserve">EIDE-CXD-10 (Kiến trúc ngữ cảnh) — mới</t>
  </si>
  <si>
    <t xml:space="preserve">L10</t>
  </si>
  <si>
    <t xml:space="preserve">Kiến trúc bộ nhớ của tác tử (memory)</t>
  </si>
  <si>
    <t xml:space="preserve">Phân loại bộ nhớ (làm việc/phiên/tình tiết/ngữ nghĩa/thủ tục), lưu ở đâu, ghi khi nào, truy hồi, quên, xung đột, quyền riêng tư</t>
  </si>
  <si>
    <t xml:space="preserve">KAD-07 (5 lớp lưu trữ tri thức); memory.* 8 năng lực; PROGRESS/FEATURES; preferences.yaml</t>
  </si>
  <si>
    <t xml:space="preserve">Đã bổ sung trong bộ v1.2 — trước đó: KAD mô tả tri thức phần cứng, chưa mô tả bộ nhớ vận hành của tác tử: bộ nhớ làm việc trong một chuỗi, bộ nhớ phiên, tình tiết (run/decision), thủ tục (skill, chuỗi mẫu), tùy chọn người dùng; chính sách ghi/đọc/quên; schema; liên hệ với ledger và RAG index</t>
  </si>
  <si>
    <t xml:space="preserve">EIDE-MEM-11 (Kiến trúc bộ nhớ tác tử) — mới</t>
  </si>
  <si>
    <t xml:space="preserve">L11</t>
  </si>
  <si>
    <t xml:space="preserve">Đặc tả chi tiết từng năng lực (228)</t>
  </si>
  <si>
    <t xml:space="preserve">Mỗi năng lực: schema vào/ra JSON, thuật toán/bước, phụ thuộc, lỗi, hoàn tác, ví dụ gọi, TC</t>
  </si>
  <si>
    <t xml:space="preserve">Danh mục 13 trường; SRS §3B; SDD mô tả giao diện Python cho ~8 nhóm</t>
  </si>
  <si>
    <t xml:space="preserve">Đã bổ sung trong bộ v1.2 — trước đó: Mức 3 chỉ có ở nhóm passport/kg/gateway (đã có mã M0). 18 nhóm còn lại cần thuật toán và schema đầy đủ; đặc biệt extract (21), code (16), diagram (14), view (13), discover (12), arch (11)</t>
  </si>
  <si>
    <t xml:space="preserve">EIDE-CDS-12 chia theo 6 tập (kỹ nghệ, tri thức, hiện thực, xác minh, quản trị, hội thoại)</t>
  </si>
  <si>
    <t xml:space="preserve">M1–M2</t>
  </si>
  <si>
    <t xml:space="preserve">L12</t>
  </si>
  <si>
    <t xml:space="preserve">Trích xuất tài liệu (PDF, ảnh/OCR, BOM, netlist, timing, archive)</t>
  </si>
  <si>
    <t xml:space="preserve">Pipeline từng loại tệp, thư viện, tham số, schema fact ra, xử lý lỗi, fixture</t>
  </si>
  <si>
    <t xml:space="preserve">SRS FR-ACQ; SDD Extractor protocol; mã M0 svd/atdf/archive</t>
  </si>
  <si>
    <t xml:space="preserve">Đã bổ sung trong bộ v1.2 — trước đó: PDF (Docling→LLM schema), OCR ảnh, BOM từ schematic/ảnh, netlist KiCad, timing chưa có thiết kế mức 3 (prompt, schema bảng, ngưỡng confidence, locator)</t>
  </si>
  <si>
    <t xml:space="preserve">EIDE-EXT-18 (thiết kế extractor) — có thể là tập 2 của CDS-12</t>
  </si>
  <si>
    <t xml:space="preserve">L13</t>
  </si>
  <si>
    <t xml:space="preserve">Tìm kiếm đa nguồn và tự tìm tri thức thiếu</t>
  </si>
  <si>
    <t xml:space="preserve">Mẫu URL hãng, xếp hạng, license detection, sufficiency check</t>
  </si>
  <si>
    <t xml:space="preserve">SRS FR-ACQ-06; search.* 9 năng lực; APD G-SRC</t>
  </si>
  <si>
    <t xml:space="preserve">Đã bổ sung trong bộ v1.2 — trước đó: Danh sách nguồn tin cậy và mẫu URL theo hãng; thuật toán rank; nhận diện license; thuật toán search.missing (từ tác vụ → tri thức thiếu)</t>
  </si>
  <si>
    <t xml:space="preserve">Trong CDS-12 tập tri thức</t>
  </si>
  <si>
    <t xml:space="preserve">L14</t>
  </si>
  <si>
    <t xml:space="preserve">Hộ chiếu, đồ thị tri thức, provenance</t>
  </si>
  <si>
    <t xml:space="preserve">Schema, store, merge, supersede, KG queries</t>
  </si>
  <si>
    <t xml:space="preserve">SDD-04 §3; KAD-07; mã M0</t>
  </si>
  <si>
    <t xml:space="preserve">Đã bổ sung trong bộ v1.2 — trước đó: Tách lớp L-A/L-B vật lý chưa làm (ghi trong KAD §9)</t>
  </si>
  <si>
    <t xml:space="preserve">Ghi vào backlog M1</t>
  </si>
  <si>
    <t xml:space="preserve">L15</t>
  </si>
  <si>
    <t xml:space="preserve">Bản đồ tri thức và RAG (view.*)</t>
  </si>
  <si>
    <t xml:space="preserve">Chunking, embedding, chỉ mục, truy hồi lai, trace, UI panel</t>
  </si>
  <si>
    <t xml:space="preserve">KAD-07 §6.9; SDD-04 §4.12 (chữ ký)</t>
  </si>
  <si>
    <t xml:space="preserve">Đã bổ sung trong bộ v1.2 — trước đó: Tham số chunk, mô hình embedding qua Gateway, công thức điểm lai, giới hạn lan tỏa, định dạng trace, bộ 100 câu hỏi mẫu chưa có</t>
  </si>
  <si>
    <t xml:space="preserve">Trong CDS-12 tập tri thức + fixture</t>
  </si>
  <si>
    <t xml:space="preserve">L16</t>
  </si>
  <si>
    <t xml:space="preserve">Phân tích yêu cầu và thiết kế kiến trúc tự động (req.*, arch.*)</t>
  </si>
  <si>
    <t xml:space="preserve">Schema ReqSet/ModuleGraph/HwMap/ADR, thuật toán khả thi, chọn kiểu kiến trúc, ngân sách, checklist review</t>
  </si>
  <si>
    <t xml:space="preserve">SDD-04 §4.11 (chữ ký); BPD P7</t>
  </si>
  <si>
    <t xml:space="preserve">Đã bổ sung trong bộ v1.2 — trước đó: Chưa có: tiêu chí chọn kiểu kiến trúc, công thức ngân sách RAM/WCET, checklist nhúng, mẫu ADR, cách gán mã UR/FR tự động</t>
  </si>
  <si>
    <t xml:space="preserve">Trong CDS-12 tập kỹ nghệ</t>
  </si>
  <si>
    <t xml:space="preserve">L17</t>
  </si>
  <si>
    <t xml:space="preserve">Sinh lược đồ (diagram.*) ở ngôn ngữ GEditor hỗ trợ</t>
  </si>
  <si>
    <t xml:space="preserve">Ánh xạ mô hình → mã lược đồ cho từng loại, bộ render, lint, sync</t>
  </si>
  <si>
    <t xml:space="preserve">SDD-04 §4.9; SAD ADR-13</t>
  </si>
  <si>
    <t xml:space="preserve">Đã bổ sung trong bộ v1.2 — trước đó: Mẫu sinh cho 10 loại lược đồ (Mermaid/PlantUML/DOT/D2/WaveDrom), quy tắc đặt tên nút, thuật toán sync FSM↔mã, giới hạn kích thước; danh sách chính xác ngôn ngữ GEditor v2.2 hỗ trợ cần xác nhận</t>
  </si>
  <si>
    <t xml:space="preserve">Trong CDS-12 tập kỹ nghệ; xác nhận với FR GEditor</t>
  </si>
  <si>
    <t xml:space="preserve">L18</t>
  </si>
  <si>
    <t xml:space="preserve">Sinh tài liệu (doc.*) theo chuẩn EAA/EIDE</t>
  </si>
  <si>
    <t xml:space="preserve">Mẫu tài liệu, ánh xạ tri thức → mục, quy tắc trích dẫn, style_check</t>
  </si>
  <si>
    <t xml:space="preserve">SDD-04 §4.10; eaa_doc.js (mẫu docx hiện dùng)</t>
  </si>
  <si>
    <t xml:space="preserve">Đã bổ sung trong bộ v1.2 — trước đó: Cần port mẫu docx sang Python hoặc gọi Node; bộ quy tắc style_check cụ thể; mục lục chuẩn cho từng loại tài liệu; ánh xạ mục ↔ nguồn tri thức</t>
  </si>
  <si>
    <t xml:space="preserve">L19</t>
  </si>
  <si>
    <t xml:space="preserve">Lập kế hoạch, sinh mã, tích hợp, merge (plan.*, code.*)</t>
  </si>
  <si>
    <t xml:space="preserve">Prompt Planner/Coder/Reviewer, output schema, constant-guard, 4 cổng công cụ, merge auto/</t>
  </si>
  <si>
    <t xml:space="preserve">SDD-04 §4.4; SRS FR-AGT; APD G1/G3; EAA-U (kế thừa)</t>
  </si>
  <si>
    <t xml:space="preserve">Đã bổ sung trong bộ v1.2 — trước đó: Prompt và output schema từng vai trò; quy tắc chia module; chiến lược tích hợp và giải xung đột merge; quy ước hkw:fact; mẫu STEP</t>
  </si>
  <si>
    <t xml:space="preserve">EIDE-PRS-16 + CDS-12 tập hiện thực</t>
  </si>
  <si>
    <t xml:space="preserve">L20</t>
  </si>
  <si>
    <t xml:space="preserve">Môi trường và công cụ (env.*): kiểm tra, cài đặt, khóa phiên bản</t>
  </si>
  <si>
    <t xml:space="preserve">Manifest công cụ theo ISA, lệnh kiểm/cài theo OS, danh sách tin cậy, sandbox cài đặt</t>
  </si>
  <si>
    <t xml:space="preserve">SDD-04 §6 (trích ISA yaml); SRS FR-GOV-04</t>
  </si>
  <si>
    <t xml:space="preserve">Đã bổ sung trong bộ v1.2 — trước đó: Manifest đầy đủ cho armv7e-m, avr8, rv32, xtensa (esp-idf); lệnh cài theo macOS/Linux/Windows; xử lý sudo/driver; kiểm chữ ký gói</t>
  </si>
  <si>
    <t xml:space="preserve">EIDE-TGT-19 (ISA profile, toolchain, adapter)</t>
  </si>
  <si>
    <t xml:space="preserve">L21</t>
  </si>
  <si>
    <t xml:space="preserve">Dò board, probe, tốc độ kết nối (discover.*)</t>
  </si>
  <si>
    <t xml:space="preserve">API liệt kê USB/serial/probe theo OS, bảng VID/PID, đọc ID theo họ chip, thuật toán dò tốc độ, cấu hình target</t>
  </si>
  <si>
    <t xml:space="preserve">SDD-04 §4.8 (chữ ký)</t>
  </si>
  <si>
    <t xml:space="preserve">Đã bổ sung trong bộ v1.2 — trước đó: Bảng VID/PID probe; lệnh đọc IDCODE/signature theo họ (STM32, AVR, ESP, PIC, RISC-V); thuật toán thử nấc và đo lỗi; schema target.yaml</t>
  </si>
  <si>
    <t xml:space="preserve">EIDE-TGT-19</t>
  </si>
  <si>
    <t xml:space="preserve">L22</t>
  </si>
  <si>
    <t xml:space="preserve">Mô phỏng (sim.*): Renode/simavr/QEMU, plant model, kịch bản</t>
  </si>
  <si>
    <t xml:space="preserve">Mẫu .repl/.resc, mock ngoại vi, plant robot, kịch bản SIL, so sánh SIL/HIL</t>
  </si>
  <si>
    <t xml:space="preserve">SRS FR-VER-04; UC-E01…E04; quyết định tự dựng simulator (đề án)</t>
  </si>
  <si>
    <t xml:space="preserve">Đã bổ sung trong bộ v1.2 — trước đó: Chưa có thiết kế mô phỏng: kiến trúc simulator tự dựng vs Renode; mô hình plant (robot cân bằng) và cảm biến; định dạng kịch bản; giao diện SimView</t>
  </si>
  <si>
    <t xml:space="preserve">EIDE-SIM-20 (Thiết kế mô phỏng) — mới</t>
  </si>
  <si>
    <t xml:space="preserve">L23</t>
  </si>
  <si>
    <t xml:space="preserve">Nạp, quan sát, gỡ lỗi, đo (target.*, debug.*, measure.*)</t>
  </si>
  <si>
    <t xml:space="preserve">Adapter flash/serial/probe theo ISA, EvidencePack, Diagnosis schema, sigrok</t>
  </si>
  <si>
    <t xml:space="preserve">SDD-04 §4.5; SRS FR-VER/DBG; UC-F</t>
  </si>
  <si>
    <t xml:space="preserve">Đã bổ sung trong bộ v1.2 — trước đó: Lệnh cụ thể cho từng adapter (probe-rs, OpenOCD, avrdude, esptool, pymcuprog); schema EvidencePack/Diagnosis; prompt Debugger</t>
  </si>
  <si>
    <t xml:space="preserve">EIDE-TGT-19 + PRS-16</t>
  </si>
  <si>
    <t xml:space="preserve">L24</t>
  </si>
  <si>
    <t xml:space="preserve">Benchmark và kiểm định hộ chiếu (bench.*)</t>
  </si>
  <si>
    <t xml:space="preserve">Định nghĩa 20 tác vụ CF/BF/BC, firmware ID/GPIO/UART, huy hiệu</t>
  </si>
  <si>
    <t xml:space="preserve">STP-05 §4; SRS FR-BEN</t>
  </si>
  <si>
    <t xml:space="preserve">Đã bổ sung trong bộ v1.2 — trước đó: Mô tả từng tác vụ (kỳ vọng quan sát được), firmware kiểm định mẫu, định dạng kết quả</t>
  </si>
  <si>
    <t xml:space="preserve">EIDE-BEN-21 (bộ benchmark) — có thể gộp vào STP phụ lục</t>
  </si>
  <si>
    <t xml:space="preserve">L25</t>
  </si>
  <si>
    <t xml:space="preserve">Registry và gói .hkp, mẫu dự án tham chiếu (K5′)</t>
  </si>
  <si>
    <t xml:space="preserve">Manifest schema, ký, index, template kind</t>
  </si>
  <si>
    <t xml:space="preserve">SRS FR-REG; SDD registry; KAD K5′</t>
  </si>
  <si>
    <t xml:space="preserve">Đã bổ sung trong bộ v1.2 — trước đó: Schema manifest.json, badges.json, template (BOM + skill + sim + firmware mẫu); quy trình publish qua Git</t>
  </si>
  <si>
    <t xml:space="preserve">EIDE-PKG-22 (đặc tả gói) — có thể là phụ lục SDD</t>
  </si>
  <si>
    <t xml:space="preserve">M4</t>
  </si>
  <si>
    <t xml:space="preserve">L26</t>
  </si>
  <si>
    <t xml:space="preserve">Giao diện lập trình: JSON-RPC (GEditor), MCP, REST nội bộ, CLI</t>
  </si>
  <si>
    <t xml:space="preserve">Đặc tả đầy đủ mọi phương thức: tham số, kết quả, lỗi, sự kiện; sinh từ registry</t>
  </si>
  <si>
    <t xml:space="preserve">SDD-04 §5, §7, §8 (bảng tóm tắt)</t>
  </si>
  <si>
    <t xml:space="preserve">Đã bổ sung trong bộ v1.2 — trước đó: Chưa có đặc tả máy đọc được (JSON Schema cho từng phương thức, mã lỗi, sự kiện push, phiên bản API); CLI chưa có bảng tham số đầy đủ</t>
  </si>
  <si>
    <t xml:space="preserve">EIDE-API-15 (đặc tả API) — sinh phần lớn từ registry</t>
  </si>
  <si>
    <t xml:space="preserve">L27</t>
  </si>
  <si>
    <t xml:space="preserve">GEditor plugin (Swift) và khung plugin GEditor</t>
  </si>
  <si>
    <t xml:space="preserve">API plugin GEditor, vòng đời, panel, render lược đồ, engine tệp lớn</t>
  </si>
  <si>
    <t xml:space="preserve">SAD-03 (danh sách panel); GEditor v2.2 (154 FR, tài liệu riêng)</t>
  </si>
  <si>
    <t xml:space="preserve">Đã bổ sung trong bộ v1.2 — trước đó: Chưa có tài liệu giao diện plugin về phía GEditor: API mở rộng, cách nhúng panel, sự kiện, hiển thị Mermaid/PlantUML/…; phụ thuộc tài liệu GEditor</t>
  </si>
  <si>
    <t xml:space="preserve">EIDE-GPI-23 (giao diện plugin GEditor) — cần đối chiếu tài liệu GEditor</t>
  </si>
  <si>
    <t xml:space="preserve">M3</t>
  </si>
  <si>
    <t xml:space="preserve">L28</t>
  </si>
  <si>
    <t xml:space="preserve">UI/UX: màn hình, điều hướng, thành phần, trạng thái, tương tác</t>
  </si>
  <si>
    <t xml:space="preserve">Kho màn hình, sơ đồ điều hướng, thư viện thành phần, trạng thái (rỗng/lỗi/chờ), tương tác từng màn hình, ánh xạ màn hình ↔ năng lực, token thiết kế PTIT, khả năng tiếp cận</t>
  </si>
  <si>
    <t xml:space="preserve">17 mockup HTML (EIDE-UI); UC có cột màn hình; APD §8 mockup cần sửa</t>
  </si>
  <si>
    <t xml:space="preserve">Đã bổ sung trong bộ v1.2 — trước đó: Mockup chưa cập nhật theo v1.1 (chat mặc định, thanh tự chủ, hàng đợi chờ tôi/đã làm, dừng khẩn, KnowledgeMap, RagAsk, DiagramView, Discovery); chưa có đặc tả UX (điều hướng, trạng thái, thành phần, phím tắt, thông báo, lỗi); chưa có bảng màn hình ↔ năng lực; mã màu PTIT chưa xác nhận</t>
  </si>
  <si>
    <t xml:space="preserve">EIDE-UXD-13 (Đặc tả UI/UX) + cập nhật mockup v1.1</t>
  </si>
  <si>
    <t xml:space="preserve">L29</t>
  </si>
  <si>
    <t xml:space="preserve">Use case chi tiết và luồng</t>
  </si>
  <si>
    <t xml:space="preserve">Luồng chính/thay thế, tiền/hậu điều kiện, cổng, mức tự chủ, màn hình, năng lực, sơ đồ tuần tự</t>
  </si>
  <si>
    <t xml:space="preserve">Use case Excel (45 UC, 10 sheet); BPD-06 (8 quy trình); SRS §2.2</t>
  </si>
  <si>
    <t xml:space="preserve">Đã bổ sung trong bộ v1.2 — trước đó: Thiếu sơ đồ tuần tự cho từng UC (Mermaid); ánh xạ bước ↔ năng lực chưa phủ 100% (mới cột UC/ref); UC chưa cập nhật nhóm năng lực mới (req/arch/diagram/doc/view/discover → thêm UC-I, UC-J); chưa có dữ liệu mẫu cho luồng</t>
  </si>
  <si>
    <t xml:space="preserve">Cập nhật Use case Excel v1.2 + sheet sequence Mermaid; hoặc EIDE-UCD-24</t>
  </si>
  <si>
    <t xml:space="preserve">L30</t>
  </si>
  <si>
    <t xml:space="preserve">Prompt, vai trò LLM, skill (K5, K8)</t>
  </si>
  <si>
    <t xml:space="preserve">Prompt hệ thống từng vai trò, output schema, ví dụ, skill format ≤ 600 token, chuỗi mẫu orchestration</t>
  </si>
  <si>
    <t xml:space="preserve">SDD-04 §6 models.yaml/roles.yaml (trích); KAD K5/K8; EAA-U prompt (kế thừa)</t>
  </si>
  <si>
    <t xml:space="preserve">Đã bổ sung trong bộ v1.2 — trước đó: Chưa có nội dung prompt cho 9 vai trò (intent, librarian, cartographer, planner, coder, reviewer, debugger, architect, writer); output schema từng vai trò; định dạng skill và ví dụ; prompt phủ định từ sổ lỗi</t>
  </si>
  <si>
    <t xml:space="preserve">EIDE-PRS-16 (Prompt &amp; vai trò) — mới</t>
  </si>
  <si>
    <t xml:space="preserve">L31</t>
  </si>
  <si>
    <t xml:space="preserve">Từ điển dữ liệu, DDL, di trú, cấu hình</t>
  </si>
  <si>
    <t xml:space="preserve">Mọi bảng/cột/kiểu/ràng buộc, JSON Schema mọi thực thể, thứ tự migration, schema mọi tệp YAML</t>
  </si>
  <si>
    <t xml:space="preserve">SDD-04 §3, §6</t>
  </si>
  <si>
    <t xml:space="preserve">Đã bổ sung trong bộ v1.2 — trước đó: JSON Schema mới có Fact; thiếu Passport, Requirement, Module, ADR, Diagram, DocArtifact, Discovery, Intent, Run, Decision; DDL và migration; schema autonomy/preferences/target/models yaml</t>
  </si>
  <si>
    <t xml:space="preserve">EIDE-DDD-14 (Từ điển dữ liệu) — mới, phần lớn sinh từ pydantic</t>
  </si>
  <si>
    <t xml:space="preserve">L32</t>
  </si>
  <si>
    <t xml:space="preserve">Bảo mật, quyền riêng tư, sandbox</t>
  </si>
  <si>
    <t xml:space="preserve">Quản lý khóa, cờ nhạy cảm, sandbox extractor/công cụ/render, quyền hệ thống, license</t>
  </si>
  <si>
    <t xml:space="preserve">SRS NFR-06; SAD rủi ro; APD R4</t>
  </si>
  <si>
    <t xml:space="preserve">Đã bổ sung trong bộ v1.2 — trước đó: Thiết kế sandbox cụ thể (tiến trình con, giới hạn, đường dẫn), lưu khóa (keychain), chính sách dữ liệu gửi LLM, kiểm license tự động</t>
  </si>
  <si>
    <t xml:space="preserve">EIDE-SEC-25 (Thiết kế an toàn) — ngắn</t>
  </si>
  <si>
    <t xml:space="preserve">L33</t>
  </si>
  <si>
    <t xml:space="preserve">Nhật ký, mã lỗi, quan sát vận hành</t>
  </si>
  <si>
    <t xml:space="preserve">Định dạng ledger JSONL, mã lỗi thống nhất, chỉ số vận hành, báo cáo chi phí</t>
  </si>
  <si>
    <t xml:space="preserve">SDD ledger; core/gateway/ledger.py (M0)</t>
  </si>
  <si>
    <t xml:space="preserve">Đã bổ sung trong bộ v1.2 — trước đó: Bảng mã lỗi toàn hệ thống; schema sự kiện ledger theo loại; chỉ số §7 DPS đo thế nào</t>
  </si>
  <si>
    <t xml:space="preserve">Phụ lục API-15</t>
  </si>
  <si>
    <t xml:space="preserve">L34</t>
  </si>
  <si>
    <t xml:space="preserve">Kiểm thử: kế hoạch, TC, fixture, dữ liệu mẫu, CI</t>
  </si>
  <si>
    <t xml:space="preserve">TC truy vết FR, fixture (SVD/PDF/ảnh/zip/log), bộ câu lệnh, runner board</t>
  </si>
  <si>
    <t xml:space="preserve">STP-05 (82 TC); tests M0</t>
  </si>
  <si>
    <t xml:space="preserve">Đã bổ sung trong bộ v1.2 — trước đó: TC sinh tự động từ registry chưa có mẫu; fixture cho PDF/ảnh/BOM/zip lồng/log 1 GB chưa liệt kê; kịch bản chuẩn 17 bước chưa thành script; cấu hình CI</t>
  </si>
  <si>
    <t xml:space="preserve">Phụ lục STP-05 v1.2: fixture + TC sinh tự động</t>
  </si>
  <si>
    <t xml:space="preserve">L35</t>
  </si>
  <si>
    <t xml:space="preserve">Đóng gói, cài đặt, triển khai, phát hành</t>
  </si>
  <si>
    <t xml:space="preserve">Cài daemon (launchd/systemd), gói pip, plugin GEditor, phiên bản, cập nhật</t>
  </si>
  <si>
    <t xml:space="preserve">SAD-03 §6 (tóm tắt)</t>
  </si>
  <si>
    <t xml:space="preserve">Đã bổ sung trong bộ v1.2 — trước đó: Chưa có: cấu trúc gói phát hành, installer, quản lý phiên bản core/eide/plugin, cập nhật, gỡ</t>
  </si>
  <si>
    <t xml:space="preserve">EIDE-DEP-26 (Triển khai) — ngắn</t>
  </si>
  <si>
    <t xml:space="preserve">L36</t>
  </si>
  <si>
    <t xml:space="preserve">Kế hoạch phát triển: WBS, backlog theo mốc, phân công người–AI</t>
  </si>
  <si>
    <t xml:space="preserve">Mỗi mốc có danh sách việc liên kết năng lực/FR/TC, thứ tự, ước lượng, tiêu chí xong</t>
  </si>
  <si>
    <t xml:space="preserve">PDA-00 §12 (lộ trình); Danh mục cột Mốc; STP §5</t>
  </si>
  <si>
    <t xml:space="preserve">Đã bổ sung trong bộ v1.2 — trước đó: Chưa có backlog thao tác được (issue-level) theo mốc M1–M4 với phụ thuộc; chưa có ma trận Người–AI cho việc phát triển chính EIDE</t>
  </si>
  <si>
    <t xml:space="preserve">EIDE-PLN-27 (Kế hoạch &amp; backlog) — Excel</t>
  </si>
  <si>
    <t xml:space="preserve">L37</t>
  </si>
  <si>
    <t xml:space="preserve">Quy ước mã, cấu trúc kho, thuật ngữ</t>
  </si>
  <si>
    <t xml:space="preserve">Coding convention Python/Swift, cấu trúc kho, đặt tên năng lực, glossary Việt–Anh</t>
  </si>
  <si>
    <t xml:space="preserve">SDD-04 §2; README M0; thuật ngữ trong URD</t>
  </si>
  <si>
    <t xml:space="preserve">Đã bổ sung trong bộ v1.2 — trước đó: Glossary hợp nhất toàn bộ hồ sơ; convention Python (pydantic, typing, lỗi), Swift; quy ước commit truy vết</t>
  </si>
  <si>
    <t xml:space="preserve">EIDE-CON-28 (Quy ước) — ngắn</t>
  </si>
  <si>
    <t xml:space="preserve">L38</t>
  </si>
  <si>
    <t xml:space="preserve">Ma trận truy vết toàn bộ (UR → FR → năng lực → thiết kế → TC → màn hình)</t>
  </si>
  <si>
    <t xml:space="preserve">Một bảng máy đọc được nối tất cả</t>
  </si>
  <si>
    <t xml:space="preserve">Các bảng truy vết rời trong URD/SRS/STP</t>
  </si>
  <si>
    <t xml:space="preserve">Đã bổ sung trong bộ v1.2 — trước đó: Chưa có ma trận hợp nhất; nên sinh tự động từ registry + UC + TC</t>
  </si>
  <si>
    <t xml:space="preserve">Sheet trong PLN-27 hoặc req.trace_matrix khi có</t>
  </si>
  <si>
    <t xml:space="preserve">L39</t>
  </si>
  <si>
    <t xml:space="preserve">Kiến trúc tri thức (loại, làm giàu, tổ chức)</t>
  </si>
  <si>
    <t xml:space="preserve">Loại, con đường, lớp lưu trữ, xung đột, chia sẻ</t>
  </si>
  <si>
    <t xml:space="preserve">KAD-07</t>
  </si>
  <si>
    <t xml:space="preserve">L40</t>
  </si>
  <si>
    <t xml:space="preserve">Luồng nghiệp vụ</t>
  </si>
  <si>
    <t xml:space="preserve">Quy trình, bước, làn, cổng, tri thức sinh ra</t>
  </si>
  <si>
    <t xml:space="preserve">BPD-06 (P0–P7)</t>
  </si>
  <si>
    <t xml:space="preserve">Đã bổ sung trong bộ v1.2 — trước đó: Sơ đồ bơi P0/P7 chưa vẽ (mới bảng)</t>
  </si>
  <si>
    <t xml:space="preserve">Bổ sung hình khi có diagram.*</t>
  </si>
  <si>
    <t xml:space="preserve">Hiện vật</t>
  </si>
  <si>
    <t xml:space="preserve">Tên / phiên bản</t>
  </si>
  <si>
    <t xml:space="preserve">Mức đạt</t>
  </si>
  <si>
    <t xml:space="preserve">Nội dung chính đã có</t>
  </si>
  <si>
    <t xml:space="preserve">Còn thiếu để phát triển</t>
  </si>
  <si>
    <t xml:space="preserve">Hướng xử lý</t>
  </si>
  <si>
    <t xml:space="preserve">EIDE-PDA-00</t>
  </si>
  <si>
    <t xml:space="preserve">Phân tích thiết kế sản phẩm v1.2</t>
  </si>
  <si>
    <t xml:space="preserve">Mức 1–2</t>
  </si>
  <si>
    <t xml:space="preserve">Đủ (v1.2)</t>
  </si>
  <si>
    <t xml:space="preserve">Định vị, nguyên tắc P1–P9, kịch bản, kiến trúc tổng thể, dữ liệu, lộ trình, danh mục tóm tắt</t>
  </si>
  <si>
    <t xml:space="preserve">Không cần mức 3 (tài liệu định hướng)</t>
  </si>
  <si>
    <t xml:space="preserve">Cập nhật lộ trình khi có backlog PLN-27</t>
  </si>
  <si>
    <t xml:space="preserve">EIDE-URD-01</t>
  </si>
  <si>
    <t xml:space="preserve">Yêu cầu người dùng v1.2</t>
  </si>
  <si>
    <t xml:space="preserve">Mức 3 (yêu cầu)</t>
  </si>
  <si>
    <t xml:space="preserve">14 nhóm UR, 10 UQ, 10 CR, truy vết</t>
  </si>
  <si>
    <t xml:space="preserve">Tiêu chí chấp nhận nhóm mới cần số đo sau prototype</t>
  </si>
  <si>
    <t xml:space="preserve">v1.2 sau M1</t>
  </si>
  <si>
    <t xml:space="preserve">EIDE-SRS-02</t>
  </si>
  <si>
    <t xml:space="preserve">Đặc tả yêu cầu phần mềm v1.2</t>
  </si>
  <si>
    <t xml:space="preserve">Mức 2–3</t>
  </si>
  <si>
    <t xml:space="preserve">FR mô-đun, 228 FR năng lực, AUT, DLG, NFR, giao diện ngoài</t>
  </si>
  <si>
    <t xml:space="preserve">FR năng lực chưa có schema/lỗi/tiêu chí riêng → CDS-12</t>
  </si>
  <si>
    <t xml:space="preserve">Giữ; CDS-12 là phụ lục chi tiết</t>
  </si>
  <si>
    <t xml:space="preserve">EIDE-SAD-03</t>
  </si>
  <si>
    <t xml:space="preserve">Thiết kế kiến trúc v1.2</t>
  </si>
  <si>
    <t xml:space="preserve">9 nguyên tắc, góc nhìn năng lực, 20 thành phần, hành vi, dữ liệu, triển khai, 14 ADR, rủi ro</t>
  </si>
  <si>
    <t xml:space="preserve">Lược đồ C4 dạng Mermaid; sequence cho UC15–UC18</t>
  </si>
  <si>
    <t xml:space="preserve">EIDE-SDD-04</t>
  </si>
  <si>
    <t xml:space="preserve">Thiết kế chi tiết v1.2</t>
  </si>
  <si>
    <t xml:space="preserve">Mức 3 (lõi) / Mức 2 (nhóm mới)</t>
  </si>
  <si>
    <t xml:space="preserve">Cây thư mục, schema Fact, SQLite, giao diện Python 12 mục, MCP, cấu hình, CLI, JSON-RPC</t>
  </si>
  <si>
    <t xml:space="preserve">Các mục §4.6–4.12 mới có chữ ký hàm, chưa có thuật toán; bảng mới chưa DDL; schema YAML chưa đầy đủ → CDS-12, DDD-14, API-15</t>
  </si>
  <si>
    <t xml:space="preserve">Giữ làm tài liệu tổng; chi tiết tách ra CDS/DDD/API</t>
  </si>
  <si>
    <t xml:space="preserve">EIDE-STP-05</t>
  </si>
  <si>
    <t xml:space="preserve">Kế hoạch kiểm thử v1.2</t>
  </si>
  <si>
    <t xml:space="preserve">4 mức + L2b, 82 TC, benchmark, kế hoạch theo mốc</t>
  </si>
  <si>
    <t xml:space="preserve">Fixture, dữ liệu mẫu, TC sinh tự động, script kịch bản chuẩn, CI</t>
  </si>
  <si>
    <t xml:space="preserve">v1.2 phụ lục fixture</t>
  </si>
  <si>
    <t xml:space="preserve">EIDE-BPD-06</t>
  </si>
  <si>
    <t xml:space="preserve">Luồng nghiệp vụ v1.2</t>
  </si>
  <si>
    <t xml:space="preserve">Mức 3 (quy trình)</t>
  </si>
  <si>
    <t xml:space="preserve">P0–P7, cổng theo chính sách, tri thức sinh ra</t>
  </si>
  <si>
    <t xml:space="preserve">Sơ đồ bơi P0/P7</t>
  </si>
  <si>
    <t xml:space="preserve">Bổ sung hình</t>
  </si>
  <si>
    <t xml:space="preserve">EIDE-KAD-07</t>
  </si>
  <si>
    <t xml:space="preserve">Kiến trúc tri thức v1.2</t>
  </si>
  <si>
    <t xml:space="preserve">K1–K10, E1–E12, 5 lớp, ngữ cảnh composer, view/RAG</t>
  </si>
  <si>
    <t xml:space="preserve">Bộ nhớ vận hành của tác tử và kiến trúc ngữ cảnh chi tiết → MEM-11, CXD-10</t>
  </si>
  <si>
    <t xml:space="preserve">Giữ; hai tài liệu mới tham chiếu KAD</t>
  </si>
  <si>
    <t xml:space="preserve">EIDE-APD-08</t>
  </si>
  <si>
    <t xml:space="preserve">Chính sách tự chủ v1.2</t>
  </si>
  <si>
    <t xml:space="preserve">Mức 2</t>
  </si>
  <si>
    <t xml:space="preserve">A0–A4, R0–R4, quy tắc theo cổng, leo thang, hoàn tác, học ngưỡng, ánh xạ danh mục</t>
  </si>
  <si>
    <t xml:space="preserve">Quy tắc dạng máy đọc được + schema autonomy.yaml + 40 tình huống test → POL-17</t>
  </si>
  <si>
    <t xml:space="preserve">Giữ; POL-17 là phụ lục kỹ thuật</t>
  </si>
  <si>
    <t xml:space="preserve">EIDE-DPS-09</t>
  </si>
  <si>
    <t xml:space="preserve">Chính sách hội thoại v1.0</t>
  </si>
  <si>
    <t xml:space="preserve">Mức 3</t>
  </si>
  <si>
    <t xml:space="preserve">4 trách nhiệm, D1–D8, schema Intent, grounding, mặc định/câu hỏi, chuỗi mẫu, Z-01…Z-10, UI chat, chỉ số</t>
  </si>
  <si>
    <t xml:space="preserve">Prompt vai trò intent và bộ 50 câu lệnh có nhãn → PRS-16</t>
  </si>
  <si>
    <t xml:space="preserve">Giữ</t>
  </si>
  <si>
    <t xml:space="preserve">EIDE_Danh_muc_Nang_luc.xlsx</t>
  </si>
  <si>
    <t xml:space="preserve">Danh mục năng lực v1.2</t>
  </si>
  <si>
    <t xml:space="preserve">Mức 2 (hợp đồng 13 trường)</t>
  </si>
  <si>
    <t xml:space="preserve">228 năng lực, thống kê, vòng đời</t>
  </si>
  <si>
    <t xml:space="preserve">Schema vào/ra JSON, lỗi, hoàn tác, ví dụ → CDS-12; thêm cột 'màn hình' và 'TC'</t>
  </si>
  <si>
    <t xml:space="preserve">v1.2 thêm cột</t>
  </si>
  <si>
    <t xml:space="preserve">EIDE_Use_Case_Chi_Tiet.xlsx</t>
  </si>
  <si>
    <t xml:space="preserve">Use case chi tiết</t>
  </si>
  <si>
    <t xml:space="preserve">45 UC, luồng, thay thế, kịch bản 17 bước, mức tự chủ, năng lực, hội thoại</t>
  </si>
  <si>
    <t xml:space="preserve">UC cho nhóm mới (req/arch/diagram/doc/view/discover); sơ đồ tuần tự; ánh xạ bước ↔ năng lực 100%</t>
  </si>
  <si>
    <t xml:space="preserve">v1.2</t>
  </si>
  <si>
    <t xml:space="preserve">EIDE-UI (17 mockup HTML)</t>
  </si>
  <si>
    <t xml:space="preserve">Mockup UI</t>
  </si>
  <si>
    <t xml:space="preserve">17 màn hình: Main, Chat, Code, Sim, Passport, Graph, Ingest, ReviewQueue, PlanDiff, Debug, LogAssist, Board, Env, Models, Registry, Bench, FlowMap</t>
  </si>
  <si>
    <t xml:space="preserve">Chat mặc định, thanh tự chủ, hàng đợi 2 loại, dừng khẩn, KnowledgeMap/RagAsk, DiagramView, Discovery, Doc; đặc tả UX → UXD-13</t>
  </si>
  <si>
    <t xml:space="preserve">Cập nhật mockup + UXD-13</t>
  </si>
  <si>
    <t xml:space="preserve">hkw-core M0 (mã)</t>
  </si>
  <si>
    <t xml:space="preserve">Mã M0</t>
  </si>
  <si>
    <t xml:space="preserve">Mức 3 (đã chạy)</t>
  </si>
  <si>
    <t xml:space="preserve">passport/store/KG/extractors SVD, ATDF, archive/gateway/CLI; 24 test</t>
  </si>
  <si>
    <t xml:space="preserve">Đổi tên eide; policy, caps registry, orchestrator ở M1</t>
  </si>
  <si>
    <t xml:space="preserve">M1 theo backlog</t>
  </si>
  <si>
    <t xml:space="preserve">Nhóm</t>
  </si>
  <si>
    <t xml:space="preserve">Số năng lực</t>
  </si>
  <si>
    <t xml:space="preserve">Đã có mã M0</t>
  </si>
  <si>
    <t xml:space="preserve">Mức hiện tại</t>
  </si>
  <si>
    <t xml:space="preserve">Thiếu ở mức 3</t>
  </si>
  <si>
    <t xml:space="preserve">Tài liệu đích</t>
  </si>
  <si>
    <t xml:space="preserve">Mốc</t>
  </si>
  <si>
    <t xml:space="preserve">project</t>
  </si>
  <si>
    <t xml:space="preserve">Thuật toán suy tên/đường dẫn từ câu lệnh; cấu trúc .eide/ đầy đủ; nhân bản/xóa an toàn</t>
  </si>
  <si>
    <t xml:space="preserve">EIDE-CDS-12 tập 5. Quản trị</t>
  </si>
  <si>
    <t xml:space="preserve">memory</t>
  </si>
  <si>
    <t xml:space="preserve">Toàn bộ kiến trúc bộ nhớ (MEM-11) và ngữ cảnh (CXD-10): schema, chính sách ghi/đọc/quên, nén</t>
  </si>
  <si>
    <t xml:space="preserve">EIDE-CDS-12 tập 6. Hội thoại &amp; bộ nhớ</t>
  </si>
  <si>
    <t xml:space="preserve">archive</t>
  </si>
  <si>
    <t xml:space="preserve">Định dạng rar/7z (thư viện), giới hạn đệ quy, truy vấn nội dung không giải nén hết, phân loại theo chữ ký</t>
  </si>
  <si>
    <t xml:space="preserve">EIDE-CDS-12 tập 2. Tri thức</t>
  </si>
  <si>
    <t xml:space="preserve">search</t>
  </si>
  <si>
    <t xml:space="preserve">Mẫu URL hãng, docs MCP, rank, license, sufficiency check, reference_projects</t>
  </si>
  <si>
    <t xml:space="preserve">extract</t>
  </si>
  <si>
    <t xml:space="preserve">Pipeline PDF/OCR/BOM/netlist/timing/readme; prompt + schema bảng; locator; confidence</t>
  </si>
  <si>
    <t xml:space="preserve">passport</t>
  </si>
  <si>
    <t xml:space="preserve">Đã có mã M0; bổ sung diff/upgrade/verify_on_board</t>
  </si>
  <si>
    <t xml:space="preserve">kg</t>
  </si>
  <si>
    <t xml:space="preserve">Đã có mã M0; review_facts theo chính sách, evidence, request</t>
  </si>
  <si>
    <t xml:space="preserve">board</t>
  </si>
  <si>
    <t xml:space="preserve">Netlist KiCad → BoardPassport; quy tắc xung đột chân/AF/bus; constraints</t>
  </si>
  <si>
    <t xml:space="preserve">env</t>
  </si>
  <si>
    <t xml:space="preserve">Manifest công cụ theo ISA/OS; danh sách tin cậy; sandbox cài; tools.lock</t>
  </si>
  <si>
    <t xml:space="preserve">EIDE-CDS-12 tập 3. Hiện thực</t>
  </si>
  <si>
    <t xml:space="preserve">plan</t>
  </si>
  <si>
    <t xml:space="preserve">Prompt Planner, schema Plan, sufficiency, tách Feature</t>
  </si>
  <si>
    <t xml:space="preserve">code</t>
  </si>
  <si>
    <t xml:space="preserve">Prompt Coder/Reviewer, chia module, tích hợp, merge auto/, constant-guard, test host</t>
  </si>
  <si>
    <t xml:space="preserve">sim</t>
  </si>
  <si>
    <t xml:space="preserve">Thiết kế mô phỏng SIM-20: Renode/simavr/simulator tự dựng, plant, mock ngoại vi, kịch bản</t>
  </si>
  <si>
    <t xml:space="preserve">EIDE-CDS-12 tập 4. Xác minh</t>
  </si>
  <si>
    <t xml:space="preserve">target</t>
  </si>
  <si>
    <t xml:space="preserve">Lệnh adapter theo ISA; EvidencePack; observe bằng máy</t>
  </si>
  <si>
    <t xml:space="preserve">debug</t>
  </si>
  <si>
    <t xml:space="preserve">Prompt Debugger, Diagnosis schema, thí nghiệm theo chính sách, log_stats từ GEditor</t>
  </si>
  <si>
    <t xml:space="preserve">measure</t>
  </si>
  <si>
    <t xml:space="preserve">sigrok/đo dòng: lệnh, định dạng, đồng bộ thời gian</t>
  </si>
  <si>
    <t xml:space="preserve">bench</t>
  </si>
  <si>
    <t xml:space="preserve">20 tác vụ, firmware kiểm định, chấm CF/BF/BC</t>
  </si>
  <si>
    <t xml:space="preserve">registry</t>
  </si>
  <si>
    <t xml:space="preserve">Manifest/ký/index/template</t>
  </si>
  <si>
    <t xml:space="preserve">report</t>
  </si>
  <si>
    <t xml:space="preserve">Mẫu báo cáo tiến độ, ma trận Người–AI từ ledger</t>
  </si>
  <si>
    <t xml:space="preserve">policy</t>
  </si>
  <si>
    <t xml:space="preserve">Bảng quy tắc máy đọc được, schema autonomy.yaml, undo theo loại, học ngưỡng (POL-17)</t>
  </si>
  <si>
    <t xml:space="preserve">chat</t>
  </si>
  <si>
    <t xml:space="preserve">DPS-09 đã ở mức 3; còn prompt intent và fixture</t>
  </si>
  <si>
    <t xml:space="preserve">req</t>
  </si>
  <si>
    <t xml:space="preserve">Schema Requirement, thuật toán phân loại/khả thi/mâu thuẫn, mẫu tiêu chí, ma trận truy vết</t>
  </si>
  <si>
    <t xml:space="preserve">EIDE-CDS-12 tập 1. Kỹ nghệ</t>
  </si>
  <si>
    <t xml:space="preserve">arch</t>
  </si>
  <si>
    <t xml:space="preserve">Tiêu chí chọn kiến trúc, phân rã, ngân sách RAM/WCET, checklist, ADR, so sánh</t>
  </si>
  <si>
    <t xml:space="preserve">diagram</t>
  </si>
  <si>
    <t xml:space="preserve">Mẫu sinh 10 loại lược đồ, bộ render, lint, sync, from_image; xác nhận ngôn ngữ GEditor hỗ trợ</t>
  </si>
  <si>
    <t xml:space="preserve">doc</t>
  </si>
  <si>
    <t xml:space="preserve">Mẫu docx/md, mục lục theo loại, ánh xạ nguồn, style_check, sync</t>
  </si>
  <si>
    <t xml:space="preserve">view</t>
  </si>
  <si>
    <t xml:space="preserve">Chunk/embedding/chỉ mục/truy hồi lai/trace; panel bản đồ; xuất</t>
  </si>
  <si>
    <t xml:space="preserve">discover</t>
  </si>
  <si>
    <t xml:space="preserve">VID/PID, đọc ID theo họ chip, dò tốc độ, auto_setup, board_match</t>
  </si>
  <si>
    <t xml:space="preserve">tool</t>
  </si>
  <si>
    <t xml:space="preserve">— (năng lực gốc v1.2: tác tử tự viết công cụ Python, sandbox, đăng ký user.*, thăng cấp qua Pack; cổng G-TOOL)</t>
  </si>
  <si>
    <t xml:space="preserve">EIDE-CDS-12 tập 5. Quản trị &amp; tự tạo công cụ; POL-17; SEC-25</t>
  </si>
  <si>
    <t xml:space="preserve">Tổng</t>
  </si>
  <si>
    <t xml:space="preserve">Năng lực trong nhóm đã đủ mức 3</t>
  </si>
  <si>
    <t xml:space="preserve">Tỷ lệ năng lực đã đủ mức 3</t>
  </si>
  <si>
    <t xml:space="preserve">Màn hình</t>
  </si>
  <si>
    <t xml:space="preserve">Có mockup</t>
  </si>
  <si>
    <t xml:space="preserve">Cập nhật v1.1 cần làm</t>
  </si>
  <si>
    <t xml:space="preserve">Đặc tả còn thiếu</t>
  </si>
  <si>
    <t xml:space="preserve">Năng lực chính</t>
  </si>
  <si>
    <t xml:space="preserve">Chat (ChatPanel)</t>
  </si>
  <si>
    <t xml:space="preserve">Có (v1.2)</t>
  </si>
  <si>
    <t xml:space="preserve">Thành màn hình mặc định; thẻ 'tôi hiểu là', thẻ câu hỏi gộp có timeout, tiến độ chuỗi, báo cáo cuối có nút hoàn tác, gợi ý '/' năng lực</t>
  </si>
  <si>
    <t xml:space="preserve">Trạng thái rỗng/lỗi/chờ; phím tắt; luồng sửa ý hiểu</t>
  </si>
  <si>
    <t xml:space="preserve">chat.*, policy.*</t>
  </si>
  <si>
    <t xml:space="preserve">Main (khung, thanh trạng thái)</t>
  </si>
  <si>
    <t xml:space="preserve">Thanh trạng thái tự chủ 'A3 · N việc tự làm · M chờ anh · hoàn tác đến …'; nút dừng khẩn; trạng thái target đang cắm</t>
  </si>
  <si>
    <t xml:space="preserve">Điều hướng tổng, bố cục panel, đa cửa sổ</t>
  </si>
  <si>
    <t xml:space="preserve">policy.set_autonomy, discover.status</t>
  </si>
  <si>
    <t xml:space="preserve">ReviewQueue (hàng đợi)</t>
  </si>
  <si>
    <t xml:space="preserve">Tách 'chờ tôi' (ASK) và 'đã làm — hoàn tác được' (APPROVE); bộ lọc theo cổng/rủi ro</t>
  </si>
  <si>
    <t xml:space="preserve">Thao tác hàng loạt, undo, hết hạn cửa sổ</t>
  </si>
  <si>
    <t xml:space="preserve">policy.undo_window, policy.escalate, kg.review_facts</t>
  </si>
  <si>
    <t xml:space="preserve">Passport (hộ chiếu)</t>
  </si>
  <si>
    <t xml:space="preserve">Nhấp fact → provenance mở đúng trang PDF; nhãn auto-reviewed by policy</t>
  </si>
  <si>
    <t xml:space="preserve">Tìm/lọc, so phiên bản, xuất</t>
  </si>
  <si>
    <t xml:space="preserve">passport.*, view.provenance</t>
  </si>
  <si>
    <t xml:space="preserve">Graph (đồ thị) → KnowledgeMap</t>
  </si>
  <si>
    <t xml:space="preserve">Nâng thành bản đồ tri thức: màu theo tier/status/lớp, lân cận, độ phủ, tác động, dòng thời gian, xuất</t>
  </si>
  <si>
    <t xml:space="preserve">Hiệu năng 50k nút, tương tác zoom/lọc/chọn</t>
  </si>
  <si>
    <t xml:space="preserve">view.kg_map, kg_focus, coverage_map, impact_map, timeline, export_map</t>
  </si>
  <si>
    <t xml:space="preserve">RagAsk (hỏi–đáp)</t>
  </si>
  <si>
    <t xml:space="preserve">Màn hình mới: câu hỏi, trả lời có trích dẫn nhấp mở nguồn, trace (chunk, điểm, lan tỏa), so sánh nguồn</t>
  </si>
  <si>
    <t xml:space="preserve">Toàn bộ</t>
  </si>
  <si>
    <t xml:space="preserve">view.rag_ask, rag_trace, rag_compare</t>
  </si>
  <si>
    <t xml:space="preserve">Ingest (nhập tài liệu)</t>
  </si>
  <si>
    <t xml:space="preserve">Khai phá zip/rar lồng nhau; tiến độ trích xuất; nguồn tự tải theo chính sách</t>
  </si>
  <si>
    <t xml:space="preserve">Trạng thái từng tệp, lỗi, thử lại</t>
  </si>
  <si>
    <t xml:space="preserve">archive.*, extract.*, search.*</t>
  </si>
  <si>
    <t xml:space="preserve">Board (mạch)</t>
  </si>
  <si>
    <t xml:space="preserve">Sơ đồ chân sinh từ HwMap (diagram.pinmap); xung đột; đánh dấu lab</t>
  </si>
  <si>
    <t xml:space="preserve">Chỉnh sửa net/pin thủ công</t>
  </si>
  <si>
    <t xml:space="preserve">board.*, diagram.pinmap</t>
  </si>
  <si>
    <t xml:space="preserve">Code (mã)</t>
  </si>
  <si>
    <t xml:space="preserve">Hằng số có nguồn (hover fact), constant-guard cảnh báo, merge auto/ và hoàn tác</t>
  </si>
  <si>
    <t xml:space="preserve">Diff, review findings, tích hợp IDE ngoài</t>
  </si>
  <si>
    <t xml:space="preserve">code.*</t>
  </si>
  <si>
    <t xml:space="preserve">PlanDiff (kế hoạch/diff)</t>
  </si>
  <si>
    <t xml:space="preserve">Kế hoạch có trích dẫn, tự duyệt G1/G3 theo chính sách, lý do</t>
  </si>
  <si>
    <t xml:space="preserve">So sánh phương án</t>
  </si>
  <si>
    <t xml:space="preserve">plan.*, code.merge</t>
  </si>
  <si>
    <t xml:space="preserve">Sim (mô phỏng)</t>
  </si>
  <si>
    <t xml:space="preserve">Kịch bản, plant, mock ngoại vi, so SIL/HIL; phụ thuộc SIM-20</t>
  </si>
  <si>
    <t xml:space="preserve">Toàn bộ tương tác</t>
  </si>
  <si>
    <t xml:space="preserve">sim.*</t>
  </si>
  <si>
    <t xml:space="preserve">Debug (gỡ lỗi)</t>
  </si>
  <si>
    <t xml:space="preserve">EvidencePack, giả thuyết, thí nghiệm theo chính sách</t>
  </si>
  <si>
    <t xml:space="preserve">Probe view, thanh ghi</t>
  </si>
  <si>
    <t xml:space="preserve">debug.*, target.probe_*</t>
  </si>
  <si>
    <t xml:space="preserve">LogAssist (log lớn)</t>
  </si>
  <si>
    <t xml:space="preserve">Hỏi tại dòng; stats; neo câu trả lời</t>
  </si>
  <si>
    <t xml:space="preserve">Tích hợp engine GEditor</t>
  </si>
  <si>
    <t xml:space="preserve">debug.log_stats, debug.ask</t>
  </si>
  <si>
    <t xml:space="preserve">Env (môi trường)</t>
  </si>
  <si>
    <t xml:space="preserve">Tự cài từ danh sách tin cậy; hỏi gói lạ; tools.lock</t>
  </si>
  <si>
    <t xml:space="preserve">Tiến độ cài, lỗi</t>
  </si>
  <si>
    <t xml:space="preserve">env.*</t>
  </si>
  <si>
    <t xml:space="preserve">Discovery (dò board)</t>
  </si>
  <si>
    <t xml:space="preserve">Màn hình mới: cổng/probe/ID chip/tốc độ/firmware/nguồn; auto_setup; cảnh báo lệch</t>
  </si>
  <si>
    <t xml:space="preserve">discover.*</t>
  </si>
  <si>
    <t xml:space="preserve">DiagramView (lược đồ)</t>
  </si>
  <si>
    <t xml:space="preserve">Màn hình mới: mã lược đồ ↔ hình (Mermaid/PlantUML/DOT/D2/WaveDrom/SVG), lint, sync, chèn tài liệu</t>
  </si>
  <si>
    <t xml:space="preserve">Toàn bộ; phụ thuộc GEditor render</t>
  </si>
  <si>
    <t xml:space="preserve">diagram.*</t>
  </si>
  <si>
    <t xml:space="preserve">Doc (tài liệu)</t>
  </si>
  <si>
    <t xml:space="preserve">Màn hình mới: sinh tài liệu theo loại, style_check, mục stale, xuất docx/pdf</t>
  </si>
  <si>
    <t xml:space="preserve">doc.*, report.*</t>
  </si>
  <si>
    <t xml:space="preserve">ReqArch (yêu cầu/kiến trúc)</t>
  </si>
  <si>
    <t xml:space="preserve">Màn hình mới: ReqSet, khả thi, mâu thuẫn, ModuleGraph, HwMap, ADR, ngân sách</t>
  </si>
  <si>
    <t xml:space="preserve">req.*, arch.*</t>
  </si>
  <si>
    <t xml:space="preserve">Models (mô hình)</t>
  </si>
  <si>
    <t xml:space="preserve">Vai trò mới intent/architect/writer; ngân sách; không còn offline mặc định</t>
  </si>
  <si>
    <t xml:space="preserve">policy, gateway</t>
  </si>
  <si>
    <t xml:space="preserve">Registry</t>
  </si>
  <si>
    <t xml:space="preserve">Mẫu dự án tham chiếu (template); publish tự động nội bộ</t>
  </si>
  <si>
    <t xml:space="preserve">registry.*</t>
  </si>
  <si>
    <t xml:space="preserve">Bench</t>
  </si>
  <si>
    <t xml:space="preserve">20 tác vụ, huy hiệu</t>
  </si>
  <si>
    <t xml:space="preserve">bench.*</t>
  </si>
  <si>
    <t xml:space="preserve">FlowMap (bản đồ luồng)</t>
  </si>
  <si>
    <t xml:space="preserve">P0/P7 mới; cổng theo chính sách</t>
  </si>
  <si>
    <t xml:space="preserve">Màn hình chưa có mockup</t>
  </si>
  <si>
    <t xml:space="preserve">Màn hình cần cập nhật theo v1.1</t>
  </si>
  <si>
    <t xml:space="preserve">ToolForge (tự tạo công cụ)</t>
  </si>
  <si>
    <t xml:space="preserve">Màn hình mới: nhu cầu → mã công cụ → sandbox test → đăng ký user.* → thăng cấp</t>
  </si>
  <si>
    <t xml:space="preserve">tool.*</t>
  </si>
  <si>
    <t xml:space="preserve">Mã UC</t>
  </si>
  <si>
    <t xml:space="preserve">Use case</t>
  </si>
  <si>
    <t xml:space="preserve">Có trong Excel</t>
  </si>
  <si>
    <t xml:space="preserve">Đã có</t>
  </si>
  <si>
    <t xml:space="preserve">Còn thiếu</t>
  </si>
  <si>
    <t xml:space="preserve">Hành động</t>
  </si>
  <si>
    <t xml:space="preserve">UC-A01</t>
  </si>
  <si>
    <t xml:space="preserve">Tạo dự án mới</t>
  </si>
  <si>
    <t xml:space="preserve">A. Dự án &amp; môi trường</t>
  </si>
  <si>
    <t xml:space="preserve">Luồng, thay thế, tiền/hậu, mức tự chủ, năng lực</t>
  </si>
  <si>
    <t xml:space="preserve">Sơ đồ tuần tự; UC-A04 sửa (bỏ 'chế độ cục bộ' khỏi mặc định)</t>
  </si>
  <si>
    <t xml:space="preserve">Xong trong EIDE_Use_Case_Chi_Tiet_v1.2.xlsx (sheet 10 sequence, sheet 11 bước↔năng lực)</t>
  </si>
  <si>
    <t xml:space="preserve">UC-A02</t>
  </si>
  <si>
    <t xml:space="preserve">Khai báo hoặc suy ra chip / ISA / board của dự án</t>
  </si>
  <si>
    <t xml:space="preserve">UC-A03</t>
  </si>
  <si>
    <t xml:space="preserve">Khám phá, cài đặt và khóa toolchain (eide doctor)</t>
  </si>
  <si>
    <t xml:space="preserve">UC-A04</t>
  </si>
  <si>
    <t xml:space="preserve">Cấu hình mô hình ngôn ngữ và chế độ cục bộ</t>
  </si>
  <si>
    <t xml:space="preserve">UC-A05</t>
  </si>
  <si>
    <t xml:space="preserve">Nhập dự án mã nguồn có sẵn</t>
  </si>
  <si>
    <t xml:space="preserve">UC-A06</t>
  </si>
  <si>
    <t xml:space="preserve">Tiếp tục phiên làm việc</t>
  </si>
  <si>
    <t xml:space="preserve">UC-B01</t>
  </si>
  <si>
    <t xml:space="preserve">Nhập gói tài liệu hỗn hợp (zip có mạch, ảnh, PDF, tệp linh tinh)</t>
  </si>
  <si>
    <t xml:space="preserve">B. Nhận tri thức</t>
  </si>
  <si>
    <t xml:space="preserve">Đầy đủ luồng và cổng</t>
  </si>
  <si>
    <t xml:space="preserve">Sơ đồ tuần tự; cập nhật cổng theo chính sách; UC-B09/B10 chuyển sang 'tự động khi…'</t>
  </si>
  <si>
    <t xml:space="preserve">UC-B02</t>
  </si>
  <si>
    <t xml:space="preserve">Suy ra chip / linh kiện từ tài liệu và ảnh</t>
  </si>
  <si>
    <t xml:space="preserve">UC-B03</t>
  </si>
  <si>
    <t xml:space="preserve">Nhập nguồn cấu trúc chính hãng (SVD / ATDF / EDC / header)</t>
  </si>
  <si>
    <t xml:space="preserve">UC-B04</t>
  </si>
  <si>
    <t xml:space="preserve">Trích xuất tri thức từ PDF (datasheet, reference manual, errata)</t>
  </si>
  <si>
    <t xml:space="preserve">UC-B05</t>
  </si>
  <si>
    <t xml:space="preserve">Trích xuất từ ảnh (schematic chụp, ảnh board, ảnh màn hình đo)</t>
  </si>
  <si>
    <t xml:space="preserve">UC-B06</t>
  </si>
  <si>
    <t xml:space="preserve">Nhập schematic KiCad và dựng hộ chiếu mạch</t>
  </si>
  <si>
    <t xml:space="preserve">UC-B07</t>
  </si>
  <si>
    <t xml:space="preserve">Phát hiện thiếu tri thức và tạo yêu cầu nhận tri thức</t>
  </si>
  <si>
    <t xml:space="preserve">UC-B08</t>
  </si>
  <si>
    <t xml:space="preserve">Tìm nguồn tri thức (registry → kho hãng → docs MCP → web)</t>
  </si>
  <si>
    <t xml:space="preserve">UC-B09</t>
  </si>
  <si>
    <t xml:space="preserve">Xác nhận nguồn (G-SRC): xem thông tin, chọn, tải</t>
  </si>
  <si>
    <t xml:space="preserve">UC-B10</t>
  </si>
  <si>
    <t xml:space="preserve">Duyệt fact (G-FACT) theo nhóm với ảnh cắt</t>
  </si>
  <si>
    <t xml:space="preserve">UC-B11</t>
  </si>
  <si>
    <t xml:space="preserve">Giải quyết mâu thuẫn giữa các nguồn</t>
  </si>
  <si>
    <t xml:space="preserve">UC-B12</t>
  </si>
  <si>
    <t xml:space="preserve">Kiểm định hộ chiếu trên board thật</t>
  </si>
  <si>
    <t xml:space="preserve">UC-B13</t>
  </si>
  <si>
    <t xml:space="preserve">Cập nhật phiên bản tri thức (SVD/datasheet mới) và phân tích ảnh hưởng</t>
  </si>
  <si>
    <t xml:space="preserve">UC-B14</t>
  </si>
  <si>
    <t xml:space="preserve">Hỏi đáp tra cứu hộ chiếu (ngôn ngữ tự nhiên có trích dẫn)</t>
  </si>
  <si>
    <t xml:space="preserve">UC-C01</t>
  </si>
  <si>
    <t xml:space="preserve">Kiểm xung đột tài nguyên trước khi sinh mã</t>
  </si>
  <si>
    <t xml:space="preserve">C. Mạch &amp; tài nguyên</t>
  </si>
  <si>
    <t xml:space="preserve">Luồng</t>
  </si>
  <si>
    <t xml:space="preserve">Sơ đồ tuần tự</t>
  </si>
  <si>
    <t xml:space="preserve">UC-D01</t>
  </si>
  <si>
    <t xml:space="preserve">Mô tả tính năng và tạo STEP</t>
  </si>
  <si>
    <t xml:space="preserve">D. Kế hoạch &amp; sinh mã</t>
  </si>
  <si>
    <t xml:space="preserve">Luồng, cổng G1/G3</t>
  </si>
  <si>
    <t xml:space="preserve">Sơ đồ tuần tự; cổng theo chính sách; merge auto/</t>
  </si>
  <si>
    <t xml:space="preserve">UC-D02</t>
  </si>
  <si>
    <t xml:space="preserve">Lập kế hoạch có trích dẫn và duyệt G1</t>
  </si>
  <si>
    <t xml:space="preserve">UC-D03</t>
  </si>
  <si>
    <t xml:space="preserve">Sinh mã với hằng số có nguồn (constant-guard)</t>
  </si>
  <si>
    <t xml:space="preserve">UC-D04</t>
  </si>
  <si>
    <t xml:space="preserve">Review khác hãng và duyệt merge (G3)</t>
  </si>
  <si>
    <t xml:space="preserve">UC-D05</t>
  </si>
  <si>
    <t xml:space="preserve">Kỹ sư sửa mã tay và đối chiếu hộ chiếu</t>
  </si>
  <si>
    <t xml:space="preserve">UC-D06</t>
  </si>
  <si>
    <t xml:space="preserve">Hoàn tác về phiên bản known-good</t>
  </si>
  <si>
    <t xml:space="preserve">UC-E01</t>
  </si>
  <si>
    <t xml:space="preserve">Tác tử dựng môi trường mô phỏng cho chip/mạch (SIL)</t>
  </si>
  <si>
    <t xml:space="preserve">E. Mô phỏng</t>
  </si>
  <si>
    <t xml:space="preserve">Phụ thuộc SIM-20; dữ liệu plant mẫu</t>
  </si>
  <si>
    <t xml:space="preserve">UC-E02</t>
  </si>
  <si>
    <t xml:space="preserve">Mô hình hóa đối tượng điều khiển (plant) và cảm biến</t>
  </si>
  <si>
    <t xml:space="preserve">UC-E03</t>
  </si>
  <si>
    <t xml:space="preserve">Sinh và chạy kịch bản kiểm thử SIL</t>
  </si>
  <si>
    <t xml:space="preserve">UC-E04</t>
  </si>
  <si>
    <t xml:space="preserve">So sánh SIL với HIL và cập nhật mô hình</t>
  </si>
  <si>
    <t xml:space="preserve">UC-F01</t>
  </si>
  <si>
    <t xml:space="preserve">Cấp quyền thao tác nguy hiểm (G-OPS)</t>
  </si>
  <si>
    <t xml:space="preserve">F. Xác minh &amp; gỡ lỗi</t>
  </si>
  <si>
    <t xml:space="preserve">Luồng, G-OPS/G4</t>
  </si>
  <si>
    <t xml:space="preserve">Thêm bước dò board (discover); cổng theo chính sách</t>
  </si>
  <si>
    <t xml:space="preserve">UC-F02</t>
  </si>
  <si>
    <t xml:space="preserve">Nạp firmware và xác minh</t>
  </si>
  <si>
    <t xml:space="preserve">UC-F03</t>
  </si>
  <si>
    <t xml:space="preserve">Quan sát serial, xác nhận vật lý (G4) và gắn bằng chứng</t>
  </si>
  <si>
    <t xml:space="preserve">UC-F04</t>
  </si>
  <si>
    <t xml:space="preserve">Hỏi tác tử tại dòng log (log gigabyte)</t>
  </si>
  <si>
    <t xml:space="preserve">UC-F05</t>
  </si>
  <si>
    <t xml:space="preserve">Gỡ lỗi mức probe và gói chứng cứ</t>
  </si>
  <si>
    <t xml:space="preserve">UC-F06</t>
  </si>
  <si>
    <t xml:space="preserve">Đo tín hiệu và năng lượng làm bằng chứng</t>
  </si>
  <si>
    <t xml:space="preserve">UC-G01</t>
  </si>
  <si>
    <t xml:space="preserve">Chạy benchmark Pack/skill trên board</t>
  </si>
  <si>
    <t xml:space="preserve">G. Chia sẻ &amp; đánh giá</t>
  </si>
  <si>
    <t xml:space="preserve">Template K5′</t>
  </si>
  <si>
    <t xml:space="preserve">UC-G02</t>
  </si>
  <si>
    <t xml:space="preserve">Đóng gói và phát hành hộ chiếu/skill (.hkp) — G5</t>
  </si>
  <si>
    <t xml:space="preserve">UC-G03</t>
  </si>
  <si>
    <t xml:space="preserve">Pull gói từ registry vào dự án</t>
  </si>
  <si>
    <t xml:space="preserve">UC-G04</t>
  </si>
  <si>
    <t xml:space="preserve">Xuất báo cáo và ma trận Người–AI</t>
  </si>
  <si>
    <t xml:space="preserve">UC-H01</t>
  </si>
  <si>
    <t xml:space="preserve">Ra lệnh / hỏi trong cửa sổ trò chuyện</t>
  </si>
  <si>
    <t xml:space="preserve">H. Tương tác tác tử</t>
  </si>
  <si>
    <t xml:space="preserve">Luồng, hội thoại</t>
  </si>
  <si>
    <t xml:space="preserve">Ánh xạ sang DPS-09 (D1–D8) và TC-59…64</t>
  </si>
  <si>
    <t xml:space="preserve">UC-H02</t>
  </si>
  <si>
    <t xml:space="preserve">Tác tử tự đánh giá đủ thông tin trước khi làm</t>
  </si>
  <si>
    <t xml:space="preserve">UC-H03</t>
  </si>
  <si>
    <t xml:space="preserve">Vượt ngân sách hoặc mô hình không khả dụng</t>
  </si>
  <si>
    <t xml:space="preserve">UC-H04</t>
  </si>
  <si>
    <t xml:space="preserve">Tác tử từ chối hoặc trả lời 'không biết'</t>
  </si>
  <si>
    <t xml:space="preserve">UC-I01</t>
  </si>
  <si>
    <t xml:space="preserve">Phân tích yêu cầu từ lệnh/tài liệu và sinh ReqSet</t>
  </si>
  <si>
    <t xml:space="preserve">I. Kỹ nghệ (mới)</t>
  </si>
  <si>
    <t xml:space="preserve">Viết mới toàn bộ (luồng, thay thế, cổng, mức tự chủ, năng lực, màn hình, sequence)</t>
  </si>
  <si>
    <t xml:space="preserve">UC-I02</t>
  </si>
  <si>
    <t xml:space="preserve">Thiết kế kiến trúc firmware, HwMap, ngân sách, ADR</t>
  </si>
  <si>
    <t xml:space="preserve">UC-I03</t>
  </si>
  <si>
    <t xml:space="preserve">Vẽ lược đồ từ mô hình và đồng bộ với mã</t>
  </si>
  <si>
    <t xml:space="preserve">UC-I04</t>
  </si>
  <si>
    <t xml:space="preserve">Sinh tài liệu chuẩn EAA/EIDE và kiểm style</t>
  </si>
  <si>
    <t xml:space="preserve">UC-I05</t>
  </si>
  <si>
    <t xml:space="preserve">Đổi yêu cầu → tác động → cập nhật tài liệu/lược đồ</t>
  </si>
  <si>
    <t xml:space="preserve">UC-J01</t>
  </si>
  <si>
    <t xml:space="preserve">Xem bản đồ tri thức, nguồn gốc, độ phủ, tác động</t>
  </si>
  <si>
    <t xml:space="preserve">J. Tri thức &amp; dò tìm (mới)</t>
  </si>
  <si>
    <t xml:space="preserve">UC-J02</t>
  </si>
  <si>
    <t xml:space="preserve">Hỏi–đáp RAG có trích dẫn và trace</t>
  </si>
  <si>
    <t xml:space="preserve">UC-J03</t>
  </si>
  <si>
    <t xml:space="preserve">Dò board/probe/ID chip và tự cấu hình target</t>
  </si>
  <si>
    <t xml:space="preserve">UC-J04</t>
  </si>
  <si>
    <t xml:space="preserve">Dò tốc độ kết nối tối ưu</t>
  </si>
  <si>
    <t xml:space="preserve">UC-J05</t>
  </si>
  <si>
    <t xml:space="preserve">Nhận diện board từ ID + quét bus + ảnh</t>
  </si>
  <si>
    <t xml:space="preserve">UC hiện có</t>
  </si>
  <si>
    <t xml:space="preserve">UC cần viết mới</t>
  </si>
  <si>
    <t xml:space="preserve">UC-K01</t>
  </si>
  <si>
    <t xml:space="preserve">Tác tử tự viết công cụ Python, kiểm thử và đăng ký năng lực</t>
  </si>
  <si>
    <t xml:space="preserve">K. Tự tạo công cụ</t>
  </si>
  <si>
    <t xml:space="preserve">Luồng, thay thế, sequence, ánh xạ năng lực</t>
  </si>
  <si>
    <t xml:space="preserve">Xong (v1.2)</t>
  </si>
  <si>
    <t xml:space="preserve">Tên tài liệu</t>
  </si>
  <si>
    <t xml:space="preserve">Mục đích</t>
  </si>
  <si>
    <t xml:space="preserve">Nội dung chính (mục lục)</t>
  </si>
  <si>
    <t xml:space="preserve">Đầu vào</t>
  </si>
  <si>
    <t xml:space="preserve">Mức đích</t>
  </si>
  <si>
    <t xml:space="preserve">Thứ tự làm</t>
  </si>
  <si>
    <t xml:space="preserve">Dạng</t>
  </si>
  <si>
    <t xml:space="preserve">Trạng thái</t>
  </si>
  <si>
    <t xml:space="preserve">EIDE-CXD-10</t>
  </si>
  <si>
    <t xml:space="preserve">Kiến trúc ngữ cảnh (Context Architecture)</t>
  </si>
  <si>
    <t xml:space="preserve">Đặc tả cách dựng ngữ cảnh cho từng lượt gọi mô hình: lớp, nguồn, thuật toán chọn/nén, ngân sách, cache, đo lường</t>
  </si>
  <si>
    <t xml:space="preserve">1. Nguyên tắc (tri thức có nguồn vào prompt, K9 chỉ đề xuất); 2. Mô hình ngữ cảnh 7 lớp C1–C7 + C0 (năng lực) theo từng vai trò (9 vai trò × bảng lớp/ngân sách); 3. Thuật toán chọn fact Graph-RAG 2 bước, chọn skill APPLIES_TO, chọn mã USES/CITES, lọc log theo mẫu; 4. Nén: tóm tắt lịch sử, rút gọn fact, cửa sổ log; 5. Định dạng khối ngữ cảnh (XML/markdown) và thứ tự; 6. Prompt caching theo adapter; 7. Xử lý tràn ngân sách và fallback; 8. Đo: token/lượt, tỷ lệ trích dẫn đúng, ablation; 9. Schema ContextBundle; 10. Test</t>
  </si>
  <si>
    <t xml:space="preserve">KAD-07 §6.6, DPS-09, models.yaml, EAA-U composer</t>
  </si>
  <si>
    <t xml:space="preserve">docx</t>
  </si>
  <si>
    <t xml:space="preserve">Hoàn thành (05/09/2026, bộ v1.2)</t>
  </si>
  <si>
    <t xml:space="preserve">EIDE-MEM-11</t>
  </si>
  <si>
    <t xml:space="preserve">Kiến trúc bộ nhớ tác tử (Agent Memory Architecture)</t>
  </si>
  <si>
    <t xml:space="preserve">Đặc tả các loại bộ nhớ vận hành của tác tử, lưu trữ, ghi/đọc/quên, và liên hệ với tri thức (KAD) và ngữ cảnh (CXD)</t>
  </si>
  <si>
    <t xml:space="preserve">1. Phân loại: bộ nhớ làm việc (trong một chuỗi/run), bộ nhớ phiên (session), tình tiết (episodic: Intent/Run/Decision/ToolReport/DebugSession), ngữ nghĩa (fact/hộ chiếu — trỏ KAD), thủ tục (skill, chuỗi mẫu, prompt), tùy chọn người dùng (preferences); 2. Schema và nơi lưu (store, ledger, index, yaml); 3. Chính sách ghi (khi nào, ai, bằng chứng), đọc (memory.recall/compose), quên (TTL, xóa mềm, không xóa fact), hợp nhất; 4. Bộ nhớ qua phiên: PROGRESS/FEATURES/resume; 5. Học từ vận hành: sổ lỗi → prompt phủ định, decision_log → ngưỡng, preferences → mặc định; 6. Quyền riêng tư và phạm vi (người/dự án/registry); 7. Giao diện memory.* 8 năng lực ở mức 3; 8. Test</t>
  </si>
  <si>
    <t xml:space="preserve">KAD-07, APD-08 §6, DPS-09 D8, SDD §3</t>
  </si>
  <si>
    <t xml:space="preserve">EIDE-CDS-12</t>
  </si>
  <si>
    <t xml:space="preserve">Đặc tả chi tiết năng lực (Capability Detailed Specs) — 6 tập</t>
  </si>
  <si>
    <t xml:space="preserve">Với mỗi năng lực trong 228: schema vào/ra JSON, tiền điều kiện/grounding, thuật toán từng bước, phụ thuộc, lỗi và mã lỗi, hoàn tác, ví dụ gọi, TC hợp đồng</t>
  </si>
  <si>
    <t xml:space="preserve">Tập 1 Kỹ nghệ (req, arch, diagram, doc, plan — 52); Tập 2 Tri thức (archive, search, extract, passport, kg, board, view — 72); Tập 3 Hiện thực (env, code, project — 32); Tập 4 Xác minh (discover, sim, target, debug, measure, bench — 40); Tập 5 Quản trị (policy, registry, report — 16); Tập 6 Hội thoại &amp; bộ nhớ (chat, memory — 16). Mỗi năng lực 0,5–1 trang theo mẫu cố định; sinh khung từ caps.py, điền nội dung theo tập</t>
  </si>
  <si>
    <t xml:space="preserve">Danh mục, SRS §3B, SDD §4</t>
  </si>
  <si>
    <t xml:space="preserve">M1 (tập 2, 3, 5, 6) · M2 (tập 1, 4)</t>
  </si>
  <si>
    <t xml:space="preserve">docx + YAML capabilities/*.yaml</t>
  </si>
  <si>
    <t xml:space="preserve">EIDE-UXD-13</t>
  </si>
  <si>
    <t xml:space="preserve">Đặc tả UI/UX</t>
  </si>
  <si>
    <t xml:space="preserve">Đặc tả giao diện đủ để lập trình plugin GEditor: kho màn hình, điều hướng, thành phần, trạng thái, tương tác, ánh xạ năng lực, token thiết kế</t>
  </si>
  <si>
    <t xml:space="preserve">1. Nguyên tắc UX (chat mặc định, làm rồi báo cáo, mọi nút = năng lực); 2. Kho 22 màn hình (17 cập nhật + 5 mới) với mục tiêu, bố cục, vùng; 3. Sơ đồ điều hướng; 4. Thư viện thành phần (thẻ câu hỏi, thẻ báo cáo, hàng đợi, thanh tự chủ, bảng fact, panel đồ thị, khung lược đồ) và trạng thái (rỗng/chờ/lỗi/hoàn tác); 5. Tương tác từng màn hình (bảng sự kiện → năng lực → phản hồi); 6. Token thiết kế PTIT (màu xác nhận, chữ, khoảng cách); 7. Phím tắt, thông báo, khả năng tiếp cận; 8. Ánh xạ màn hình ↔ năng lực ↔ UC; 9. Mockup v1.1 (canvas)</t>
  </si>
  <si>
    <t xml:space="preserve">17 mockup, Danh mục, DPS-09 §6, APD §8</t>
  </si>
  <si>
    <t xml:space="preserve">docx + canvas mockup</t>
  </si>
  <si>
    <t xml:space="preserve">EIDE-DDD-14</t>
  </si>
  <si>
    <t xml:space="preserve">Từ điển dữ liệu, DDL và di trú</t>
  </si>
  <si>
    <t xml:space="preserve">Một nguồn duy nhất cho mọi thực thể: JSON Schema, bảng SQLite (DDL), migration, schema tệp YAML</t>
  </si>
  <si>
    <t xml:space="preserve">1. JSON Schema mọi thực thể (Fact, Source, Passport, Requirement, Module, HwMap, ADR, Diagram, DocArtifact, Discovery, Intent, Run, Decision, CapabilityRun, RagChunk, Preference…); 2. DDL SQLite có chỉ mục; 3. Thứ tự migration từ M0; 4. Schema YAML (autonomy, preferences, models, roles, target, capabilities, ISA); 5. Quy ước IRI/ID; 6. Sinh tự động từ pydantic (script)</t>
  </si>
  <si>
    <t xml:space="preserve">SDD §3, SAD §5, mã M0</t>
  </si>
  <si>
    <t xml:space="preserve">docx + JSON/SQL sinh tự động</t>
  </si>
  <si>
    <t xml:space="preserve">EIDE-API-15</t>
  </si>
  <si>
    <t xml:space="preserve">Đặc tả giao diện lập trình (JSON-RPC, MCP, REST, CLI) + mã lỗi + ledger</t>
  </si>
  <si>
    <t xml:space="preserve">Đặc tả máy đọc được mọi phương thức, sự kiện và mã lỗi; sinh phần lớn từ Capability Registry</t>
  </si>
  <si>
    <t xml:space="preserve">1. Phiên bản API và handshake; 2. JSON-RPC GEditor ↔ daemon (mọi phương thức + sự kiện push, schema); 3. MCP tools (sinh từ registry, ≤ 20/phiên); 4. REST nội bộ; 5. CLI (lệnh, tham số, mã thoát); 6. Bảng mã lỗi toàn hệ thống; 7. Schema sự kiện ledger; 8. Job bất đồng bộ; 9. Sinh tự động + test hợp đồng</t>
  </si>
  <si>
    <t xml:space="preserve">SDD §5, §7, §8; Danh mục</t>
  </si>
  <si>
    <t xml:space="preserve">docx + OpenRPC/JSON</t>
  </si>
  <si>
    <t xml:space="preserve">EIDE-PRS-16</t>
  </si>
  <si>
    <t xml:space="preserve">Prompt, vai trò LLM và skill</t>
  </si>
  <si>
    <t xml:space="preserve">Nội dung prompt hệ thống, output schema, ví dụ, và định dạng skill cho 9 vai trò</t>
  </si>
  <si>
    <t xml:space="preserve">1. Vai trò và mô hình (intent, librarian, cartographer, planner, coder, reviewer, debugger, architect, writer); 2. Prompt hệ thống từng vai trò (tiếng Việt, ≤ 400 token) + quy tắc trích dẫn; 3. Output schema mẫu số chung từng vai trò; 4. Ví dụ few-shot; 5. Định dạng skill K5 (≤ 600 token) và chuỗi mẫu orchestration K5 thủ tục; 6. Prompt phủ định từ sổ lỗi; 7. Bộ 50 câu lệnh có nhãn cho intent; 8. Quy trình đánh giá/đổi prompt (benchmark)</t>
  </si>
  <si>
    <t xml:space="preserve">DPS-09, CXD-10, EAA-U prompts, roles.yaml</t>
  </si>
  <si>
    <t xml:space="preserve">docx + prompts/*.md</t>
  </si>
  <si>
    <t xml:space="preserve">EIDE-POL-17</t>
  </si>
  <si>
    <t xml:space="preserve">Đặc tả quy tắc chính sách tự chủ máy đọc được</t>
  </si>
  <si>
    <t xml:space="preserve">Chuyển APD-08 §4 thành bảng quy tắc nạp được vào PolicyGate, schema autonomy.yaml, và bộ tình huống test</t>
  </si>
  <si>
    <t xml:space="preserve">1. Mô hình quyết định (đầu vào: cap, risk, gate, ctx features); 2. Bảng quy tắc theo cổng: điều kiện → APPROVE/ASK/REJECT + lý do (ưu tiên, ngưỡng tham số); 3. Danh sách trắng và chữ ký; 4. Schema autonomy.yaml đầy đủ; 5. Undo theo loại; 6. Leo thang/dừng khẩn (máy trạng thái); 7. Học ngưỡng: đặc trưng, thống kê, đề xuất; 8. 40 tình huống test (TC-51) và kịch bản chuẩn đếm gate</t>
  </si>
  <si>
    <t xml:space="preserve">APD-08, Danh mục cột R/Mức/Hỏi khi</t>
  </si>
  <si>
    <t xml:space="preserve">docx + rules.yaml + fixtures</t>
  </si>
  <si>
    <t xml:space="preserve">EIDE-EXT-18</t>
  </si>
  <si>
    <t xml:space="preserve">Thiết kế extractor (PDF, ảnh/OCR, BOM, netlist, timing, archive)</t>
  </si>
  <si>
    <t xml:space="preserve">Thiết kế mức 3 cho đường ống trích xuất phi cấu trúc — có thể là tập 2 của CDS-12</t>
  </si>
  <si>
    <t xml:space="preserve">Mỗi loại: thư viện, bước, prompt + schema bảng, locator, confidence, hợp nhất, lỗi, fixture; sandbox; hiệu năng</t>
  </si>
  <si>
    <t xml:space="preserve">SRS FR-ACQ, KAD E2, SDD extractor</t>
  </si>
  <si>
    <t xml:space="preserve">gộp vào CDS-12 tập 2</t>
  </si>
  <si>
    <t xml:space="preserve">ISA profile, toolchain, adapter target và discovery</t>
  </si>
  <si>
    <t xml:space="preserve">Đặc tả từng ISA (armv6/7/8-m, avr8, rv32, xtensa, pic) với toolchain, lệnh build/flash/serial/probe/sim, VID/PID, đọc ID, dò tốc độ</t>
  </si>
  <si>
    <t xml:space="preserve">1. Schema ISA profile đầy đủ; 2. Bảng theo ISA: toolchain (kiểm/cài theo OS), flash (lệnh), probe, sim; 3. Bảng probe VID/PID và lệnh đọc ID; 4. Thuật toán link_speed; 5. target.yaml; 6. Test trên Nucleo/Uno/ESP32-C3</t>
  </si>
  <si>
    <t xml:space="preserve">SDD §4.5, §4.8, §6; embedded-debugger-mcp</t>
  </si>
  <si>
    <t xml:space="preserve">docx + isa/*.yaml</t>
  </si>
  <si>
    <t xml:space="preserve">EIDE-SIM-20</t>
  </si>
  <si>
    <t xml:space="preserve">Thiết kế mô phỏng (SIL) và mô hình đối tượng</t>
  </si>
  <si>
    <t xml:space="preserve">Kiến trúc mô phỏng: Renode/simavr/QEMU và simulator tự dựng; mock ngoại vi; plant robot; kịch bản; so SIL/HIL</t>
  </si>
  <si>
    <t xml:space="preserve">1. Quyết định: khi nào Renode, khi nào tự dựng (theo đề án); 2. Kiến trúc simulator tự dựng (mô hình chip tối thiểu, ngoại vi, thời gian); 3. Mock ngoại vi từ hộ chiếu; 4. Plant robot cân bằng + cảm sensor (tham số có nguồn); 5. Định dạng kịch bản và kỳ vọng; 6. So sánh SIL/HIL; 7. SimView; 8. Test</t>
  </si>
  <si>
    <t xml:space="preserve">UC-E, SRS FR-VER-04, đề án</t>
  </si>
  <si>
    <t xml:space="preserve">EIDE-BEN-21</t>
  </si>
  <si>
    <t xml:space="preserve">Bộ benchmark và kiểm định hộ chiếu</t>
  </si>
  <si>
    <t xml:space="preserve">Định nghĩa 20 tác vụ CF/BF/BC, firmware kiểm định, huy hiệu, báo cáo</t>
  </si>
  <si>
    <t xml:space="preserve">Mỗi tác vụ: mô tả, board, kỳ vọng máy quan sát, mức; firmware ID/GPIO/UART; định dạng kết quả; quy trình chạy lại</t>
  </si>
  <si>
    <t xml:space="preserve">STP §4</t>
  </si>
  <si>
    <t xml:space="preserve">phụ lục STP hoặc docx ngắn</t>
  </si>
  <si>
    <t xml:space="preserve">EIDE-PKG-22</t>
  </si>
  <si>
    <t xml:space="preserve">Đặc tả gói .hkp và mẫu dự án tham chiếu</t>
  </si>
  <si>
    <t xml:space="preserve">Manifest, ký, index registry, template K5′</t>
  </si>
  <si>
    <t xml:space="preserve">Schema manifest/badges/template; publish/pull; license</t>
  </si>
  <si>
    <t xml:space="preserve">SRS FR-REG, KAD K5′</t>
  </si>
  <si>
    <t xml:space="preserve">phụ lục SDD</t>
  </si>
  <si>
    <t xml:space="preserve">EIDE-GPI-23</t>
  </si>
  <si>
    <t xml:space="preserve">Giao diện plugin GEditor</t>
  </si>
  <si>
    <t xml:space="preserve">Cách EIDE nhúng vào GEditor: API plugin, panel, sự kiện, render lược đồ, engine tệp lớn</t>
  </si>
  <si>
    <t xml:space="preserve">1. API plugin GEditor v2.2 (đối chiếu tài liệu GEditor); 2. Vòng đời plugin; 3. Panel và bố cục; 4. Render Mermaid/PlantUML/DOT/D2/WaveDrom/SVG; 5. log.stats native; 6. Ràng buộc hiệu năng; 7. Đóng gói plugin</t>
  </si>
  <si>
    <t xml:space="preserve">SAD §3, GEditor 154 FR</t>
  </si>
  <si>
    <t xml:space="preserve">docx (cần tài liệu GEditor)</t>
  </si>
  <si>
    <t xml:space="preserve">EIDE-UCD-24</t>
  </si>
  <si>
    <t xml:space="preserve">Use case chi tiết v1.2 (cập nhật Excel)</t>
  </si>
  <si>
    <t xml:space="preserve">Bổ sung 10 UC nhóm I/J, sơ đồ tuần tự Mermaid cho 55 UC, ánh xạ bước ↔ năng lực 100%, cổng theo chính sách</t>
  </si>
  <si>
    <t xml:space="preserve">Sheet mới: sequence (Mermaid), bảng bước↔năng lực↔màn hình↔TC</t>
  </si>
  <si>
    <t xml:space="preserve">Use case Excel, Danh mục, BPD</t>
  </si>
  <si>
    <t xml:space="preserve">xlsx</t>
  </si>
  <si>
    <t xml:space="preserve">EIDE-SEC-25</t>
  </si>
  <si>
    <t xml:space="preserve">Thiết kế an toàn và quyền riêng tư</t>
  </si>
  <si>
    <t xml:space="preserve">Sandbox, khóa, cờ nhạy cảm, license, quyền hệ thống</t>
  </si>
  <si>
    <t xml:space="preserve">Mô hình đe dọa ngắn; sandbox (tiến trình con, giới hạn, đường dẫn); keychain; dữ liệu gửi LLM; kiểm license; nhật ký không lộ khóa; test</t>
  </si>
  <si>
    <t xml:space="preserve">SRS NFR-06, SAD rủi ro</t>
  </si>
  <si>
    <t xml:space="preserve">docx ngắn</t>
  </si>
  <si>
    <t xml:space="preserve">EIDE-DEP-26</t>
  </si>
  <si>
    <t xml:space="preserve">Triển khai, cài đặt, phát hành</t>
  </si>
  <si>
    <t xml:space="preserve">Gói pip, daemon, plugin, phiên bản, cập nhật, gỡ</t>
  </si>
  <si>
    <t xml:space="preserve">Cấu trúc phát hành; installer macOS/Linux/Windows; launchd/systemd; semver core/eide/plugin; cập nhật; CI release</t>
  </si>
  <si>
    <t xml:space="preserve">SAD §6</t>
  </si>
  <si>
    <t xml:space="preserve">EIDE-PLN-27</t>
  </si>
  <si>
    <t xml:space="preserve">Kế hoạch phát triển và backlog theo mốc (Excel)</t>
  </si>
  <si>
    <t xml:space="preserve">WBS thao tác được: việc ↔ năng lực/FR/TC/tài liệu, phụ thuộc, ước lượng, ai làm (người/AI), tiêu chí xong; ma trận truy vết hợp nhất</t>
  </si>
  <si>
    <t xml:space="preserve">Sheet: backlog M1–M4; phụ thuộc; ma trận truy vết UR→FR→năng lực→thiết kế→TC→màn hình; phân công Người–AI; tiến độ</t>
  </si>
  <si>
    <t xml:space="preserve">Danh mục, STP §5, PDA §12</t>
  </si>
  <si>
    <t xml:space="preserve">EIDE-CON-28</t>
  </si>
  <si>
    <t xml:space="preserve">Quy ước mã, kho và thuật ngữ</t>
  </si>
  <si>
    <t xml:space="preserve">Convention Python/Swift, đặt tên năng lực, commit truy vết, glossary Việt–Anh hợp nhất</t>
  </si>
  <si>
    <t xml:space="preserve">Glossary; convention; cấu trúc kho; quy trình PR</t>
  </si>
  <si>
    <t xml:space="preserve">SDD §2, URD thuật ngữ</t>
  </si>
  <si>
    <t xml:space="preserve">docx ngắn / md trong repo</t>
  </si>
  <si>
    <t xml:space="preserve">Tổng ngày ước lượng</t>
  </si>
  <si>
    <t xml:space="preserve">Có AI hỗ trợ (×0,4)</t>
  </si>
  <si>
    <t xml:space="preserve">Đã hoàn thành</t>
  </si>
  <si>
    <t xml:space="preserve">THỐNG KÊ RÀ SOÁT (công thức)</t>
  </si>
  <si>
    <t xml:space="preserve">Lĩnh vực theo kết luận</t>
  </si>
  <si>
    <t xml:space="preserve">Số</t>
  </si>
  <si>
    <t xml:space="preserve">Tỷ lệ</t>
  </si>
  <si>
    <t xml:space="preserve">Một phần</t>
  </si>
  <si>
    <t xml:space="preserve">Thiếu</t>
  </si>
  <si>
    <t xml:space="preserve">Tổng lĩnh vực</t>
  </si>
  <si>
    <t xml:space="preserve">Lĩnh vực theo mức hiện tại</t>
  </si>
  <si>
    <t xml:space="preserve">Mức 1</t>
  </si>
  <si>
    <t xml:space="preserve">Ngày ước lượng theo mốc cần trước (lĩnh vực)</t>
  </si>
  <si>
    <t xml:space="preserve">Ngày</t>
  </si>
  <si>
    <t xml:space="preserve">Tổng ngày (lĩnh vực)</t>
  </si>
  <si>
    <t xml:space="preserve">Tài liệu bổ sung theo ưu tiên M/S/C (lĩnh vực)</t>
  </si>
  <si>
    <t xml:space="preserve">Tài liệu bổ sung (sheet 6)</t>
  </si>
  <si>
    <t xml:space="preserve">Giá trị</t>
  </si>
  <si>
    <t xml:space="preserve">Số tài liệu</t>
  </si>
  <si>
    <t xml:space="preserve">Cần xong trước M1</t>
  </si>
  <si>
    <t xml:space="preserve">Tiến độ</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</si>
</sst>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B8121F"/>
      <name val="Arial"/>
      <family val="0"/>
      <charset val="1"/>
    </font>
    <font>
      <sz val="10"/>
      <color rgb="FF000000"/>
      <name val="Arial"/>
      <family val="0"/>
      <charset val="1"/>
    </font>
    <font>
      <b val="true"/>
      <sz val="11"/>
      <color rgb="FFB8121F"/>
      <name val="Arial"/>
      <family val="0"/>
      <charset val="1"/>
    </font>
    <font>
      <b val="true"/>
      <sz val="10"/>
      <color rgb="FF00000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color rgb="FFB8121F"/>
      <name val="Arial"/>
      <family val="0"/>
      <charset val="1"/>
    </font>
  </fonts>
  <fills count="6">
    <fill>
      <patternFill patternType="none"/>
    </fill>
    <fill>
      <patternFill patternType="gray125"/>
    </fill>
    <fill>
      <patternFill patternType="solid">
        <fgColor rgb="FFB8121F"/>
        <bgColor rgb="FF800000"/>
      </patternFill>
    </fill>
    <fill>
      <patternFill patternType="solid">
        <fgColor rgb="FFF2F6FB"/>
        <bgColor rgb="FFE6F4EA"/>
      </patternFill>
    </fill>
    <fill>
      <patternFill patternType="solid">
        <fgColor rgb="FFE6F4EA"/>
        <bgColor rgb="FFF2F6FB"/>
      </patternFill>
    </fill>
    <fill>
      <patternFill patternType="solid">
        <fgColor rgb="FF2F4858"/>
        <bgColor rgb="FF333399"/>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B8121F"/>
          <bgColor rgb="FF000000"/>
        </patternFill>
      </fill>
    </dxf>
    <dxf>
      <fill>
        <patternFill patternType="solid">
          <fgColor rgb="FFF2F6FB"/>
          <bgColor rgb="FF000000"/>
        </patternFill>
      </fill>
    </dxf>
    <dxf>
      <fill>
        <patternFill patternType="solid">
          <bgColor rgb="FF000000"/>
        </patternFill>
      </fill>
    </dxf>
    <dxf>
      <fill>
        <patternFill patternType="solid">
          <fgColor rgb="FFFFFFFF"/>
          <bgColor rgb="FF000000"/>
        </patternFill>
      </fill>
    </dxf>
    <dxf>
      <fill>
        <patternFill patternType="solid">
          <fgColor rgb="FFE6F4EA"/>
          <bgColor rgb="FF000000"/>
        </patternFill>
      </fill>
    </dxf>
    <dxf>
      <fill>
        <patternFill>
          <bgColor rgb="FFE6F4EA"/>
        </patternFill>
      </fill>
    </dxf>
    <dxf>
      <fill>
        <patternFill>
          <bgColor rgb="FFFFF4D6"/>
        </patternFill>
      </fill>
    </dxf>
    <dxf>
      <fill>
        <patternFill>
          <bgColor rgb="FFFDEC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6F4EA"/>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6FB"/>
      <rgbColor rgb="FFCCFFCC"/>
      <rgbColor rgb="FFFDECEE"/>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B8121F"/>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LinhVuc" displayName="LinhVuc" ref="A1:K41" headerRowCount="1" totalsRowCount="0" totalsRowShown="0">
  <autoFilter ref="A1:K41"/>
  <tableColumns count="11">
    <tableColumn id="1" name="Mã"/>
    <tableColumn id="2" name="Lĩnh vực thiết kế"/>
    <tableColumn id="3" name="Cần gì để đạt mức 3"/>
    <tableColumn id="4" name="Tài liệu hiện có"/>
    <tableColumn id="5" name="Mức hiện tại (1–3)"/>
    <tableColumn id="6" name="Kết luận"/>
    <tableColumn id="7" name="Khoảng trống cụ thể"/>
    <tableColumn id="8" name="Tài liệu đề xuất"/>
    <tableColumn id="9" name="Ưu tiên"/>
    <tableColumn id="10" name="Mốc cần trước"/>
    <tableColumn id="11" name="Ước lượng (ngày)"/>
  </tableColumns>
</table>
</file>

<file path=xl/tables/table2.xml><?xml version="1.0" encoding="utf-8"?>
<table xmlns="http://schemas.openxmlformats.org/spreadsheetml/2006/main" id="2" name="ManHinh" displayName="ManHinh" ref="A1:F23" headerRowCount="1" totalsRowCount="0" totalsRowShown="0">
  <autoFilter ref="A1:F23"/>
  <tableColumns count="6">
    <tableColumn id="1" name="Màn hình"/>
    <tableColumn id="2" name="Có mockup"/>
    <tableColumn id="3" name="Mức hiện tại"/>
    <tableColumn id="4" name="Cập nhật v1.1 cần làm"/>
    <tableColumn id="5" name="Đặc tả còn thiếu"/>
    <tableColumn id="6" name="Năng lực chính"/>
  </tableColumns>
</table>
</file>

<file path=xl/tables/table3.xml><?xml version="1.0" encoding="utf-8"?>
<table xmlns="http://schemas.openxmlformats.org/spreadsheetml/2006/main" id="3" name="NhomNangLuc" displayName="NhomNangLuc" ref="A1:H27" headerRowCount="1" totalsRowCount="0" totalsRowShown="0">
  <autoFilter ref="A1:H27"/>
  <tableColumns count="8">
    <tableColumn id="1" name="Nhóm"/>
    <tableColumn id="2" name="Số năng lực"/>
    <tableColumn id="3" name="Đã có mã M0"/>
    <tableColumn id="4" name="Mức hiện tại"/>
    <tableColumn id="5" name="Kết luận"/>
    <tableColumn id="6" name="Thiếu ở mức 3"/>
    <tableColumn id="7" name="Tài liệu đích"/>
    <tableColumn id="8" name="Mốc"/>
  </tableColumns>
</table>
</file>

<file path=xl/tables/table4.xml><?xml version="1.0" encoding="utf-8"?>
<table xmlns="http://schemas.openxmlformats.org/spreadsheetml/2006/main" id="4" name="TaiLieuBoSung" displayName="TaiLieuBoSung" ref="A1:K20" headerRowCount="1" totalsRowCount="0" totalsRowShown="0">
  <autoFilter ref="A1:K20"/>
  <tableColumns count="11">
    <tableColumn id="1" name="Mã"/>
    <tableColumn id="2" name="Tên tài liệu"/>
    <tableColumn id="3" name="Mục đích"/>
    <tableColumn id="4" name="Nội dung chính (mục lục)"/>
    <tableColumn id="5" name="Đầu vào"/>
    <tableColumn id="6" name="Mức đích"/>
    <tableColumn id="7" name="Mốc cần trước"/>
    <tableColumn id="8" name="Thứ tự làm"/>
    <tableColumn id="9" name="Ước lượng (ngày)"/>
    <tableColumn id="10" name="Dạng"/>
    <tableColumn id="11" name="Trạng thái"/>
  </tableColumns>
</table>
</file>

<file path=xl/tables/table5.xml><?xml version="1.0" encoding="utf-8"?>
<table xmlns="http://schemas.openxmlformats.org/spreadsheetml/2006/main" id="5" name="TaiLieuHienCo" displayName="TaiLieuHienCo" ref="A1:G15" headerRowCount="1" totalsRowCount="0" totalsRowShown="0">
  <autoFilter ref="A1:G15"/>
  <tableColumns count="7">
    <tableColumn id="1" name="Hiện vật"/>
    <tableColumn id="2" name="Tên / phiên bản"/>
    <tableColumn id="3" name="Mức đạt"/>
    <tableColumn id="4" name="Kết luận"/>
    <tableColumn id="5" name="Nội dung chính đã có"/>
    <tableColumn id="6" name="Còn thiếu để phát triển"/>
    <tableColumn id="7" name="Hướng xử lý"/>
  </tableColumns>
</table>
</file>

<file path=xl/tables/table6.xml><?xml version="1.0" encoding="utf-8"?>
<table xmlns="http://schemas.openxmlformats.org/spreadsheetml/2006/main" id="6" name="UseCase" displayName="UseCase" ref="A1:G56" headerRowCount="1" totalsRowCount="0" totalsRowShown="0">
  <autoFilter ref="A1:G56"/>
  <tableColumns count="7">
    <tableColumn id="1" name="Mã UC"/>
    <tableColumn id="2" name="Use case"/>
    <tableColumn id="3" name="Nhóm"/>
    <tableColumn id="4" name="Có trong Excel"/>
    <tableColumn id="5" name="Đã có"/>
    <tableColumn id="6" name="Còn thiếu"/>
    <tableColumn id="7" name="Hành độn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0"/>
  </cols>
  <sheetData>
    <row r="1" customFormat="false" ht="17.2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3" t="s">
        <v>2</v>
      </c>
    </row>
    <row r="4" customFormat="false" ht="15" hidden="false" customHeight="true" outlineLevel="0" collapsed="false">
      <c r="A4" s="4" t="s">
        <v>3</v>
      </c>
    </row>
    <row r="5" customFormat="false" ht="15" hidden="false" customHeight="true" outlineLevel="0" collapsed="false">
      <c r="A5" s="3"/>
    </row>
    <row r="6" customFormat="false" ht="15" hidden="false" customHeight="true" outlineLevel="0" collapsed="false">
      <c r="A6" s="5" t="s">
        <v>4</v>
      </c>
    </row>
    <row r="7" customFormat="false" ht="23.25" hidden="false" customHeight="true" outlineLevel="0" collapsed="false">
      <c r="A7" s="3" t="s">
        <v>5</v>
      </c>
    </row>
    <row r="8" customFormat="false" ht="23.2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row>
    <row r="11" customFormat="false" ht="15" hidden="false" customHeight="true" outlineLevel="0" collapsed="false">
      <c r="A11" s="5"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3" t="s">
        <v>13</v>
      </c>
    </row>
    <row r="17" customFormat="false" ht="15" hidden="false" customHeight="true" outlineLevel="0" collapsed="false">
      <c r="A17" s="3" t="s">
        <v>14</v>
      </c>
    </row>
    <row r="18" customFormat="false" ht="15" hidden="false" customHeight="true" outlineLevel="0" collapsed="false">
      <c r="A18" s="3" t="s">
        <v>15</v>
      </c>
    </row>
    <row r="19" customFormat="false" ht="15" hidden="false" customHeight="true" outlineLevel="0" collapsed="false">
      <c r="A19" s="3"/>
    </row>
    <row r="20" customFormat="false" ht="23.25" hidden="false" customHeight="true" outlineLevel="0" collapsed="false">
      <c r="A20" s="5" t="s">
        <v>16</v>
      </c>
    </row>
    <row r="21" customFormat="false" ht="23.25" hidden="false" customHeight="true" outlineLevel="0" collapsed="false">
      <c r="A21" s="3" t="s">
        <v>17</v>
      </c>
    </row>
    <row r="22" customFormat="false" ht="15" hidden="false" customHeight="true" outlineLevel="0" collapsed="false">
      <c r="A22" s="3" t="s">
        <v>18</v>
      </c>
    </row>
    <row r="23" customFormat="false" ht="23.25" hidden="false" customHeight="true" outlineLevel="0" collapsed="false">
      <c r="A23" s="3" t="s">
        <v>19</v>
      </c>
    </row>
    <row r="24" customFormat="false" ht="23.25" hidden="false" customHeight="true" outlineLevel="0" collapsed="false">
      <c r="A24"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38"/>
    <col collapsed="false" customWidth="true" hidden="false" outlineLevel="0" max="4" min="4" style="1" width="30"/>
    <col collapsed="false" customWidth="true" hidden="false" outlineLevel="0" max="5" min="5" style="1" width="9"/>
    <col collapsed="false" customWidth="true" hidden="false" outlineLevel="0" max="6" min="6" style="1" width="11"/>
    <col collapsed="false" customWidth="true" hidden="false" outlineLevel="0" max="7" min="7" style="1" width="60"/>
    <col collapsed="false" customWidth="true" hidden="false" outlineLevel="0" max="8" min="8" style="1" width="34"/>
    <col collapsed="false" customWidth="true" hidden="false" outlineLevel="0" max="9" min="9" style="1" width="8"/>
    <col collapsed="false" customWidth="true" hidden="false" outlineLevel="0" max="10" min="10" style="1" width="9"/>
    <col collapsed="false" customWidth="true" hidden="false" outlineLevel="0" max="11" min="11" style="1" width="10"/>
  </cols>
  <sheetData>
    <row r="1" customFormat="false" ht="45.75" hidden="false" customHeight="true" outlineLevel="0" collapsed="false">
      <c r="A1" s="6" t="s">
        <v>21</v>
      </c>
      <c r="B1" s="6" t="s">
        <v>22</v>
      </c>
      <c r="C1" s="6" t="s">
        <v>23</v>
      </c>
      <c r="D1" s="6" t="s">
        <v>24</v>
      </c>
      <c r="E1" s="6" t="s">
        <v>25</v>
      </c>
      <c r="F1" s="6" t="s">
        <v>26</v>
      </c>
      <c r="G1" s="6" t="s">
        <v>27</v>
      </c>
      <c r="H1" s="6" t="s">
        <v>28</v>
      </c>
      <c r="I1" s="6" t="s">
        <v>29</v>
      </c>
      <c r="J1" s="6" t="s">
        <v>30</v>
      </c>
      <c r="K1" s="6" t="s">
        <v>31</v>
      </c>
    </row>
    <row r="2" customFormat="false" ht="15" hidden="false" customHeight="true" outlineLevel="0" collapsed="false">
      <c r="A2" s="7" t="s">
        <v>32</v>
      </c>
      <c r="B2" s="7" t="s">
        <v>33</v>
      </c>
      <c r="C2" s="7" t="s">
        <v>34</v>
      </c>
      <c r="D2" s="7" t="s">
        <v>35</v>
      </c>
      <c r="E2" s="7" t="n">
        <v>3</v>
      </c>
      <c r="F2" s="8" t="s">
        <v>36</v>
      </c>
      <c r="G2" s="7" t="s">
        <v>37</v>
      </c>
      <c r="H2" s="7" t="s">
        <v>37</v>
      </c>
      <c r="I2" s="7" t="s">
        <v>37</v>
      </c>
      <c r="J2" s="7" t="s">
        <v>38</v>
      </c>
      <c r="K2" s="7" t="n">
        <v>0</v>
      </c>
    </row>
    <row r="3" customFormat="false" ht="23.25" hidden="false" customHeight="true" outlineLevel="0" collapsed="false">
      <c r="A3" s="9" t="s">
        <v>39</v>
      </c>
      <c r="B3" s="9" t="s">
        <v>40</v>
      </c>
      <c r="C3" s="9" t="s">
        <v>41</v>
      </c>
      <c r="D3" s="9" t="s">
        <v>42</v>
      </c>
      <c r="E3" s="9" t="n">
        <v>3</v>
      </c>
      <c r="F3" s="8" t="s">
        <v>36</v>
      </c>
      <c r="G3" s="9" t="s">
        <v>43</v>
      </c>
      <c r="H3" s="9" t="s">
        <v>44</v>
      </c>
      <c r="I3" s="9" t="s">
        <v>45</v>
      </c>
      <c r="J3" s="9" t="s">
        <v>46</v>
      </c>
      <c r="K3" s="9" t="n">
        <v>1</v>
      </c>
    </row>
    <row r="4" customFormat="false" ht="23.25" hidden="false" customHeight="true" outlineLevel="0" collapsed="false">
      <c r="A4" s="7" t="s">
        <v>47</v>
      </c>
      <c r="B4" s="7" t="s">
        <v>48</v>
      </c>
      <c r="C4" s="7" t="s">
        <v>49</v>
      </c>
      <c r="D4" s="7" t="s">
        <v>50</v>
      </c>
      <c r="E4" s="7" t="n">
        <v>3</v>
      </c>
      <c r="F4" s="8" t="s">
        <v>36</v>
      </c>
      <c r="G4" s="7" t="s">
        <v>51</v>
      </c>
      <c r="H4" s="7" t="s">
        <v>52</v>
      </c>
      <c r="I4" s="7" t="s">
        <v>53</v>
      </c>
      <c r="J4" s="7" t="s">
        <v>54</v>
      </c>
      <c r="K4" s="7" t="n">
        <v>12</v>
      </c>
    </row>
    <row r="5" customFormat="false" ht="23.25" hidden="false" customHeight="true" outlineLevel="0" collapsed="false">
      <c r="A5" s="9" t="s">
        <v>55</v>
      </c>
      <c r="B5" s="9" t="s">
        <v>56</v>
      </c>
      <c r="C5" s="9" t="s">
        <v>57</v>
      </c>
      <c r="D5" s="9" t="s">
        <v>58</v>
      </c>
      <c r="E5" s="9" t="n">
        <v>3</v>
      </c>
      <c r="F5" s="8" t="s">
        <v>36</v>
      </c>
      <c r="G5" s="9" t="s">
        <v>59</v>
      </c>
      <c r="H5" s="9" t="s">
        <v>60</v>
      </c>
      <c r="I5" s="9" t="s">
        <v>45</v>
      </c>
      <c r="J5" s="9" t="s">
        <v>46</v>
      </c>
      <c r="K5" s="9" t="n">
        <v>1</v>
      </c>
    </row>
    <row r="6" customFormat="false" ht="23.25" hidden="false" customHeight="true" outlineLevel="0" collapsed="false">
      <c r="A6" s="7" t="s">
        <v>61</v>
      </c>
      <c r="B6" s="7" t="s">
        <v>62</v>
      </c>
      <c r="C6" s="7" t="s">
        <v>63</v>
      </c>
      <c r="D6" s="7" t="s">
        <v>64</v>
      </c>
      <c r="E6" s="7" t="n">
        <v>3</v>
      </c>
      <c r="F6" s="8" t="s">
        <v>36</v>
      </c>
      <c r="G6" s="7" t="s">
        <v>65</v>
      </c>
      <c r="H6" s="7" t="s">
        <v>66</v>
      </c>
      <c r="I6" s="7" t="s">
        <v>53</v>
      </c>
      <c r="J6" s="7" t="s">
        <v>54</v>
      </c>
      <c r="K6" s="7" t="n">
        <v>3</v>
      </c>
    </row>
    <row r="7" customFormat="false" ht="23.25" hidden="false" customHeight="true" outlineLevel="0" collapsed="false">
      <c r="A7" s="9" t="s">
        <v>67</v>
      </c>
      <c r="B7" s="9" t="s">
        <v>68</v>
      </c>
      <c r="C7" s="9" t="s">
        <v>69</v>
      </c>
      <c r="D7" s="9" t="s">
        <v>70</v>
      </c>
      <c r="E7" s="9" t="n">
        <v>3</v>
      </c>
      <c r="F7" s="8" t="s">
        <v>36</v>
      </c>
      <c r="G7" s="9" t="s">
        <v>71</v>
      </c>
      <c r="H7" s="9" t="s">
        <v>72</v>
      </c>
      <c r="I7" s="9" t="s">
        <v>73</v>
      </c>
      <c r="J7" s="9" t="s">
        <v>54</v>
      </c>
      <c r="K7" s="9" t="n">
        <v>1</v>
      </c>
    </row>
    <row r="8" customFormat="false" ht="34.5" hidden="false" customHeight="true" outlineLevel="0" collapsed="false">
      <c r="A8" s="7" t="s">
        <v>74</v>
      </c>
      <c r="B8" s="7" t="s">
        <v>75</v>
      </c>
      <c r="C8" s="7" t="s">
        <v>76</v>
      </c>
      <c r="D8" s="7" t="s">
        <v>77</v>
      </c>
      <c r="E8" s="7" t="n">
        <v>3</v>
      </c>
      <c r="F8" s="8" t="s">
        <v>36</v>
      </c>
      <c r="G8" s="7" t="s">
        <v>78</v>
      </c>
      <c r="H8" s="7" t="s">
        <v>79</v>
      </c>
      <c r="I8" s="7" t="s">
        <v>53</v>
      </c>
      <c r="J8" s="7" t="s">
        <v>54</v>
      </c>
      <c r="K8" s="7" t="n">
        <v>3</v>
      </c>
    </row>
    <row r="9" customFormat="false" ht="34.5" hidden="false" customHeight="true" outlineLevel="0" collapsed="false">
      <c r="A9" s="9" t="s">
        <v>80</v>
      </c>
      <c r="B9" s="9" t="s">
        <v>81</v>
      </c>
      <c r="C9" s="9" t="s">
        <v>82</v>
      </c>
      <c r="D9" s="9" t="s">
        <v>83</v>
      </c>
      <c r="E9" s="9" t="n">
        <v>3</v>
      </c>
      <c r="F9" s="8" t="s">
        <v>36</v>
      </c>
      <c r="G9" s="9" t="s">
        <v>84</v>
      </c>
      <c r="H9" s="9" t="s">
        <v>85</v>
      </c>
      <c r="I9" s="9" t="s">
        <v>53</v>
      </c>
      <c r="J9" s="9" t="s">
        <v>54</v>
      </c>
      <c r="K9" s="9" t="n">
        <v>3</v>
      </c>
    </row>
    <row r="10" customFormat="false" ht="45.75" hidden="false" customHeight="true" outlineLevel="0" collapsed="false">
      <c r="A10" s="7" t="s">
        <v>86</v>
      </c>
      <c r="B10" s="7" t="s">
        <v>87</v>
      </c>
      <c r="C10" s="7" t="s">
        <v>88</v>
      </c>
      <c r="D10" s="7" t="s">
        <v>89</v>
      </c>
      <c r="E10" s="7" t="n">
        <v>3</v>
      </c>
      <c r="F10" s="8" t="s">
        <v>36</v>
      </c>
      <c r="G10" s="7" t="s">
        <v>90</v>
      </c>
      <c r="H10" s="7" t="s">
        <v>91</v>
      </c>
      <c r="I10" s="7" t="s">
        <v>53</v>
      </c>
      <c r="J10" s="7" t="s">
        <v>54</v>
      </c>
      <c r="K10" s="7" t="n">
        <v>5</v>
      </c>
    </row>
    <row r="11" customFormat="false" ht="45.75" hidden="false" customHeight="true" outlineLevel="0" collapsed="false">
      <c r="A11" s="9" t="s">
        <v>92</v>
      </c>
      <c r="B11" s="9" t="s">
        <v>93</v>
      </c>
      <c r="C11" s="9" t="s">
        <v>94</v>
      </c>
      <c r="D11" s="9" t="s">
        <v>95</v>
      </c>
      <c r="E11" s="9" t="n">
        <v>3</v>
      </c>
      <c r="F11" s="8" t="s">
        <v>36</v>
      </c>
      <c r="G11" s="9" t="s">
        <v>96</v>
      </c>
      <c r="H11" s="9" t="s">
        <v>97</v>
      </c>
      <c r="I11" s="9" t="s">
        <v>53</v>
      </c>
      <c r="J11" s="9" t="s">
        <v>54</v>
      </c>
      <c r="K11" s="9" t="n">
        <v>4</v>
      </c>
    </row>
    <row r="12" customFormat="false" ht="34.5" hidden="false" customHeight="true" outlineLevel="0" collapsed="false">
      <c r="A12" s="7" t="s">
        <v>98</v>
      </c>
      <c r="B12" s="7" t="s">
        <v>99</v>
      </c>
      <c r="C12" s="7" t="s">
        <v>100</v>
      </c>
      <c r="D12" s="7" t="s">
        <v>101</v>
      </c>
      <c r="E12" s="7" t="n">
        <v>3</v>
      </c>
      <c r="F12" s="8" t="s">
        <v>36</v>
      </c>
      <c r="G12" s="7" t="s">
        <v>102</v>
      </c>
      <c r="H12" s="7" t="s">
        <v>103</v>
      </c>
      <c r="I12" s="7" t="s">
        <v>53</v>
      </c>
      <c r="J12" s="7" t="s">
        <v>104</v>
      </c>
      <c r="K12" s="7" t="n">
        <v>20</v>
      </c>
    </row>
    <row r="13" customFormat="false" ht="34.5" hidden="false" customHeight="true" outlineLevel="0" collapsed="false">
      <c r="A13" s="9" t="s">
        <v>105</v>
      </c>
      <c r="B13" s="9" t="s">
        <v>106</v>
      </c>
      <c r="C13" s="9" t="s">
        <v>107</v>
      </c>
      <c r="D13" s="9" t="s">
        <v>108</v>
      </c>
      <c r="E13" s="9" t="n">
        <v>3</v>
      </c>
      <c r="F13" s="8" t="s">
        <v>36</v>
      </c>
      <c r="G13" s="9" t="s">
        <v>109</v>
      </c>
      <c r="H13" s="9" t="s">
        <v>110</v>
      </c>
      <c r="I13" s="9" t="s">
        <v>53</v>
      </c>
      <c r="J13" s="9" t="s">
        <v>54</v>
      </c>
      <c r="K13" s="9" t="n">
        <v>4</v>
      </c>
    </row>
    <row r="14" customFormat="false" ht="23.25" hidden="false" customHeight="true" outlineLevel="0" collapsed="false">
      <c r="A14" s="7" t="s">
        <v>111</v>
      </c>
      <c r="B14" s="7" t="s">
        <v>112</v>
      </c>
      <c r="C14" s="7" t="s">
        <v>113</v>
      </c>
      <c r="D14" s="7" t="s">
        <v>114</v>
      </c>
      <c r="E14" s="7" t="n">
        <v>3</v>
      </c>
      <c r="F14" s="8" t="s">
        <v>36</v>
      </c>
      <c r="G14" s="7" t="s">
        <v>115</v>
      </c>
      <c r="H14" s="7" t="s">
        <v>116</v>
      </c>
      <c r="I14" s="7" t="s">
        <v>53</v>
      </c>
      <c r="J14" s="7" t="s">
        <v>54</v>
      </c>
      <c r="K14" s="7" t="n">
        <v>2</v>
      </c>
    </row>
    <row r="15" customFormat="false" ht="15" hidden="false" customHeight="true" outlineLevel="0" collapsed="false">
      <c r="A15" s="9" t="s">
        <v>117</v>
      </c>
      <c r="B15" s="9" t="s">
        <v>118</v>
      </c>
      <c r="C15" s="9" t="s">
        <v>119</v>
      </c>
      <c r="D15" s="9" t="s">
        <v>120</v>
      </c>
      <c r="E15" s="9" t="n">
        <v>3</v>
      </c>
      <c r="F15" s="8" t="s">
        <v>36</v>
      </c>
      <c r="G15" s="9" t="s">
        <v>121</v>
      </c>
      <c r="H15" s="9" t="s">
        <v>122</v>
      </c>
      <c r="I15" s="9" t="s">
        <v>73</v>
      </c>
      <c r="J15" s="9" t="s">
        <v>54</v>
      </c>
      <c r="K15" s="9" t="n">
        <v>1</v>
      </c>
    </row>
    <row r="16" customFormat="false" ht="23.25" hidden="false" customHeight="true" outlineLevel="0" collapsed="false">
      <c r="A16" s="7" t="s">
        <v>123</v>
      </c>
      <c r="B16" s="7" t="s">
        <v>124</v>
      </c>
      <c r="C16" s="7" t="s">
        <v>125</v>
      </c>
      <c r="D16" s="7" t="s">
        <v>126</v>
      </c>
      <c r="E16" s="7" t="n">
        <v>3</v>
      </c>
      <c r="F16" s="8" t="s">
        <v>36</v>
      </c>
      <c r="G16" s="7" t="s">
        <v>127</v>
      </c>
      <c r="H16" s="7" t="s">
        <v>128</v>
      </c>
      <c r="I16" s="7" t="s">
        <v>53</v>
      </c>
      <c r="J16" s="7" t="s">
        <v>54</v>
      </c>
      <c r="K16" s="7" t="n">
        <v>3</v>
      </c>
    </row>
    <row r="17" customFormat="false" ht="34.5" hidden="false" customHeight="true" outlineLevel="0" collapsed="false">
      <c r="A17" s="9" t="s">
        <v>129</v>
      </c>
      <c r="B17" s="9" t="s">
        <v>130</v>
      </c>
      <c r="C17" s="9" t="s">
        <v>131</v>
      </c>
      <c r="D17" s="9" t="s">
        <v>132</v>
      </c>
      <c r="E17" s="9" t="n">
        <v>3</v>
      </c>
      <c r="F17" s="8" t="s">
        <v>36</v>
      </c>
      <c r="G17" s="9" t="s">
        <v>133</v>
      </c>
      <c r="H17" s="9" t="s">
        <v>134</v>
      </c>
      <c r="I17" s="9" t="s">
        <v>53</v>
      </c>
      <c r="J17" s="9" t="s">
        <v>46</v>
      </c>
      <c r="K17" s="9" t="n">
        <v>4</v>
      </c>
    </row>
    <row r="18" customFormat="false" ht="34.5" hidden="false" customHeight="true" outlineLevel="0" collapsed="false">
      <c r="A18" s="7" t="s">
        <v>135</v>
      </c>
      <c r="B18" s="7" t="s">
        <v>136</v>
      </c>
      <c r="C18" s="7" t="s">
        <v>137</v>
      </c>
      <c r="D18" s="7" t="s">
        <v>138</v>
      </c>
      <c r="E18" s="7" t="n">
        <v>3</v>
      </c>
      <c r="F18" s="8" t="s">
        <v>36</v>
      </c>
      <c r="G18" s="7" t="s">
        <v>139</v>
      </c>
      <c r="H18" s="7" t="s">
        <v>140</v>
      </c>
      <c r="I18" s="7" t="s">
        <v>53</v>
      </c>
      <c r="J18" s="7" t="s">
        <v>46</v>
      </c>
      <c r="K18" s="7" t="n">
        <v>3</v>
      </c>
    </row>
    <row r="19" customFormat="false" ht="23.25" hidden="false" customHeight="true" outlineLevel="0" collapsed="false">
      <c r="A19" s="9" t="s">
        <v>141</v>
      </c>
      <c r="B19" s="9" t="s">
        <v>142</v>
      </c>
      <c r="C19" s="9" t="s">
        <v>143</v>
      </c>
      <c r="D19" s="9" t="s">
        <v>144</v>
      </c>
      <c r="E19" s="9" t="n">
        <v>3</v>
      </c>
      <c r="F19" s="8" t="s">
        <v>36</v>
      </c>
      <c r="G19" s="9" t="s">
        <v>145</v>
      </c>
      <c r="H19" s="9" t="s">
        <v>134</v>
      </c>
      <c r="I19" s="9" t="s">
        <v>73</v>
      </c>
      <c r="J19" s="9" t="s">
        <v>46</v>
      </c>
      <c r="K19" s="9" t="n">
        <v>3</v>
      </c>
    </row>
    <row r="20" customFormat="false" ht="34.5" hidden="false" customHeight="true" outlineLevel="0" collapsed="false">
      <c r="A20" s="7" t="s">
        <v>146</v>
      </c>
      <c r="B20" s="7" t="s">
        <v>147</v>
      </c>
      <c r="C20" s="7" t="s">
        <v>148</v>
      </c>
      <c r="D20" s="7" t="s">
        <v>149</v>
      </c>
      <c r="E20" s="7" t="n">
        <v>3</v>
      </c>
      <c r="F20" s="8" t="s">
        <v>36</v>
      </c>
      <c r="G20" s="7" t="s">
        <v>150</v>
      </c>
      <c r="H20" s="7" t="s">
        <v>151</v>
      </c>
      <c r="I20" s="7" t="s">
        <v>53</v>
      </c>
      <c r="J20" s="7" t="s">
        <v>46</v>
      </c>
      <c r="K20" s="7" t="n">
        <v>4</v>
      </c>
    </row>
    <row r="21" customFormat="false" ht="23.25" hidden="false" customHeight="true" outlineLevel="0" collapsed="false">
      <c r="A21" s="9" t="s">
        <v>152</v>
      </c>
      <c r="B21" s="9" t="s">
        <v>153</v>
      </c>
      <c r="C21" s="9" t="s">
        <v>154</v>
      </c>
      <c r="D21" s="9" t="s">
        <v>155</v>
      </c>
      <c r="E21" s="9" t="n">
        <v>3</v>
      </c>
      <c r="F21" s="8" t="s">
        <v>36</v>
      </c>
      <c r="G21" s="9" t="s">
        <v>156</v>
      </c>
      <c r="H21" s="9" t="s">
        <v>157</v>
      </c>
      <c r="I21" s="9" t="s">
        <v>53</v>
      </c>
      <c r="J21" s="9" t="s">
        <v>54</v>
      </c>
      <c r="K21" s="9" t="n">
        <v>3</v>
      </c>
    </row>
    <row r="22" customFormat="false" ht="34.5" hidden="false" customHeight="true" outlineLevel="0" collapsed="false">
      <c r="A22" s="7" t="s">
        <v>158</v>
      </c>
      <c r="B22" s="7" t="s">
        <v>159</v>
      </c>
      <c r="C22" s="7" t="s">
        <v>160</v>
      </c>
      <c r="D22" s="7" t="s">
        <v>161</v>
      </c>
      <c r="E22" s="7" t="n">
        <v>3</v>
      </c>
      <c r="F22" s="8" t="s">
        <v>36</v>
      </c>
      <c r="G22" s="7" t="s">
        <v>162</v>
      </c>
      <c r="H22" s="7" t="s">
        <v>163</v>
      </c>
      <c r="I22" s="7" t="s">
        <v>53</v>
      </c>
      <c r="J22" s="7" t="s">
        <v>46</v>
      </c>
      <c r="K22" s="7" t="n">
        <v>3</v>
      </c>
    </row>
    <row r="23" customFormat="false" ht="34.5" hidden="false" customHeight="true" outlineLevel="0" collapsed="false">
      <c r="A23" s="9" t="s">
        <v>164</v>
      </c>
      <c r="B23" s="9" t="s">
        <v>165</v>
      </c>
      <c r="C23" s="9" t="s">
        <v>166</v>
      </c>
      <c r="D23" s="9" t="s">
        <v>167</v>
      </c>
      <c r="E23" s="9" t="n">
        <v>3</v>
      </c>
      <c r="F23" s="8" t="s">
        <v>36</v>
      </c>
      <c r="G23" s="9" t="s">
        <v>168</v>
      </c>
      <c r="H23" s="9" t="s">
        <v>169</v>
      </c>
      <c r="I23" s="9" t="s">
        <v>53</v>
      </c>
      <c r="J23" s="9" t="s">
        <v>46</v>
      </c>
      <c r="K23" s="9" t="n">
        <v>4</v>
      </c>
    </row>
    <row r="24" customFormat="false" ht="23.25" hidden="false" customHeight="true" outlineLevel="0" collapsed="false">
      <c r="A24" s="7" t="s">
        <v>170</v>
      </c>
      <c r="B24" s="7" t="s">
        <v>171</v>
      </c>
      <c r="C24" s="7" t="s">
        <v>172</v>
      </c>
      <c r="D24" s="7" t="s">
        <v>173</v>
      </c>
      <c r="E24" s="7" t="n">
        <v>3</v>
      </c>
      <c r="F24" s="8" t="s">
        <v>36</v>
      </c>
      <c r="G24" s="7" t="s">
        <v>174</v>
      </c>
      <c r="H24" s="7" t="s">
        <v>175</v>
      </c>
      <c r="I24" s="7" t="s">
        <v>53</v>
      </c>
      <c r="J24" s="7" t="s">
        <v>46</v>
      </c>
      <c r="K24" s="7" t="n">
        <v>3</v>
      </c>
    </row>
    <row r="25" customFormat="false" ht="23.25" hidden="false" customHeight="true" outlineLevel="0" collapsed="false">
      <c r="A25" s="9" t="s">
        <v>176</v>
      </c>
      <c r="B25" s="9" t="s">
        <v>177</v>
      </c>
      <c r="C25" s="9" t="s">
        <v>178</v>
      </c>
      <c r="D25" s="9" t="s">
        <v>179</v>
      </c>
      <c r="E25" s="9" t="n">
        <v>3</v>
      </c>
      <c r="F25" s="8" t="s">
        <v>36</v>
      </c>
      <c r="G25" s="9" t="s">
        <v>180</v>
      </c>
      <c r="H25" s="9" t="s">
        <v>181</v>
      </c>
      <c r="I25" s="9" t="s">
        <v>73</v>
      </c>
      <c r="J25" s="9" t="s">
        <v>46</v>
      </c>
      <c r="K25" s="9" t="n">
        <v>2</v>
      </c>
    </row>
    <row r="26" customFormat="false" ht="23.25" hidden="false" customHeight="true" outlineLevel="0" collapsed="false">
      <c r="A26" s="7" t="s">
        <v>182</v>
      </c>
      <c r="B26" s="7" t="s">
        <v>183</v>
      </c>
      <c r="C26" s="7" t="s">
        <v>184</v>
      </c>
      <c r="D26" s="7" t="s">
        <v>185</v>
      </c>
      <c r="E26" s="7" t="n">
        <v>3</v>
      </c>
      <c r="F26" s="8" t="s">
        <v>36</v>
      </c>
      <c r="G26" s="7" t="s">
        <v>186</v>
      </c>
      <c r="H26" s="7" t="s">
        <v>187</v>
      </c>
      <c r="I26" s="7" t="s">
        <v>73</v>
      </c>
      <c r="J26" s="7" t="s">
        <v>188</v>
      </c>
      <c r="K26" s="7" t="n">
        <v>2</v>
      </c>
    </row>
    <row r="27" customFormat="false" ht="23.25" hidden="false" customHeight="true" outlineLevel="0" collapsed="false">
      <c r="A27" s="9" t="s">
        <v>189</v>
      </c>
      <c r="B27" s="9" t="s">
        <v>190</v>
      </c>
      <c r="C27" s="9" t="s">
        <v>191</v>
      </c>
      <c r="D27" s="9" t="s">
        <v>192</v>
      </c>
      <c r="E27" s="9" t="n">
        <v>3</v>
      </c>
      <c r="F27" s="8" t="s">
        <v>36</v>
      </c>
      <c r="G27" s="9" t="s">
        <v>193</v>
      </c>
      <c r="H27" s="9" t="s">
        <v>194</v>
      </c>
      <c r="I27" s="9" t="s">
        <v>53</v>
      </c>
      <c r="J27" s="9" t="s">
        <v>54</v>
      </c>
      <c r="K27" s="9" t="n">
        <v>3</v>
      </c>
    </row>
    <row r="28" customFormat="false" ht="34.5" hidden="false" customHeight="true" outlineLevel="0" collapsed="false">
      <c r="A28" s="7" t="s">
        <v>195</v>
      </c>
      <c r="B28" s="7" t="s">
        <v>196</v>
      </c>
      <c r="C28" s="7" t="s">
        <v>197</v>
      </c>
      <c r="D28" s="7" t="s">
        <v>198</v>
      </c>
      <c r="E28" s="7" t="n">
        <v>3</v>
      </c>
      <c r="F28" s="8" t="s">
        <v>36</v>
      </c>
      <c r="G28" s="7" t="s">
        <v>199</v>
      </c>
      <c r="H28" s="7" t="s">
        <v>200</v>
      </c>
      <c r="I28" s="7" t="s">
        <v>53</v>
      </c>
      <c r="J28" s="7" t="s">
        <v>201</v>
      </c>
      <c r="K28" s="7" t="n">
        <v>3</v>
      </c>
    </row>
    <row r="29" customFormat="false" ht="57" hidden="false" customHeight="true" outlineLevel="0" collapsed="false">
      <c r="A29" s="9" t="s">
        <v>202</v>
      </c>
      <c r="B29" s="9" t="s">
        <v>203</v>
      </c>
      <c r="C29" s="9" t="s">
        <v>204</v>
      </c>
      <c r="D29" s="9" t="s">
        <v>205</v>
      </c>
      <c r="E29" s="9" t="n">
        <v>3</v>
      </c>
      <c r="F29" s="8" t="s">
        <v>36</v>
      </c>
      <c r="G29" s="9" t="s">
        <v>206</v>
      </c>
      <c r="H29" s="9" t="s">
        <v>207</v>
      </c>
      <c r="I29" s="9" t="s">
        <v>53</v>
      </c>
      <c r="J29" s="9" t="s">
        <v>54</v>
      </c>
      <c r="K29" s="9" t="n">
        <v>6</v>
      </c>
    </row>
    <row r="30" customFormat="false" ht="45.75" hidden="false" customHeight="true" outlineLevel="0" collapsed="false">
      <c r="A30" s="7" t="s">
        <v>208</v>
      </c>
      <c r="B30" s="7" t="s">
        <v>209</v>
      </c>
      <c r="C30" s="7" t="s">
        <v>210</v>
      </c>
      <c r="D30" s="7" t="s">
        <v>211</v>
      </c>
      <c r="E30" s="7" t="n">
        <v>3</v>
      </c>
      <c r="F30" s="8" t="s">
        <v>36</v>
      </c>
      <c r="G30" s="7" t="s">
        <v>212</v>
      </c>
      <c r="H30" s="7" t="s">
        <v>213</v>
      </c>
      <c r="I30" s="7" t="s">
        <v>53</v>
      </c>
      <c r="J30" s="7" t="s">
        <v>54</v>
      </c>
      <c r="K30" s="7" t="n">
        <v>4</v>
      </c>
    </row>
    <row r="31" customFormat="false" ht="34.5" hidden="false" customHeight="true" outlineLevel="0" collapsed="false">
      <c r="A31" s="9" t="s">
        <v>214</v>
      </c>
      <c r="B31" s="9" t="s">
        <v>215</v>
      </c>
      <c r="C31" s="9" t="s">
        <v>216</v>
      </c>
      <c r="D31" s="9" t="s">
        <v>217</v>
      </c>
      <c r="E31" s="9" t="n">
        <v>3</v>
      </c>
      <c r="F31" s="8" t="s">
        <v>36</v>
      </c>
      <c r="G31" s="9" t="s">
        <v>218</v>
      </c>
      <c r="H31" s="9" t="s">
        <v>219</v>
      </c>
      <c r="I31" s="9" t="s">
        <v>53</v>
      </c>
      <c r="J31" s="9" t="s">
        <v>54</v>
      </c>
      <c r="K31" s="9" t="n">
        <v>4</v>
      </c>
    </row>
    <row r="32" customFormat="false" ht="34.5" hidden="false" customHeight="true" outlineLevel="0" collapsed="false">
      <c r="A32" s="7" t="s">
        <v>220</v>
      </c>
      <c r="B32" s="7" t="s">
        <v>221</v>
      </c>
      <c r="C32" s="7" t="s">
        <v>222</v>
      </c>
      <c r="D32" s="7" t="s">
        <v>223</v>
      </c>
      <c r="E32" s="7" t="n">
        <v>3</v>
      </c>
      <c r="F32" s="8" t="s">
        <v>36</v>
      </c>
      <c r="G32" s="7" t="s">
        <v>224</v>
      </c>
      <c r="H32" s="7" t="s">
        <v>225</v>
      </c>
      <c r="I32" s="7" t="s">
        <v>53</v>
      </c>
      <c r="J32" s="7" t="s">
        <v>54</v>
      </c>
      <c r="K32" s="7" t="n">
        <v>3</v>
      </c>
    </row>
    <row r="33" customFormat="false" ht="34.5" hidden="false" customHeight="true" outlineLevel="0" collapsed="false">
      <c r="A33" s="9" t="s">
        <v>226</v>
      </c>
      <c r="B33" s="9" t="s">
        <v>227</v>
      </c>
      <c r="C33" s="9" t="s">
        <v>228</v>
      </c>
      <c r="D33" s="9" t="s">
        <v>229</v>
      </c>
      <c r="E33" s="9" t="n">
        <v>3</v>
      </c>
      <c r="F33" s="8" t="s">
        <v>36</v>
      </c>
      <c r="G33" s="9" t="s">
        <v>230</v>
      </c>
      <c r="H33" s="9" t="s">
        <v>231</v>
      </c>
      <c r="I33" s="9" t="s">
        <v>73</v>
      </c>
      <c r="J33" s="9" t="s">
        <v>54</v>
      </c>
      <c r="K33" s="9" t="n">
        <v>2</v>
      </c>
    </row>
    <row r="34" customFormat="false" ht="23.25" hidden="false" customHeight="true" outlineLevel="0" collapsed="false">
      <c r="A34" s="7" t="s">
        <v>232</v>
      </c>
      <c r="B34" s="7" t="s">
        <v>233</v>
      </c>
      <c r="C34" s="7" t="s">
        <v>234</v>
      </c>
      <c r="D34" s="7" t="s">
        <v>235</v>
      </c>
      <c r="E34" s="7" t="n">
        <v>3</v>
      </c>
      <c r="F34" s="8" t="s">
        <v>36</v>
      </c>
      <c r="G34" s="7" t="s">
        <v>236</v>
      </c>
      <c r="H34" s="7" t="s">
        <v>237</v>
      </c>
      <c r="I34" s="7" t="s">
        <v>73</v>
      </c>
      <c r="J34" s="7" t="s">
        <v>54</v>
      </c>
      <c r="K34" s="7" t="n">
        <v>1</v>
      </c>
    </row>
    <row r="35" customFormat="false" ht="34.5" hidden="false" customHeight="true" outlineLevel="0" collapsed="false">
      <c r="A35" s="9" t="s">
        <v>238</v>
      </c>
      <c r="B35" s="9" t="s">
        <v>239</v>
      </c>
      <c r="C35" s="9" t="s">
        <v>240</v>
      </c>
      <c r="D35" s="9" t="s">
        <v>241</v>
      </c>
      <c r="E35" s="9" t="n">
        <v>3</v>
      </c>
      <c r="F35" s="8" t="s">
        <v>36</v>
      </c>
      <c r="G35" s="9" t="s">
        <v>242</v>
      </c>
      <c r="H35" s="9" t="s">
        <v>243</v>
      </c>
      <c r="I35" s="9" t="s">
        <v>53</v>
      </c>
      <c r="J35" s="9" t="s">
        <v>54</v>
      </c>
      <c r="K35" s="9" t="n">
        <v>3</v>
      </c>
    </row>
    <row r="36" customFormat="false" ht="23.25" hidden="false" customHeight="true" outlineLevel="0" collapsed="false">
      <c r="A36" s="7" t="s">
        <v>244</v>
      </c>
      <c r="B36" s="7" t="s">
        <v>245</v>
      </c>
      <c r="C36" s="7" t="s">
        <v>246</v>
      </c>
      <c r="D36" s="7" t="s">
        <v>247</v>
      </c>
      <c r="E36" s="7" t="n">
        <v>3</v>
      </c>
      <c r="F36" s="8" t="s">
        <v>36</v>
      </c>
      <c r="G36" s="7" t="s">
        <v>248</v>
      </c>
      <c r="H36" s="7" t="s">
        <v>249</v>
      </c>
      <c r="I36" s="7" t="s">
        <v>73</v>
      </c>
      <c r="J36" s="7" t="s">
        <v>46</v>
      </c>
      <c r="K36" s="7" t="n">
        <v>2</v>
      </c>
    </row>
    <row r="37" customFormat="false" ht="23.25" hidden="false" customHeight="true" outlineLevel="0" collapsed="false">
      <c r="A37" s="9" t="s">
        <v>250</v>
      </c>
      <c r="B37" s="9" t="s">
        <v>251</v>
      </c>
      <c r="C37" s="9" t="s">
        <v>252</v>
      </c>
      <c r="D37" s="9" t="s">
        <v>253</v>
      </c>
      <c r="E37" s="9" t="n">
        <v>3</v>
      </c>
      <c r="F37" s="8" t="s">
        <v>36</v>
      </c>
      <c r="G37" s="9" t="s">
        <v>254</v>
      </c>
      <c r="H37" s="9" t="s">
        <v>255</v>
      </c>
      <c r="I37" s="9" t="s">
        <v>53</v>
      </c>
      <c r="J37" s="9" t="s">
        <v>54</v>
      </c>
      <c r="K37" s="9" t="n">
        <v>2</v>
      </c>
    </row>
    <row r="38" customFormat="false" ht="23.25" hidden="false" customHeight="true" outlineLevel="0" collapsed="false">
      <c r="A38" s="7" t="s">
        <v>256</v>
      </c>
      <c r="B38" s="7" t="s">
        <v>257</v>
      </c>
      <c r="C38" s="7" t="s">
        <v>258</v>
      </c>
      <c r="D38" s="7" t="s">
        <v>259</v>
      </c>
      <c r="E38" s="7" t="n">
        <v>3</v>
      </c>
      <c r="F38" s="8" t="s">
        <v>36</v>
      </c>
      <c r="G38" s="7" t="s">
        <v>260</v>
      </c>
      <c r="H38" s="7" t="s">
        <v>261</v>
      </c>
      <c r="I38" s="7" t="s">
        <v>45</v>
      </c>
      <c r="J38" s="7" t="s">
        <v>54</v>
      </c>
      <c r="K38" s="7" t="n">
        <v>1</v>
      </c>
    </row>
    <row r="39" customFormat="false" ht="23.25" hidden="false" customHeight="true" outlineLevel="0" collapsed="false">
      <c r="A39" s="9" t="s">
        <v>262</v>
      </c>
      <c r="B39" s="9" t="s">
        <v>263</v>
      </c>
      <c r="C39" s="9" t="s">
        <v>264</v>
      </c>
      <c r="D39" s="9" t="s">
        <v>265</v>
      </c>
      <c r="E39" s="9" t="n">
        <v>3</v>
      </c>
      <c r="F39" s="8" t="s">
        <v>36</v>
      </c>
      <c r="G39" s="9" t="s">
        <v>266</v>
      </c>
      <c r="H39" s="9" t="s">
        <v>267</v>
      </c>
      <c r="I39" s="9" t="s">
        <v>73</v>
      </c>
      <c r="J39" s="9" t="s">
        <v>54</v>
      </c>
      <c r="K39" s="9" t="n">
        <v>1</v>
      </c>
    </row>
    <row r="40" customFormat="false" ht="15" hidden="false" customHeight="true" outlineLevel="0" collapsed="false">
      <c r="A40" s="7" t="s">
        <v>268</v>
      </c>
      <c r="B40" s="7" t="s">
        <v>269</v>
      </c>
      <c r="C40" s="7" t="s">
        <v>270</v>
      </c>
      <c r="D40" s="7" t="s">
        <v>271</v>
      </c>
      <c r="E40" s="7" t="n">
        <v>3</v>
      </c>
      <c r="F40" s="8" t="s">
        <v>36</v>
      </c>
      <c r="G40" s="7" t="s">
        <v>37</v>
      </c>
      <c r="H40" s="7" t="s">
        <v>37</v>
      </c>
      <c r="I40" s="7" t="s">
        <v>37</v>
      </c>
      <c r="J40" s="7" t="s">
        <v>38</v>
      </c>
      <c r="K40" s="7" t="n">
        <v>0</v>
      </c>
    </row>
    <row r="41" customFormat="false" ht="15" hidden="false" customHeight="true" outlineLevel="0" collapsed="false">
      <c r="A41" s="9" t="s">
        <v>272</v>
      </c>
      <c r="B41" s="9" t="s">
        <v>273</v>
      </c>
      <c r="C41" s="9" t="s">
        <v>274</v>
      </c>
      <c r="D41" s="9" t="s">
        <v>275</v>
      </c>
      <c r="E41" s="9" t="n">
        <v>3</v>
      </c>
      <c r="F41" s="8" t="s">
        <v>36</v>
      </c>
      <c r="G41" s="9" t="s">
        <v>276</v>
      </c>
      <c r="H41" s="9" t="s">
        <v>277</v>
      </c>
      <c r="I41" s="9" t="s">
        <v>45</v>
      </c>
      <c r="J41" s="9" t="s">
        <v>46</v>
      </c>
      <c r="K41" s="9" t="n">
        <v>0</v>
      </c>
    </row>
  </sheetData>
  <conditionalFormatting sqref="F2:F41">
    <cfRule type="cellIs" priority="2" operator="equal" aboveAverage="0" equalAverage="0" bottom="0" percent="0" rank="0" text="" dxfId="5">
      <formula>"Đủ"</formula>
    </cfRule>
    <cfRule type="cellIs" priority="3" operator="equal" aboveAverage="0" equalAverage="0" bottom="0" percent="0" rank="0" text="" dxfId="6">
      <formula>"Một phần"</formula>
    </cfRule>
    <cfRule type="cellIs" priority="4" operator="equal" aboveAverage="0" equalAverage="0" bottom="0" percent="0" rank="0" text="" dxfId="7">
      <formula>"Thiếu"</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6"/>
    <col collapsed="false" customWidth="true" hidden="false" outlineLevel="0" max="4" min="4" style="1" width="20"/>
    <col collapsed="false" customWidth="true" hidden="false" outlineLevel="0" max="5" min="5" style="1" width="50"/>
    <col collapsed="false" customWidth="true" hidden="false" outlineLevel="0" max="6" min="6" style="1" width="55"/>
    <col collapsed="false" customWidth="true" hidden="false" outlineLevel="0" max="7" min="7" style="1" width="30"/>
  </cols>
  <sheetData>
    <row r="1" customFormat="false" ht="15" hidden="false" customHeight="true" outlineLevel="0" collapsed="false">
      <c r="A1" s="6" t="s">
        <v>278</v>
      </c>
      <c r="B1" s="6" t="s">
        <v>279</v>
      </c>
      <c r="C1" s="6" t="s">
        <v>280</v>
      </c>
      <c r="D1" s="6" t="s">
        <v>26</v>
      </c>
      <c r="E1" s="6" t="s">
        <v>281</v>
      </c>
      <c r="F1" s="6" t="s">
        <v>282</v>
      </c>
      <c r="G1" s="6" t="s">
        <v>283</v>
      </c>
    </row>
    <row r="2" customFormat="false" ht="23.25" hidden="false" customHeight="true" outlineLevel="0" collapsed="false">
      <c r="A2" s="7" t="s">
        <v>284</v>
      </c>
      <c r="B2" s="7" t="s">
        <v>285</v>
      </c>
      <c r="C2" s="7" t="s">
        <v>286</v>
      </c>
      <c r="D2" s="8" t="s">
        <v>287</v>
      </c>
      <c r="E2" s="7" t="s">
        <v>288</v>
      </c>
      <c r="F2" s="7" t="s">
        <v>289</v>
      </c>
      <c r="G2" s="7" t="s">
        <v>290</v>
      </c>
    </row>
    <row r="3" customFormat="false" ht="15" hidden="false" customHeight="true" outlineLevel="0" collapsed="false">
      <c r="A3" s="9" t="s">
        <v>291</v>
      </c>
      <c r="B3" s="9" t="s">
        <v>292</v>
      </c>
      <c r="C3" s="9" t="s">
        <v>293</v>
      </c>
      <c r="D3" s="8" t="s">
        <v>287</v>
      </c>
      <c r="E3" s="9" t="s">
        <v>294</v>
      </c>
      <c r="F3" s="9" t="s">
        <v>295</v>
      </c>
      <c r="G3" s="9" t="s">
        <v>296</v>
      </c>
    </row>
    <row r="4" customFormat="false" ht="23.25" hidden="false" customHeight="true" outlineLevel="0" collapsed="false">
      <c r="A4" s="7" t="s">
        <v>297</v>
      </c>
      <c r="B4" s="7" t="s">
        <v>298</v>
      </c>
      <c r="C4" s="7" t="s">
        <v>299</v>
      </c>
      <c r="D4" s="8" t="s">
        <v>287</v>
      </c>
      <c r="E4" s="7" t="s">
        <v>300</v>
      </c>
      <c r="F4" s="7" t="s">
        <v>301</v>
      </c>
      <c r="G4" s="7" t="s">
        <v>302</v>
      </c>
    </row>
    <row r="5" customFormat="false" ht="23.25" hidden="false" customHeight="true" outlineLevel="0" collapsed="false">
      <c r="A5" s="9" t="s">
        <v>303</v>
      </c>
      <c r="B5" s="9" t="s">
        <v>304</v>
      </c>
      <c r="C5" s="9" t="s">
        <v>299</v>
      </c>
      <c r="D5" s="8" t="s">
        <v>287</v>
      </c>
      <c r="E5" s="9" t="s">
        <v>305</v>
      </c>
      <c r="F5" s="9" t="s">
        <v>306</v>
      </c>
      <c r="G5" s="9" t="s">
        <v>296</v>
      </c>
    </row>
    <row r="6" customFormat="false" ht="34.5" hidden="false" customHeight="true" outlineLevel="0" collapsed="false">
      <c r="A6" s="7" t="s">
        <v>307</v>
      </c>
      <c r="B6" s="7" t="s">
        <v>308</v>
      </c>
      <c r="C6" s="7" t="s">
        <v>309</v>
      </c>
      <c r="D6" s="8" t="s">
        <v>287</v>
      </c>
      <c r="E6" s="7" t="s">
        <v>310</v>
      </c>
      <c r="F6" s="7" t="s">
        <v>311</v>
      </c>
      <c r="G6" s="7" t="s">
        <v>312</v>
      </c>
    </row>
    <row r="7" customFormat="false" ht="15" hidden="false" customHeight="true" outlineLevel="0" collapsed="false">
      <c r="A7" s="9" t="s">
        <v>313</v>
      </c>
      <c r="B7" s="9" t="s">
        <v>314</v>
      </c>
      <c r="C7" s="9" t="s">
        <v>299</v>
      </c>
      <c r="D7" s="8" t="s">
        <v>287</v>
      </c>
      <c r="E7" s="9" t="s">
        <v>315</v>
      </c>
      <c r="F7" s="9" t="s">
        <v>316</v>
      </c>
      <c r="G7" s="9" t="s">
        <v>317</v>
      </c>
    </row>
    <row r="8" customFormat="false" ht="15" hidden="false" customHeight="true" outlineLevel="0" collapsed="false">
      <c r="A8" s="7" t="s">
        <v>318</v>
      </c>
      <c r="B8" s="7" t="s">
        <v>319</v>
      </c>
      <c r="C8" s="7" t="s">
        <v>320</v>
      </c>
      <c r="D8" s="8" t="s">
        <v>287</v>
      </c>
      <c r="E8" s="7" t="s">
        <v>321</v>
      </c>
      <c r="F8" s="7" t="s">
        <v>322</v>
      </c>
      <c r="G8" s="7" t="s">
        <v>323</v>
      </c>
    </row>
    <row r="9" customFormat="false" ht="23.25" hidden="false" customHeight="true" outlineLevel="0" collapsed="false">
      <c r="A9" s="9" t="s">
        <v>324</v>
      </c>
      <c r="B9" s="9" t="s">
        <v>325</v>
      </c>
      <c r="C9" s="9" t="s">
        <v>299</v>
      </c>
      <c r="D9" s="8" t="s">
        <v>287</v>
      </c>
      <c r="E9" s="9" t="s">
        <v>326</v>
      </c>
      <c r="F9" s="9" t="s">
        <v>327</v>
      </c>
      <c r="G9" s="9" t="s">
        <v>328</v>
      </c>
    </row>
    <row r="10" customFormat="false" ht="23.25" hidden="false" customHeight="true" outlineLevel="0" collapsed="false">
      <c r="A10" s="7" t="s">
        <v>329</v>
      </c>
      <c r="B10" s="7" t="s">
        <v>330</v>
      </c>
      <c r="C10" s="7" t="s">
        <v>331</v>
      </c>
      <c r="D10" s="8" t="s">
        <v>287</v>
      </c>
      <c r="E10" s="7" t="s">
        <v>332</v>
      </c>
      <c r="F10" s="7" t="s">
        <v>333</v>
      </c>
      <c r="G10" s="7" t="s">
        <v>334</v>
      </c>
    </row>
    <row r="11" customFormat="false" ht="23.25" hidden="false" customHeight="true" outlineLevel="0" collapsed="false">
      <c r="A11" s="9" t="s">
        <v>335</v>
      </c>
      <c r="B11" s="9" t="s">
        <v>336</v>
      </c>
      <c r="C11" s="9" t="s">
        <v>337</v>
      </c>
      <c r="D11" s="8" t="s">
        <v>287</v>
      </c>
      <c r="E11" s="9" t="s">
        <v>338</v>
      </c>
      <c r="F11" s="9" t="s">
        <v>339</v>
      </c>
      <c r="G11" s="9" t="s">
        <v>340</v>
      </c>
    </row>
    <row r="12" customFormat="false" ht="23.25" hidden="false" customHeight="true" outlineLevel="0" collapsed="false">
      <c r="A12" s="7" t="s">
        <v>341</v>
      </c>
      <c r="B12" s="7" t="s">
        <v>342</v>
      </c>
      <c r="C12" s="7" t="s">
        <v>343</v>
      </c>
      <c r="D12" s="8" t="s">
        <v>287</v>
      </c>
      <c r="E12" s="7" t="s">
        <v>344</v>
      </c>
      <c r="F12" s="7" t="s">
        <v>345</v>
      </c>
      <c r="G12" s="7" t="s">
        <v>346</v>
      </c>
    </row>
    <row r="13" customFormat="false" ht="23.25" hidden="false" customHeight="true" outlineLevel="0" collapsed="false">
      <c r="A13" s="9" t="s">
        <v>347</v>
      </c>
      <c r="B13" s="9" t="s">
        <v>348</v>
      </c>
      <c r="C13" s="9" t="s">
        <v>299</v>
      </c>
      <c r="D13" s="8" t="s">
        <v>287</v>
      </c>
      <c r="E13" s="9" t="s">
        <v>349</v>
      </c>
      <c r="F13" s="9" t="s">
        <v>350</v>
      </c>
      <c r="G13" s="9" t="s">
        <v>351</v>
      </c>
    </row>
    <row r="14" customFormat="false" ht="34.5" hidden="false" customHeight="true" outlineLevel="0" collapsed="false">
      <c r="A14" s="7" t="s">
        <v>352</v>
      </c>
      <c r="B14" s="7" t="s">
        <v>353</v>
      </c>
      <c r="C14" s="7" t="s">
        <v>286</v>
      </c>
      <c r="D14" s="8" t="s">
        <v>287</v>
      </c>
      <c r="E14" s="7" t="s">
        <v>354</v>
      </c>
      <c r="F14" s="7" t="s">
        <v>355</v>
      </c>
      <c r="G14" s="7" t="s">
        <v>356</v>
      </c>
    </row>
    <row r="15" customFormat="false" ht="23.25" hidden="false" customHeight="true" outlineLevel="0" collapsed="false">
      <c r="A15" s="9" t="s">
        <v>357</v>
      </c>
      <c r="B15" s="9" t="s">
        <v>358</v>
      </c>
      <c r="C15" s="9" t="s">
        <v>359</v>
      </c>
      <c r="D15" s="8" t="s">
        <v>287</v>
      </c>
      <c r="E15" s="9" t="s">
        <v>360</v>
      </c>
      <c r="F15" s="9" t="s">
        <v>361</v>
      </c>
      <c r="G15" s="9"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4" min="2" style="1" width="10"/>
    <col collapsed="false" customWidth="true" hidden="false" outlineLevel="0" max="5" min="5" style="1" width="11"/>
    <col collapsed="false" customWidth="true" hidden="false" outlineLevel="0" max="6" min="6" style="1" width="70"/>
    <col collapsed="false" customWidth="true" hidden="false" outlineLevel="0" max="7" min="7" style="1" width="30"/>
    <col collapsed="false" customWidth="true" hidden="false" outlineLevel="0" max="8" min="8" style="1" width="9"/>
  </cols>
  <sheetData>
    <row r="1" customFormat="false" ht="34.5" hidden="false" customHeight="true" outlineLevel="0" collapsed="false">
      <c r="A1" s="6" t="s">
        <v>363</v>
      </c>
      <c r="B1" s="6" t="s">
        <v>364</v>
      </c>
      <c r="C1" s="6" t="s">
        <v>365</v>
      </c>
      <c r="D1" s="6" t="s">
        <v>366</v>
      </c>
      <c r="E1" s="6" t="s">
        <v>26</v>
      </c>
      <c r="F1" s="6" t="s">
        <v>367</v>
      </c>
      <c r="G1" s="6" t="s">
        <v>368</v>
      </c>
      <c r="H1" s="6" t="s">
        <v>369</v>
      </c>
    </row>
    <row r="2" customFormat="false" ht="23.25" hidden="false" customHeight="true" outlineLevel="0" collapsed="false">
      <c r="A2" s="9" t="s">
        <v>370</v>
      </c>
      <c r="B2" s="9" t="n">
        <v>9</v>
      </c>
      <c r="C2" s="9" t="n">
        <v>2</v>
      </c>
      <c r="D2" s="9" t="n">
        <v>3</v>
      </c>
      <c r="E2" s="8" t="s">
        <v>36</v>
      </c>
      <c r="F2" s="9" t="s">
        <v>371</v>
      </c>
      <c r="G2" s="9" t="s">
        <v>372</v>
      </c>
      <c r="H2" s="9" t="s">
        <v>54</v>
      </c>
    </row>
    <row r="3" customFormat="false" ht="23.25" hidden="false" customHeight="true" outlineLevel="0" collapsed="false">
      <c r="A3" s="9" t="s">
        <v>373</v>
      </c>
      <c r="B3" s="9" t="n">
        <v>8</v>
      </c>
      <c r="C3" s="9" t="n">
        <v>1</v>
      </c>
      <c r="D3" s="9" t="n">
        <v>3</v>
      </c>
      <c r="E3" s="8" t="s">
        <v>36</v>
      </c>
      <c r="F3" s="9" t="s">
        <v>374</v>
      </c>
      <c r="G3" s="9" t="s">
        <v>375</v>
      </c>
      <c r="H3" s="9" t="s">
        <v>54</v>
      </c>
    </row>
    <row r="4" customFormat="false" ht="23.25" hidden="false" customHeight="true" outlineLevel="0" collapsed="false">
      <c r="A4" s="9" t="s">
        <v>376</v>
      </c>
      <c r="B4" s="9" t="n">
        <v>7</v>
      </c>
      <c r="C4" s="9" t="n">
        <v>4</v>
      </c>
      <c r="D4" s="9" t="n">
        <v>3</v>
      </c>
      <c r="E4" s="8" t="s">
        <v>36</v>
      </c>
      <c r="F4" s="9" t="s">
        <v>377</v>
      </c>
      <c r="G4" s="9" t="s">
        <v>378</v>
      </c>
      <c r="H4" s="9" t="s">
        <v>54</v>
      </c>
    </row>
    <row r="5" customFormat="false" ht="15" hidden="false" customHeight="true" outlineLevel="0" collapsed="false">
      <c r="A5" s="9" t="s">
        <v>379</v>
      </c>
      <c r="B5" s="9" t="n">
        <v>9</v>
      </c>
      <c r="C5" s="9" t="n">
        <v>0</v>
      </c>
      <c r="D5" s="9" t="n">
        <v>3</v>
      </c>
      <c r="E5" s="8" t="s">
        <v>36</v>
      </c>
      <c r="F5" s="9" t="s">
        <v>380</v>
      </c>
      <c r="G5" s="9" t="s">
        <v>378</v>
      </c>
      <c r="H5" s="9" t="s">
        <v>54</v>
      </c>
    </row>
    <row r="6" customFormat="false" ht="23.25" hidden="false" customHeight="true" outlineLevel="0" collapsed="false">
      <c r="A6" s="9" t="s">
        <v>381</v>
      </c>
      <c r="B6" s="9" t="n">
        <v>21</v>
      </c>
      <c r="C6" s="9" t="n">
        <v>2</v>
      </c>
      <c r="D6" s="9" t="n">
        <v>3</v>
      </c>
      <c r="E6" s="8" t="s">
        <v>36</v>
      </c>
      <c r="F6" s="9" t="s">
        <v>382</v>
      </c>
      <c r="G6" s="9" t="s">
        <v>378</v>
      </c>
      <c r="H6" s="9" t="s">
        <v>54</v>
      </c>
    </row>
    <row r="7" customFormat="false" ht="15" hidden="false" customHeight="true" outlineLevel="0" collapsed="false">
      <c r="A7" s="9" t="s">
        <v>383</v>
      </c>
      <c r="B7" s="9" t="n">
        <v>8</v>
      </c>
      <c r="C7" s="9" t="n">
        <v>3</v>
      </c>
      <c r="D7" s="9" t="n">
        <v>3</v>
      </c>
      <c r="E7" s="8" t="s">
        <v>36</v>
      </c>
      <c r="F7" s="9" t="s">
        <v>384</v>
      </c>
      <c r="G7" s="9" t="s">
        <v>378</v>
      </c>
      <c r="H7" s="9" t="s">
        <v>54</v>
      </c>
    </row>
    <row r="8" customFormat="false" ht="15" hidden="false" customHeight="true" outlineLevel="0" collapsed="false">
      <c r="A8" s="9" t="s">
        <v>385</v>
      </c>
      <c r="B8" s="9" t="n">
        <v>9</v>
      </c>
      <c r="C8" s="9" t="n">
        <v>5</v>
      </c>
      <c r="D8" s="9" t="n">
        <v>3</v>
      </c>
      <c r="E8" s="8" t="s">
        <v>36</v>
      </c>
      <c r="F8" s="9" t="s">
        <v>386</v>
      </c>
      <c r="G8" s="9" t="s">
        <v>378</v>
      </c>
      <c r="H8" s="9" t="s">
        <v>54</v>
      </c>
    </row>
    <row r="9" customFormat="false" ht="15" hidden="false" customHeight="true" outlineLevel="0" collapsed="false">
      <c r="A9" s="9" t="s">
        <v>387</v>
      </c>
      <c r="B9" s="9" t="n">
        <v>5</v>
      </c>
      <c r="C9" s="9" t="n">
        <v>0</v>
      </c>
      <c r="D9" s="9" t="n">
        <v>3</v>
      </c>
      <c r="E9" s="8" t="s">
        <v>36</v>
      </c>
      <c r="F9" s="9" t="s">
        <v>388</v>
      </c>
      <c r="G9" s="9" t="s">
        <v>378</v>
      </c>
      <c r="H9" s="9" t="s">
        <v>46</v>
      </c>
    </row>
    <row r="10" customFormat="false" ht="15" hidden="false" customHeight="true" outlineLevel="0" collapsed="false">
      <c r="A10" s="9" t="s">
        <v>389</v>
      </c>
      <c r="B10" s="9" t="n">
        <v>7</v>
      </c>
      <c r="C10" s="9" t="n">
        <v>1</v>
      </c>
      <c r="D10" s="9" t="n">
        <v>3</v>
      </c>
      <c r="E10" s="8" t="s">
        <v>36</v>
      </c>
      <c r="F10" s="9" t="s">
        <v>390</v>
      </c>
      <c r="G10" s="9" t="s">
        <v>391</v>
      </c>
      <c r="H10" s="9" t="s">
        <v>54</v>
      </c>
    </row>
    <row r="11" customFormat="false" ht="15" hidden="false" customHeight="true" outlineLevel="0" collapsed="false">
      <c r="A11" s="9" t="s">
        <v>392</v>
      </c>
      <c r="B11" s="9" t="n">
        <v>7</v>
      </c>
      <c r="C11" s="9" t="n">
        <v>0</v>
      </c>
      <c r="D11" s="9" t="n">
        <v>3</v>
      </c>
      <c r="E11" s="8" t="s">
        <v>36</v>
      </c>
      <c r="F11" s="9" t="s">
        <v>393</v>
      </c>
      <c r="G11" s="9" t="s">
        <v>391</v>
      </c>
      <c r="H11" s="9" t="s">
        <v>46</v>
      </c>
    </row>
    <row r="12" customFormat="false" ht="15" hidden="false" customHeight="true" outlineLevel="0" collapsed="false">
      <c r="A12" s="9" t="s">
        <v>394</v>
      </c>
      <c r="B12" s="9" t="n">
        <v>16</v>
      </c>
      <c r="C12" s="9" t="n">
        <v>0</v>
      </c>
      <c r="D12" s="9" t="n">
        <v>3</v>
      </c>
      <c r="E12" s="8" t="s">
        <v>36</v>
      </c>
      <c r="F12" s="9" t="s">
        <v>395</v>
      </c>
      <c r="G12" s="9" t="s">
        <v>391</v>
      </c>
      <c r="H12" s="9" t="s">
        <v>46</v>
      </c>
    </row>
    <row r="13" customFormat="false" ht="23.25" hidden="false" customHeight="true" outlineLevel="0" collapsed="false">
      <c r="A13" s="9" t="s">
        <v>396</v>
      </c>
      <c r="B13" s="9" t="n">
        <v>7</v>
      </c>
      <c r="C13" s="9" t="n">
        <v>0</v>
      </c>
      <c r="D13" s="9" t="n">
        <v>3</v>
      </c>
      <c r="E13" s="8" t="s">
        <v>36</v>
      </c>
      <c r="F13" s="9" t="s">
        <v>397</v>
      </c>
      <c r="G13" s="9" t="s">
        <v>398</v>
      </c>
      <c r="H13" s="9" t="s">
        <v>46</v>
      </c>
    </row>
    <row r="14" customFormat="false" ht="15" hidden="false" customHeight="true" outlineLevel="0" collapsed="false">
      <c r="A14" s="9" t="s">
        <v>399</v>
      </c>
      <c r="B14" s="9" t="n">
        <v>9</v>
      </c>
      <c r="C14" s="9" t="n">
        <v>0</v>
      </c>
      <c r="D14" s="9" t="n">
        <v>3</v>
      </c>
      <c r="E14" s="8" t="s">
        <v>36</v>
      </c>
      <c r="F14" s="9" t="s">
        <v>400</v>
      </c>
      <c r="G14" s="9" t="s">
        <v>398</v>
      </c>
      <c r="H14" s="9" t="s">
        <v>46</v>
      </c>
    </row>
    <row r="15" customFormat="false" ht="23.25" hidden="false" customHeight="true" outlineLevel="0" collapsed="false">
      <c r="A15" s="9" t="s">
        <v>401</v>
      </c>
      <c r="B15" s="9" t="n">
        <v>6</v>
      </c>
      <c r="C15" s="9" t="n">
        <v>0</v>
      </c>
      <c r="D15" s="9" t="n">
        <v>3</v>
      </c>
      <c r="E15" s="8" t="s">
        <v>36</v>
      </c>
      <c r="F15" s="9" t="s">
        <v>402</v>
      </c>
      <c r="G15" s="9" t="s">
        <v>398</v>
      </c>
      <c r="H15" s="9" t="s">
        <v>201</v>
      </c>
    </row>
    <row r="16" customFormat="false" ht="15" hidden="false" customHeight="true" outlineLevel="0" collapsed="false">
      <c r="A16" s="9" t="s">
        <v>403</v>
      </c>
      <c r="B16" s="9" t="n">
        <v>3</v>
      </c>
      <c r="C16" s="9" t="n">
        <v>0</v>
      </c>
      <c r="D16" s="9" t="n">
        <v>3</v>
      </c>
      <c r="E16" s="8" t="s">
        <v>36</v>
      </c>
      <c r="F16" s="9" t="s">
        <v>404</v>
      </c>
      <c r="G16" s="9" t="s">
        <v>398</v>
      </c>
      <c r="H16" s="9" t="s">
        <v>201</v>
      </c>
    </row>
    <row r="17" customFormat="false" ht="15" hidden="false" customHeight="true" outlineLevel="0" collapsed="false">
      <c r="A17" s="9" t="s">
        <v>405</v>
      </c>
      <c r="B17" s="9" t="n">
        <v>3</v>
      </c>
      <c r="C17" s="9" t="n">
        <v>0</v>
      </c>
      <c r="D17" s="9" t="n">
        <v>3</v>
      </c>
      <c r="E17" s="8" t="s">
        <v>36</v>
      </c>
      <c r="F17" s="9" t="s">
        <v>406</v>
      </c>
      <c r="G17" s="9" t="s">
        <v>398</v>
      </c>
      <c r="H17" s="9" t="s">
        <v>46</v>
      </c>
    </row>
    <row r="18" customFormat="false" ht="15" hidden="false" customHeight="true" outlineLevel="0" collapsed="false">
      <c r="A18" s="9" t="s">
        <v>407</v>
      </c>
      <c r="B18" s="9" t="n">
        <v>5</v>
      </c>
      <c r="C18" s="9" t="n">
        <v>1</v>
      </c>
      <c r="D18" s="9" t="n">
        <v>3</v>
      </c>
      <c r="E18" s="8" t="s">
        <v>36</v>
      </c>
      <c r="F18" s="9" t="s">
        <v>408</v>
      </c>
      <c r="G18" s="9" t="s">
        <v>372</v>
      </c>
      <c r="H18" s="9" t="s">
        <v>188</v>
      </c>
    </row>
    <row r="19" customFormat="false" ht="15" hidden="false" customHeight="true" outlineLevel="0" collapsed="false">
      <c r="A19" s="9" t="s">
        <v>409</v>
      </c>
      <c r="B19" s="9" t="n">
        <v>4</v>
      </c>
      <c r="C19" s="9" t="n">
        <v>0</v>
      </c>
      <c r="D19" s="9" t="n">
        <v>3</v>
      </c>
      <c r="E19" s="8" t="s">
        <v>36</v>
      </c>
      <c r="F19" s="9" t="s">
        <v>410</v>
      </c>
      <c r="G19" s="9" t="s">
        <v>372</v>
      </c>
      <c r="H19" s="9" t="s">
        <v>54</v>
      </c>
    </row>
    <row r="20" customFormat="false" ht="23.25" hidden="false" customHeight="true" outlineLevel="0" collapsed="false">
      <c r="A20" s="9" t="s">
        <v>411</v>
      </c>
      <c r="B20" s="9" t="n">
        <v>7</v>
      </c>
      <c r="C20" s="9" t="n">
        <v>0</v>
      </c>
      <c r="D20" s="9" t="n">
        <v>3</v>
      </c>
      <c r="E20" s="8" t="s">
        <v>36</v>
      </c>
      <c r="F20" s="9" t="s">
        <v>412</v>
      </c>
      <c r="G20" s="9" t="s">
        <v>372</v>
      </c>
      <c r="H20" s="9" t="s">
        <v>54</v>
      </c>
    </row>
    <row r="21" customFormat="false" ht="23.25" hidden="false" customHeight="true" outlineLevel="0" collapsed="false">
      <c r="A21" s="9" t="s">
        <v>413</v>
      </c>
      <c r="B21" s="9" t="n">
        <v>8</v>
      </c>
      <c r="C21" s="9" t="n">
        <v>0</v>
      </c>
      <c r="D21" s="9" t="n">
        <v>3</v>
      </c>
      <c r="E21" s="8" t="s">
        <v>36</v>
      </c>
      <c r="F21" s="9" t="s">
        <v>414</v>
      </c>
      <c r="G21" s="9" t="s">
        <v>375</v>
      </c>
      <c r="H21" s="9" t="s">
        <v>54</v>
      </c>
    </row>
    <row r="22" customFormat="false" ht="23.25" hidden="false" customHeight="true" outlineLevel="0" collapsed="false">
      <c r="A22" s="9" t="s">
        <v>415</v>
      </c>
      <c r="B22" s="9" t="n">
        <v>8</v>
      </c>
      <c r="C22" s="9" t="n">
        <v>0</v>
      </c>
      <c r="D22" s="9" t="n">
        <v>3</v>
      </c>
      <c r="E22" s="8" t="s">
        <v>36</v>
      </c>
      <c r="F22" s="9" t="s">
        <v>416</v>
      </c>
      <c r="G22" s="9" t="s">
        <v>417</v>
      </c>
      <c r="H22" s="9" t="s">
        <v>54</v>
      </c>
    </row>
    <row r="23" customFormat="false" ht="15" hidden="false" customHeight="true" outlineLevel="0" collapsed="false">
      <c r="A23" s="9" t="s">
        <v>418</v>
      </c>
      <c r="B23" s="9" t="n">
        <v>11</v>
      </c>
      <c r="C23" s="9" t="n">
        <v>0</v>
      </c>
      <c r="D23" s="9" t="n">
        <v>3</v>
      </c>
      <c r="E23" s="8" t="s">
        <v>36</v>
      </c>
      <c r="F23" s="9" t="s">
        <v>419</v>
      </c>
      <c r="G23" s="9" t="s">
        <v>417</v>
      </c>
      <c r="H23" s="9" t="s">
        <v>46</v>
      </c>
    </row>
    <row r="24" customFormat="false" ht="23.25" hidden="false" customHeight="true" outlineLevel="0" collapsed="false">
      <c r="A24" s="9" t="s">
        <v>420</v>
      </c>
      <c r="B24" s="9" t="n">
        <v>14</v>
      </c>
      <c r="C24" s="9" t="n">
        <v>0</v>
      </c>
      <c r="D24" s="9" t="n">
        <v>3</v>
      </c>
      <c r="E24" s="8" t="s">
        <v>36</v>
      </c>
      <c r="F24" s="9" t="s">
        <v>421</v>
      </c>
      <c r="G24" s="9" t="s">
        <v>417</v>
      </c>
      <c r="H24" s="9" t="s">
        <v>104</v>
      </c>
    </row>
    <row r="25" customFormat="false" ht="15" hidden="false" customHeight="true" outlineLevel="0" collapsed="false">
      <c r="A25" s="9" t="s">
        <v>422</v>
      </c>
      <c r="B25" s="9" t="n">
        <v>12</v>
      </c>
      <c r="C25" s="9" t="n">
        <v>0</v>
      </c>
      <c r="D25" s="9" t="n">
        <v>3</v>
      </c>
      <c r="E25" s="8" t="s">
        <v>36</v>
      </c>
      <c r="F25" s="9" t="s">
        <v>423</v>
      </c>
      <c r="G25" s="9" t="s">
        <v>417</v>
      </c>
      <c r="H25" s="9" t="s">
        <v>46</v>
      </c>
    </row>
    <row r="26" customFormat="false" ht="15" hidden="false" customHeight="true" outlineLevel="0" collapsed="false">
      <c r="A26" s="9" t="s">
        <v>424</v>
      </c>
      <c r="B26" s="9" t="n">
        <v>13</v>
      </c>
      <c r="C26" s="9" t="n">
        <v>0</v>
      </c>
      <c r="D26" s="9" t="n">
        <v>3</v>
      </c>
      <c r="E26" s="8" t="s">
        <v>36</v>
      </c>
      <c r="F26" s="9" t="s">
        <v>425</v>
      </c>
      <c r="G26" s="9" t="s">
        <v>378</v>
      </c>
      <c r="H26" s="9" t="s">
        <v>54</v>
      </c>
    </row>
    <row r="27" customFormat="false" ht="15" hidden="false" customHeight="true" outlineLevel="0" collapsed="false">
      <c r="A27" s="9" t="s">
        <v>426</v>
      </c>
      <c r="B27" s="9" t="n">
        <v>12</v>
      </c>
      <c r="C27" s="9" t="n">
        <v>0</v>
      </c>
      <c r="D27" s="9" t="n">
        <v>3</v>
      </c>
      <c r="E27" s="8" t="s">
        <v>36</v>
      </c>
      <c r="F27" s="9" t="s">
        <v>427</v>
      </c>
      <c r="G27" s="9" t="s">
        <v>398</v>
      </c>
      <c r="H27" s="9" t="s">
        <v>46</v>
      </c>
    </row>
    <row r="28" customFormat="false" ht="15" hidden="false" customHeight="false" outlineLevel="0" collapsed="false">
      <c r="A28" s="10" t="s">
        <v>428</v>
      </c>
      <c r="B28" s="10" t="n">
        <v>10</v>
      </c>
      <c r="C28" s="10" t="n">
        <v>0</v>
      </c>
      <c r="D28" s="10" t="n">
        <v>3</v>
      </c>
      <c r="E28" s="10" t="s">
        <v>36</v>
      </c>
      <c r="F28" s="10" t="s">
        <v>429</v>
      </c>
      <c r="G28" s="10" t="s">
        <v>430</v>
      </c>
      <c r="H28" s="10" t="s">
        <v>54</v>
      </c>
    </row>
    <row r="29" customFormat="false" ht="15" hidden="false" customHeight="true" outlineLevel="0" collapsed="false">
      <c r="A29" s="11"/>
    </row>
    <row r="30" customFormat="false" ht="15" hidden="false" customHeight="true" outlineLevel="0" collapsed="false">
      <c r="A30" s="11" t="s">
        <v>431</v>
      </c>
      <c r="B30" s="1" t="n">
        <f aca="false">SUM(B2:B28)</f>
        <v>238</v>
      </c>
      <c r="C30" s="1" t="n">
        <f aca="false">SUM(C2:C28)</f>
        <v>19</v>
      </c>
    </row>
    <row r="31" customFormat="false" ht="15" hidden="false" customHeight="true" outlineLevel="0" collapsed="false">
      <c r="A31" s="1" t="s">
        <v>432</v>
      </c>
      <c r="B31" s="1" t="n">
        <f aca="false">SUMIF(E2:E28,"Đủ",B2:B28)</f>
        <v>238</v>
      </c>
    </row>
    <row r="32" customFormat="false" ht="15" hidden="false" customHeight="true" outlineLevel="0" collapsed="false">
      <c r="A32" s="11" t="s">
        <v>433</v>
      </c>
      <c r="B32" s="12" t="n">
        <f aca="false">B31/B30</f>
        <v>1</v>
      </c>
    </row>
  </sheetData>
  <conditionalFormatting sqref="E2:E27">
    <cfRule type="cellIs" priority="2" operator="equal" aboveAverage="0" equalAverage="0" bottom="0" percent="0" rank="0" text="" dxfId="5">
      <formula>"Đủ"</formula>
    </cfRule>
    <cfRule type="cellIs" priority="3" operator="equal" aboveAverage="0" equalAverage="0" bottom="0" percent="0" rank="0" text="" dxfId="6">
      <formula>"Một phần"</formula>
    </cfRule>
    <cfRule type="cellIs" priority="4" operator="equal" aboveAverage="0" equalAverage="0" bottom="0" percent="0" rank="0" text="" dxfId="7">
      <formula>"Thiếu"</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0"/>
    <col collapsed="false" customWidth="true" hidden="false" outlineLevel="0" max="4" min="4" style="1" width="60"/>
    <col collapsed="false" customWidth="true" hidden="false" outlineLevel="0" max="5" min="5" style="1" width="40"/>
    <col collapsed="false" customWidth="true" hidden="false" outlineLevel="0" max="6" min="6" style="1" width="36"/>
  </cols>
  <sheetData>
    <row r="1" customFormat="false" ht="34.5" hidden="false" customHeight="true" outlineLevel="0" collapsed="false">
      <c r="A1" s="6" t="s">
        <v>434</v>
      </c>
      <c r="B1" s="6" t="s">
        <v>435</v>
      </c>
      <c r="C1" s="6" t="s">
        <v>366</v>
      </c>
      <c r="D1" s="6" t="s">
        <v>436</v>
      </c>
      <c r="E1" s="6" t="s">
        <v>437</v>
      </c>
      <c r="F1" s="6" t="s">
        <v>438</v>
      </c>
    </row>
    <row r="2" customFormat="false" ht="23.25" hidden="false" customHeight="true" outlineLevel="0" collapsed="false">
      <c r="A2" s="7" t="s">
        <v>439</v>
      </c>
      <c r="B2" s="7" t="s">
        <v>440</v>
      </c>
      <c r="C2" s="8" t="n">
        <v>3</v>
      </c>
      <c r="D2" s="7" t="s">
        <v>441</v>
      </c>
      <c r="E2" s="7" t="s">
        <v>442</v>
      </c>
      <c r="F2" s="7" t="s">
        <v>443</v>
      </c>
    </row>
    <row r="3" customFormat="false" ht="23.25" hidden="false" customHeight="true" outlineLevel="0" collapsed="false">
      <c r="A3" s="9" t="s">
        <v>444</v>
      </c>
      <c r="B3" s="9" t="s">
        <v>440</v>
      </c>
      <c r="C3" s="8" t="n">
        <v>3</v>
      </c>
      <c r="D3" s="9" t="s">
        <v>445</v>
      </c>
      <c r="E3" s="9" t="s">
        <v>446</v>
      </c>
      <c r="F3" s="9" t="s">
        <v>447</v>
      </c>
    </row>
    <row r="4" customFormat="false" ht="23.25" hidden="false" customHeight="true" outlineLevel="0" collapsed="false">
      <c r="A4" s="7" t="s">
        <v>448</v>
      </c>
      <c r="B4" s="7" t="s">
        <v>440</v>
      </c>
      <c r="C4" s="8" t="n">
        <v>3</v>
      </c>
      <c r="D4" s="7" t="s">
        <v>449</v>
      </c>
      <c r="E4" s="7" t="s">
        <v>450</v>
      </c>
      <c r="F4" s="7" t="s">
        <v>451</v>
      </c>
    </row>
    <row r="5" customFormat="false" ht="23.25" hidden="false" customHeight="true" outlineLevel="0" collapsed="false">
      <c r="A5" s="9" t="s">
        <v>452</v>
      </c>
      <c r="B5" s="9" t="s">
        <v>440</v>
      </c>
      <c r="C5" s="8" t="n">
        <v>3</v>
      </c>
      <c r="D5" s="9" t="s">
        <v>453</v>
      </c>
      <c r="E5" s="9" t="s">
        <v>454</v>
      </c>
      <c r="F5" s="9" t="s">
        <v>455</v>
      </c>
    </row>
    <row r="6" customFormat="false" ht="23.25" hidden="false" customHeight="true" outlineLevel="0" collapsed="false">
      <c r="A6" s="7" t="s">
        <v>456</v>
      </c>
      <c r="B6" s="7" t="s">
        <v>440</v>
      </c>
      <c r="C6" s="8" t="n">
        <v>3</v>
      </c>
      <c r="D6" s="7" t="s">
        <v>457</v>
      </c>
      <c r="E6" s="7" t="s">
        <v>458</v>
      </c>
      <c r="F6" s="7" t="s">
        <v>459</v>
      </c>
    </row>
    <row r="7" customFormat="false" ht="23.25" hidden="false" customHeight="true" outlineLevel="0" collapsed="false">
      <c r="A7" s="9" t="s">
        <v>460</v>
      </c>
      <c r="B7" s="9" t="s">
        <v>440</v>
      </c>
      <c r="C7" s="8" t="n">
        <v>3</v>
      </c>
      <c r="D7" s="9" t="s">
        <v>461</v>
      </c>
      <c r="E7" s="9" t="s">
        <v>462</v>
      </c>
      <c r="F7" s="9" t="s">
        <v>463</v>
      </c>
    </row>
    <row r="8" customFormat="false" ht="15" hidden="false" customHeight="true" outlineLevel="0" collapsed="false">
      <c r="A8" s="7" t="s">
        <v>464</v>
      </c>
      <c r="B8" s="7" t="s">
        <v>440</v>
      </c>
      <c r="C8" s="8" t="n">
        <v>3</v>
      </c>
      <c r="D8" s="7" t="s">
        <v>465</v>
      </c>
      <c r="E8" s="7" t="s">
        <v>466</v>
      </c>
      <c r="F8" s="7" t="s">
        <v>467</v>
      </c>
    </row>
    <row r="9" customFormat="false" ht="15" hidden="false" customHeight="true" outlineLevel="0" collapsed="false">
      <c r="A9" s="9" t="s">
        <v>468</v>
      </c>
      <c r="B9" s="9" t="s">
        <v>440</v>
      </c>
      <c r="C9" s="8" t="n">
        <v>3</v>
      </c>
      <c r="D9" s="9" t="s">
        <v>469</v>
      </c>
      <c r="E9" s="9" t="s">
        <v>470</v>
      </c>
      <c r="F9" s="9" t="s">
        <v>471</v>
      </c>
    </row>
    <row r="10" customFormat="false" ht="23.25" hidden="false" customHeight="true" outlineLevel="0" collapsed="false">
      <c r="A10" s="7" t="s">
        <v>472</v>
      </c>
      <c r="B10" s="7" t="s">
        <v>440</v>
      </c>
      <c r="C10" s="8" t="n">
        <v>3</v>
      </c>
      <c r="D10" s="7" t="s">
        <v>473</v>
      </c>
      <c r="E10" s="7" t="s">
        <v>474</v>
      </c>
      <c r="F10" s="7" t="s">
        <v>475</v>
      </c>
    </row>
    <row r="11" customFormat="false" ht="15" hidden="false" customHeight="true" outlineLevel="0" collapsed="false">
      <c r="A11" s="9" t="s">
        <v>476</v>
      </c>
      <c r="B11" s="9" t="s">
        <v>440</v>
      </c>
      <c r="C11" s="8" t="n">
        <v>3</v>
      </c>
      <c r="D11" s="9" t="s">
        <v>477</v>
      </c>
      <c r="E11" s="9" t="s">
        <v>478</v>
      </c>
      <c r="F11" s="9" t="s">
        <v>479</v>
      </c>
    </row>
    <row r="12" customFormat="false" ht="15" hidden="false" customHeight="true" outlineLevel="0" collapsed="false">
      <c r="A12" s="7" t="s">
        <v>480</v>
      </c>
      <c r="B12" s="7" t="s">
        <v>440</v>
      </c>
      <c r="C12" s="8" t="n">
        <v>3</v>
      </c>
      <c r="D12" s="7" t="s">
        <v>481</v>
      </c>
      <c r="E12" s="7" t="s">
        <v>482</v>
      </c>
      <c r="F12" s="7" t="s">
        <v>483</v>
      </c>
    </row>
    <row r="13" customFormat="false" ht="15" hidden="false" customHeight="true" outlineLevel="0" collapsed="false">
      <c r="A13" s="9" t="s">
        <v>484</v>
      </c>
      <c r="B13" s="9" t="s">
        <v>440</v>
      </c>
      <c r="C13" s="8" t="n">
        <v>3</v>
      </c>
      <c r="D13" s="9" t="s">
        <v>485</v>
      </c>
      <c r="E13" s="9" t="s">
        <v>486</v>
      </c>
      <c r="F13" s="9" t="s">
        <v>487</v>
      </c>
    </row>
    <row r="14" customFormat="false" ht="15" hidden="false" customHeight="true" outlineLevel="0" collapsed="false">
      <c r="A14" s="7" t="s">
        <v>488</v>
      </c>
      <c r="B14" s="7" t="s">
        <v>440</v>
      </c>
      <c r="C14" s="8" t="n">
        <v>3</v>
      </c>
      <c r="D14" s="7" t="s">
        <v>489</v>
      </c>
      <c r="E14" s="7" t="s">
        <v>490</v>
      </c>
      <c r="F14" s="7" t="s">
        <v>491</v>
      </c>
    </row>
    <row r="15" customFormat="false" ht="15" hidden="false" customHeight="true" outlineLevel="0" collapsed="false">
      <c r="A15" s="9" t="s">
        <v>492</v>
      </c>
      <c r="B15" s="9" t="s">
        <v>440</v>
      </c>
      <c r="C15" s="8" t="n">
        <v>3</v>
      </c>
      <c r="D15" s="9" t="s">
        <v>493</v>
      </c>
      <c r="E15" s="9" t="s">
        <v>494</v>
      </c>
      <c r="F15" s="9" t="s">
        <v>495</v>
      </c>
    </row>
    <row r="16" customFormat="false" ht="23.25" hidden="false" customHeight="true" outlineLevel="0" collapsed="false">
      <c r="A16" s="7" t="s">
        <v>496</v>
      </c>
      <c r="B16" s="7" t="s">
        <v>440</v>
      </c>
      <c r="C16" s="8" t="n">
        <v>3</v>
      </c>
      <c r="D16" s="7" t="s">
        <v>497</v>
      </c>
      <c r="E16" s="7" t="s">
        <v>462</v>
      </c>
      <c r="F16" s="7" t="s">
        <v>498</v>
      </c>
    </row>
    <row r="17" customFormat="false" ht="23.25" hidden="false" customHeight="true" outlineLevel="0" collapsed="false">
      <c r="A17" s="9" t="s">
        <v>499</v>
      </c>
      <c r="B17" s="9" t="s">
        <v>440</v>
      </c>
      <c r="C17" s="8" t="n">
        <v>3</v>
      </c>
      <c r="D17" s="9" t="s">
        <v>500</v>
      </c>
      <c r="E17" s="9" t="s">
        <v>501</v>
      </c>
      <c r="F17" s="9" t="s">
        <v>502</v>
      </c>
    </row>
    <row r="18" customFormat="false" ht="15" hidden="false" customHeight="true" outlineLevel="0" collapsed="false">
      <c r="A18" s="7" t="s">
        <v>503</v>
      </c>
      <c r="B18" s="7" t="s">
        <v>440</v>
      </c>
      <c r="C18" s="8" t="n">
        <v>3</v>
      </c>
      <c r="D18" s="7" t="s">
        <v>504</v>
      </c>
      <c r="E18" s="7" t="s">
        <v>462</v>
      </c>
      <c r="F18" s="7" t="s">
        <v>505</v>
      </c>
    </row>
    <row r="19" customFormat="false" ht="23.25" hidden="false" customHeight="true" outlineLevel="0" collapsed="false">
      <c r="A19" s="9" t="s">
        <v>506</v>
      </c>
      <c r="B19" s="9" t="s">
        <v>440</v>
      </c>
      <c r="C19" s="8" t="n">
        <v>3</v>
      </c>
      <c r="D19" s="9" t="s">
        <v>507</v>
      </c>
      <c r="E19" s="9" t="s">
        <v>462</v>
      </c>
      <c r="F19" s="9" t="s">
        <v>508</v>
      </c>
    </row>
    <row r="20" customFormat="false" ht="15" hidden="false" customHeight="true" outlineLevel="0" collapsed="false">
      <c r="A20" s="7" t="s">
        <v>509</v>
      </c>
      <c r="B20" s="7" t="s">
        <v>440</v>
      </c>
      <c r="C20" s="8" t="n">
        <v>3</v>
      </c>
      <c r="D20" s="7" t="s">
        <v>510</v>
      </c>
      <c r="E20" s="7" t="s">
        <v>37</v>
      </c>
      <c r="F20" s="7" t="s">
        <v>511</v>
      </c>
    </row>
    <row r="21" customFormat="false" ht="15" hidden="false" customHeight="true" outlineLevel="0" collapsed="false">
      <c r="A21" s="9" t="s">
        <v>512</v>
      </c>
      <c r="B21" s="9" t="s">
        <v>440</v>
      </c>
      <c r="C21" s="8" t="n">
        <v>3</v>
      </c>
      <c r="D21" s="9" t="s">
        <v>513</v>
      </c>
      <c r="E21" s="9" t="s">
        <v>37</v>
      </c>
      <c r="F21" s="9" t="s">
        <v>514</v>
      </c>
    </row>
    <row r="22" customFormat="false" ht="15" hidden="false" customHeight="true" outlineLevel="0" collapsed="false">
      <c r="A22" s="7" t="s">
        <v>515</v>
      </c>
      <c r="B22" s="7" t="s">
        <v>440</v>
      </c>
      <c r="C22" s="8" t="n">
        <v>3</v>
      </c>
      <c r="D22" s="7" t="s">
        <v>516</v>
      </c>
      <c r="E22" s="7" t="s">
        <v>37</v>
      </c>
      <c r="F22" s="7" t="s">
        <v>517</v>
      </c>
    </row>
    <row r="23" customFormat="false" ht="15" hidden="false" customHeight="true" outlineLevel="0" collapsed="false">
      <c r="A23" s="9" t="s">
        <v>518</v>
      </c>
      <c r="B23" s="9" t="s">
        <v>440</v>
      </c>
      <c r="C23" s="8" t="n">
        <v>3</v>
      </c>
      <c r="D23" s="9" t="s">
        <v>519</v>
      </c>
      <c r="E23" s="9" t="s">
        <v>37</v>
      </c>
      <c r="F23" s="9" t="s">
        <v>37</v>
      </c>
    </row>
    <row r="25" customFormat="false" ht="15" hidden="false" customHeight="true" outlineLevel="0" collapsed="false">
      <c r="A25" s="11" t="s">
        <v>520</v>
      </c>
      <c r="B25" s="1" t="s">
        <v>440</v>
      </c>
      <c r="C25" s="13" t="n">
        <v>3</v>
      </c>
    </row>
    <row r="26" customFormat="false" ht="15" hidden="false" customHeight="true" outlineLevel="0" collapsed="false">
      <c r="A26" s="11" t="s">
        <v>521</v>
      </c>
      <c r="B26" s="1" t="s">
        <v>440</v>
      </c>
      <c r="C26" s="13" t="n">
        <v>3</v>
      </c>
    </row>
    <row r="27" customFormat="false" ht="15" hidden="false" customHeight="true" outlineLevel="0" collapsed="false">
      <c r="A27" s="13" t="s">
        <v>522</v>
      </c>
      <c r="B27" s="13" t="s">
        <v>440</v>
      </c>
      <c r="C27" s="13" t="n">
        <v>3</v>
      </c>
      <c r="D27" s="13" t="s">
        <v>523</v>
      </c>
      <c r="E27" s="13" t="s">
        <v>37</v>
      </c>
      <c r="F27" s="13" t="s">
        <v>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4"/>
    <col collapsed="false" customWidth="true" hidden="false" outlineLevel="0" max="3" min="3" style="1" width="24"/>
    <col collapsed="false" customWidth="true" hidden="false" outlineLevel="0" max="4" min="4" style="1" width="10"/>
    <col collapsed="false" customWidth="true" hidden="false" outlineLevel="0" max="5" min="5" style="1" width="36"/>
    <col collapsed="false" customWidth="true" hidden="false" outlineLevel="0" max="6" min="6" style="1" width="50"/>
    <col collapsed="false" customWidth="true" hidden="false" outlineLevel="0" max="7" min="7" style="1" width="34"/>
  </cols>
  <sheetData>
    <row r="1" customFormat="false" ht="34.5" hidden="false" customHeight="true" outlineLevel="0" collapsed="false">
      <c r="A1" s="6" t="s">
        <v>525</v>
      </c>
      <c r="B1" s="6" t="s">
        <v>526</v>
      </c>
      <c r="C1" s="6" t="s">
        <v>363</v>
      </c>
      <c r="D1" s="6" t="s">
        <v>527</v>
      </c>
      <c r="E1" s="6" t="s">
        <v>528</v>
      </c>
      <c r="F1" s="6" t="s">
        <v>529</v>
      </c>
      <c r="G1" s="6" t="s">
        <v>530</v>
      </c>
    </row>
    <row r="2" customFormat="false" ht="23.25" hidden="false" customHeight="true" outlineLevel="0" collapsed="false">
      <c r="A2" s="7" t="s">
        <v>531</v>
      </c>
      <c r="B2" s="7" t="s">
        <v>532</v>
      </c>
      <c r="C2" s="7" t="s">
        <v>533</v>
      </c>
      <c r="D2" s="7" t="s">
        <v>440</v>
      </c>
      <c r="E2" s="7" t="s">
        <v>534</v>
      </c>
      <c r="F2" s="7" t="s">
        <v>535</v>
      </c>
      <c r="G2" s="8" t="s">
        <v>536</v>
      </c>
    </row>
    <row r="3" customFormat="false" ht="23.25" hidden="false" customHeight="true" outlineLevel="0" collapsed="false">
      <c r="A3" s="9" t="s">
        <v>537</v>
      </c>
      <c r="B3" s="9" t="s">
        <v>538</v>
      </c>
      <c r="C3" s="9" t="s">
        <v>533</v>
      </c>
      <c r="D3" s="9" t="s">
        <v>440</v>
      </c>
      <c r="E3" s="9" t="s">
        <v>534</v>
      </c>
      <c r="F3" s="9" t="s">
        <v>535</v>
      </c>
      <c r="G3" s="8" t="s">
        <v>536</v>
      </c>
    </row>
    <row r="4" customFormat="false" ht="23.25" hidden="false" customHeight="true" outlineLevel="0" collapsed="false">
      <c r="A4" s="7" t="s">
        <v>539</v>
      </c>
      <c r="B4" s="7" t="s">
        <v>540</v>
      </c>
      <c r="C4" s="7" t="s">
        <v>533</v>
      </c>
      <c r="D4" s="7" t="s">
        <v>440</v>
      </c>
      <c r="E4" s="7" t="s">
        <v>534</v>
      </c>
      <c r="F4" s="7" t="s">
        <v>535</v>
      </c>
      <c r="G4" s="8" t="s">
        <v>536</v>
      </c>
    </row>
    <row r="5" customFormat="false" ht="23.25" hidden="false" customHeight="true" outlineLevel="0" collapsed="false">
      <c r="A5" s="9" t="s">
        <v>541</v>
      </c>
      <c r="B5" s="9" t="s">
        <v>542</v>
      </c>
      <c r="C5" s="9" t="s">
        <v>533</v>
      </c>
      <c r="D5" s="9" t="s">
        <v>440</v>
      </c>
      <c r="E5" s="9" t="s">
        <v>534</v>
      </c>
      <c r="F5" s="9" t="s">
        <v>535</v>
      </c>
      <c r="G5" s="8" t="s">
        <v>536</v>
      </c>
    </row>
    <row r="6" customFormat="false" ht="23.25" hidden="false" customHeight="true" outlineLevel="0" collapsed="false">
      <c r="A6" s="7" t="s">
        <v>543</v>
      </c>
      <c r="B6" s="7" t="s">
        <v>544</v>
      </c>
      <c r="C6" s="7" t="s">
        <v>533</v>
      </c>
      <c r="D6" s="7" t="s">
        <v>440</v>
      </c>
      <c r="E6" s="7" t="s">
        <v>534</v>
      </c>
      <c r="F6" s="7" t="s">
        <v>535</v>
      </c>
      <c r="G6" s="8" t="s">
        <v>536</v>
      </c>
    </row>
    <row r="7" customFormat="false" ht="23.25" hidden="false" customHeight="true" outlineLevel="0" collapsed="false">
      <c r="A7" s="9" t="s">
        <v>545</v>
      </c>
      <c r="B7" s="9" t="s">
        <v>546</v>
      </c>
      <c r="C7" s="9" t="s">
        <v>533</v>
      </c>
      <c r="D7" s="9" t="s">
        <v>440</v>
      </c>
      <c r="E7" s="9" t="s">
        <v>534</v>
      </c>
      <c r="F7" s="9" t="s">
        <v>535</v>
      </c>
      <c r="G7" s="8" t="s">
        <v>536</v>
      </c>
    </row>
    <row r="8" customFormat="false" ht="23.25" hidden="false" customHeight="true" outlineLevel="0" collapsed="false">
      <c r="A8" s="7" t="s">
        <v>547</v>
      </c>
      <c r="B8" s="7" t="s">
        <v>548</v>
      </c>
      <c r="C8" s="7" t="s">
        <v>549</v>
      </c>
      <c r="D8" s="7" t="s">
        <v>440</v>
      </c>
      <c r="E8" s="7" t="s">
        <v>550</v>
      </c>
      <c r="F8" s="7" t="s">
        <v>551</v>
      </c>
      <c r="G8" s="8" t="s">
        <v>536</v>
      </c>
    </row>
    <row r="9" customFormat="false" ht="23.25" hidden="false" customHeight="true" outlineLevel="0" collapsed="false">
      <c r="A9" s="9" t="s">
        <v>552</v>
      </c>
      <c r="B9" s="9" t="s">
        <v>553</v>
      </c>
      <c r="C9" s="9" t="s">
        <v>549</v>
      </c>
      <c r="D9" s="9" t="s">
        <v>440</v>
      </c>
      <c r="E9" s="9" t="s">
        <v>550</v>
      </c>
      <c r="F9" s="9" t="s">
        <v>551</v>
      </c>
      <c r="G9" s="8" t="s">
        <v>536</v>
      </c>
    </row>
    <row r="10" customFormat="false" ht="23.25" hidden="false" customHeight="true" outlineLevel="0" collapsed="false">
      <c r="A10" s="7" t="s">
        <v>554</v>
      </c>
      <c r="B10" s="7" t="s">
        <v>555</v>
      </c>
      <c r="C10" s="7" t="s">
        <v>549</v>
      </c>
      <c r="D10" s="7" t="s">
        <v>440</v>
      </c>
      <c r="E10" s="7" t="s">
        <v>550</v>
      </c>
      <c r="F10" s="7" t="s">
        <v>551</v>
      </c>
      <c r="G10" s="8" t="s">
        <v>536</v>
      </c>
    </row>
    <row r="11" customFormat="false" ht="23.25" hidden="false" customHeight="true" outlineLevel="0" collapsed="false">
      <c r="A11" s="9" t="s">
        <v>556</v>
      </c>
      <c r="B11" s="9" t="s">
        <v>557</v>
      </c>
      <c r="C11" s="9" t="s">
        <v>549</v>
      </c>
      <c r="D11" s="9" t="s">
        <v>440</v>
      </c>
      <c r="E11" s="9" t="s">
        <v>550</v>
      </c>
      <c r="F11" s="9" t="s">
        <v>551</v>
      </c>
      <c r="G11" s="8" t="s">
        <v>536</v>
      </c>
    </row>
    <row r="12" customFormat="false" ht="23.25" hidden="false" customHeight="true" outlineLevel="0" collapsed="false">
      <c r="A12" s="7" t="s">
        <v>558</v>
      </c>
      <c r="B12" s="7" t="s">
        <v>559</v>
      </c>
      <c r="C12" s="7" t="s">
        <v>549</v>
      </c>
      <c r="D12" s="7" t="s">
        <v>440</v>
      </c>
      <c r="E12" s="7" t="s">
        <v>550</v>
      </c>
      <c r="F12" s="7" t="s">
        <v>551</v>
      </c>
      <c r="G12" s="8" t="s">
        <v>536</v>
      </c>
    </row>
    <row r="13" customFormat="false" ht="23.25" hidden="false" customHeight="true" outlineLevel="0" collapsed="false">
      <c r="A13" s="9" t="s">
        <v>560</v>
      </c>
      <c r="B13" s="9" t="s">
        <v>561</v>
      </c>
      <c r="C13" s="9" t="s">
        <v>549</v>
      </c>
      <c r="D13" s="9" t="s">
        <v>440</v>
      </c>
      <c r="E13" s="9" t="s">
        <v>550</v>
      </c>
      <c r="F13" s="9" t="s">
        <v>551</v>
      </c>
      <c r="G13" s="8" t="s">
        <v>536</v>
      </c>
    </row>
    <row r="14" customFormat="false" ht="23.25" hidden="false" customHeight="true" outlineLevel="0" collapsed="false">
      <c r="A14" s="7" t="s">
        <v>562</v>
      </c>
      <c r="B14" s="7" t="s">
        <v>563</v>
      </c>
      <c r="C14" s="7" t="s">
        <v>549</v>
      </c>
      <c r="D14" s="7" t="s">
        <v>440</v>
      </c>
      <c r="E14" s="7" t="s">
        <v>550</v>
      </c>
      <c r="F14" s="7" t="s">
        <v>551</v>
      </c>
      <c r="G14" s="8" t="s">
        <v>536</v>
      </c>
    </row>
    <row r="15" customFormat="false" ht="23.25" hidden="false" customHeight="true" outlineLevel="0" collapsed="false">
      <c r="A15" s="9" t="s">
        <v>564</v>
      </c>
      <c r="B15" s="9" t="s">
        <v>565</v>
      </c>
      <c r="C15" s="9" t="s">
        <v>549</v>
      </c>
      <c r="D15" s="9" t="s">
        <v>440</v>
      </c>
      <c r="E15" s="9" t="s">
        <v>550</v>
      </c>
      <c r="F15" s="9" t="s">
        <v>551</v>
      </c>
      <c r="G15" s="8" t="s">
        <v>536</v>
      </c>
    </row>
    <row r="16" customFormat="false" ht="23.25" hidden="false" customHeight="true" outlineLevel="0" collapsed="false">
      <c r="A16" s="7" t="s">
        <v>566</v>
      </c>
      <c r="B16" s="7" t="s">
        <v>567</v>
      </c>
      <c r="C16" s="7" t="s">
        <v>549</v>
      </c>
      <c r="D16" s="7" t="s">
        <v>440</v>
      </c>
      <c r="E16" s="7" t="s">
        <v>550</v>
      </c>
      <c r="F16" s="7" t="s">
        <v>551</v>
      </c>
      <c r="G16" s="8" t="s">
        <v>536</v>
      </c>
    </row>
    <row r="17" customFormat="false" ht="23.25" hidden="false" customHeight="true" outlineLevel="0" collapsed="false">
      <c r="A17" s="9" t="s">
        <v>568</v>
      </c>
      <c r="B17" s="9" t="s">
        <v>569</v>
      </c>
      <c r="C17" s="9" t="s">
        <v>549</v>
      </c>
      <c r="D17" s="9" t="s">
        <v>440</v>
      </c>
      <c r="E17" s="9" t="s">
        <v>550</v>
      </c>
      <c r="F17" s="9" t="s">
        <v>551</v>
      </c>
      <c r="G17" s="8" t="s">
        <v>536</v>
      </c>
    </row>
    <row r="18" customFormat="false" ht="23.25" hidden="false" customHeight="true" outlineLevel="0" collapsed="false">
      <c r="A18" s="7" t="s">
        <v>570</v>
      </c>
      <c r="B18" s="7" t="s">
        <v>571</v>
      </c>
      <c r="C18" s="7" t="s">
        <v>549</v>
      </c>
      <c r="D18" s="7" t="s">
        <v>440</v>
      </c>
      <c r="E18" s="7" t="s">
        <v>550</v>
      </c>
      <c r="F18" s="7" t="s">
        <v>551</v>
      </c>
      <c r="G18" s="8" t="s">
        <v>536</v>
      </c>
    </row>
    <row r="19" customFormat="false" ht="23.25" hidden="false" customHeight="true" outlineLevel="0" collapsed="false">
      <c r="A19" s="9" t="s">
        <v>572</v>
      </c>
      <c r="B19" s="9" t="s">
        <v>573</v>
      </c>
      <c r="C19" s="9" t="s">
        <v>549</v>
      </c>
      <c r="D19" s="9" t="s">
        <v>440</v>
      </c>
      <c r="E19" s="9" t="s">
        <v>550</v>
      </c>
      <c r="F19" s="9" t="s">
        <v>551</v>
      </c>
      <c r="G19" s="8" t="s">
        <v>536</v>
      </c>
    </row>
    <row r="20" customFormat="false" ht="23.25" hidden="false" customHeight="true" outlineLevel="0" collapsed="false">
      <c r="A20" s="7" t="s">
        <v>574</v>
      </c>
      <c r="B20" s="7" t="s">
        <v>575</v>
      </c>
      <c r="C20" s="7" t="s">
        <v>549</v>
      </c>
      <c r="D20" s="7" t="s">
        <v>440</v>
      </c>
      <c r="E20" s="7" t="s">
        <v>550</v>
      </c>
      <c r="F20" s="7" t="s">
        <v>551</v>
      </c>
      <c r="G20" s="8" t="s">
        <v>536</v>
      </c>
    </row>
    <row r="21" customFormat="false" ht="23.25" hidden="false" customHeight="true" outlineLevel="0" collapsed="false">
      <c r="A21" s="9" t="s">
        <v>576</v>
      </c>
      <c r="B21" s="9" t="s">
        <v>577</v>
      </c>
      <c r="C21" s="9" t="s">
        <v>549</v>
      </c>
      <c r="D21" s="9" t="s">
        <v>440</v>
      </c>
      <c r="E21" s="9" t="s">
        <v>550</v>
      </c>
      <c r="F21" s="9" t="s">
        <v>551</v>
      </c>
      <c r="G21" s="8" t="s">
        <v>536</v>
      </c>
    </row>
    <row r="22" customFormat="false" ht="15" hidden="false" customHeight="true" outlineLevel="0" collapsed="false">
      <c r="A22" s="7" t="s">
        <v>578</v>
      </c>
      <c r="B22" s="7" t="s">
        <v>579</v>
      </c>
      <c r="C22" s="7" t="s">
        <v>580</v>
      </c>
      <c r="D22" s="7" t="s">
        <v>440</v>
      </c>
      <c r="E22" s="7" t="s">
        <v>581</v>
      </c>
      <c r="F22" s="7" t="s">
        <v>582</v>
      </c>
      <c r="G22" s="8" t="s">
        <v>536</v>
      </c>
    </row>
    <row r="23" customFormat="false" ht="15" hidden="false" customHeight="true" outlineLevel="0" collapsed="false">
      <c r="A23" s="9" t="s">
        <v>583</v>
      </c>
      <c r="B23" s="9" t="s">
        <v>584</v>
      </c>
      <c r="C23" s="9" t="s">
        <v>585</v>
      </c>
      <c r="D23" s="9" t="s">
        <v>440</v>
      </c>
      <c r="E23" s="9" t="s">
        <v>586</v>
      </c>
      <c r="F23" s="9" t="s">
        <v>587</v>
      </c>
      <c r="G23" s="8" t="s">
        <v>536</v>
      </c>
    </row>
    <row r="24" customFormat="false" ht="15" hidden="false" customHeight="true" outlineLevel="0" collapsed="false">
      <c r="A24" s="7" t="s">
        <v>588</v>
      </c>
      <c r="B24" s="7" t="s">
        <v>589</v>
      </c>
      <c r="C24" s="7" t="s">
        <v>585</v>
      </c>
      <c r="D24" s="7" t="s">
        <v>440</v>
      </c>
      <c r="E24" s="7" t="s">
        <v>586</v>
      </c>
      <c r="F24" s="7" t="s">
        <v>587</v>
      </c>
      <c r="G24" s="8" t="s">
        <v>536</v>
      </c>
    </row>
    <row r="25" customFormat="false" ht="15" hidden="false" customHeight="true" outlineLevel="0" collapsed="false">
      <c r="A25" s="9" t="s">
        <v>590</v>
      </c>
      <c r="B25" s="9" t="s">
        <v>591</v>
      </c>
      <c r="C25" s="9" t="s">
        <v>585</v>
      </c>
      <c r="D25" s="9" t="s">
        <v>440</v>
      </c>
      <c r="E25" s="9" t="s">
        <v>586</v>
      </c>
      <c r="F25" s="9" t="s">
        <v>587</v>
      </c>
      <c r="G25" s="8" t="s">
        <v>536</v>
      </c>
    </row>
    <row r="26" customFormat="false" ht="15" hidden="false" customHeight="true" outlineLevel="0" collapsed="false">
      <c r="A26" s="7" t="s">
        <v>592</v>
      </c>
      <c r="B26" s="7" t="s">
        <v>593</v>
      </c>
      <c r="C26" s="7" t="s">
        <v>585</v>
      </c>
      <c r="D26" s="7" t="s">
        <v>440</v>
      </c>
      <c r="E26" s="7" t="s">
        <v>586</v>
      </c>
      <c r="F26" s="7" t="s">
        <v>587</v>
      </c>
      <c r="G26" s="8" t="s">
        <v>536</v>
      </c>
    </row>
    <row r="27" customFormat="false" ht="15" hidden="false" customHeight="true" outlineLevel="0" collapsed="false">
      <c r="A27" s="9" t="s">
        <v>594</v>
      </c>
      <c r="B27" s="9" t="s">
        <v>595</v>
      </c>
      <c r="C27" s="9" t="s">
        <v>585</v>
      </c>
      <c r="D27" s="9" t="s">
        <v>440</v>
      </c>
      <c r="E27" s="9" t="s">
        <v>586</v>
      </c>
      <c r="F27" s="9" t="s">
        <v>587</v>
      </c>
      <c r="G27" s="8" t="s">
        <v>536</v>
      </c>
    </row>
    <row r="28" customFormat="false" ht="15" hidden="false" customHeight="true" outlineLevel="0" collapsed="false">
      <c r="A28" s="7" t="s">
        <v>596</v>
      </c>
      <c r="B28" s="7" t="s">
        <v>597</v>
      </c>
      <c r="C28" s="7" t="s">
        <v>585</v>
      </c>
      <c r="D28" s="7" t="s">
        <v>440</v>
      </c>
      <c r="E28" s="7" t="s">
        <v>586</v>
      </c>
      <c r="F28" s="7" t="s">
        <v>587</v>
      </c>
      <c r="G28" s="8" t="s">
        <v>536</v>
      </c>
    </row>
    <row r="29" customFormat="false" ht="23.25" hidden="false" customHeight="true" outlineLevel="0" collapsed="false">
      <c r="A29" s="9" t="s">
        <v>598</v>
      </c>
      <c r="B29" s="9" t="s">
        <v>599</v>
      </c>
      <c r="C29" s="9" t="s">
        <v>600</v>
      </c>
      <c r="D29" s="9" t="s">
        <v>440</v>
      </c>
      <c r="E29" s="9" t="s">
        <v>581</v>
      </c>
      <c r="F29" s="9" t="s">
        <v>601</v>
      </c>
      <c r="G29" s="8" t="s">
        <v>536</v>
      </c>
    </row>
    <row r="30" customFormat="false" ht="15" hidden="false" customHeight="true" outlineLevel="0" collapsed="false">
      <c r="A30" s="7" t="s">
        <v>602</v>
      </c>
      <c r="B30" s="7" t="s">
        <v>603</v>
      </c>
      <c r="C30" s="7" t="s">
        <v>600</v>
      </c>
      <c r="D30" s="7" t="s">
        <v>440</v>
      </c>
      <c r="E30" s="7" t="s">
        <v>581</v>
      </c>
      <c r="F30" s="7" t="s">
        <v>601</v>
      </c>
      <c r="G30" s="8" t="s">
        <v>536</v>
      </c>
    </row>
    <row r="31" customFormat="false" ht="15" hidden="false" customHeight="true" outlineLevel="0" collapsed="false">
      <c r="A31" s="9" t="s">
        <v>604</v>
      </c>
      <c r="B31" s="9" t="s">
        <v>605</v>
      </c>
      <c r="C31" s="9" t="s">
        <v>600</v>
      </c>
      <c r="D31" s="9" t="s">
        <v>440</v>
      </c>
      <c r="E31" s="9" t="s">
        <v>581</v>
      </c>
      <c r="F31" s="9" t="s">
        <v>601</v>
      </c>
      <c r="G31" s="8" t="s">
        <v>536</v>
      </c>
    </row>
    <row r="32" customFormat="false" ht="15" hidden="false" customHeight="true" outlineLevel="0" collapsed="false">
      <c r="A32" s="7" t="s">
        <v>606</v>
      </c>
      <c r="B32" s="7" t="s">
        <v>607</v>
      </c>
      <c r="C32" s="7" t="s">
        <v>600</v>
      </c>
      <c r="D32" s="7" t="s">
        <v>440</v>
      </c>
      <c r="E32" s="7" t="s">
        <v>581</v>
      </c>
      <c r="F32" s="7" t="s">
        <v>601</v>
      </c>
      <c r="G32" s="8" t="s">
        <v>536</v>
      </c>
    </row>
    <row r="33" customFormat="false" ht="15" hidden="false" customHeight="true" outlineLevel="0" collapsed="false">
      <c r="A33" s="9" t="s">
        <v>608</v>
      </c>
      <c r="B33" s="9" t="s">
        <v>609</v>
      </c>
      <c r="C33" s="9" t="s">
        <v>610</v>
      </c>
      <c r="D33" s="9" t="s">
        <v>440</v>
      </c>
      <c r="E33" s="9" t="s">
        <v>611</v>
      </c>
      <c r="F33" s="9" t="s">
        <v>612</v>
      </c>
      <c r="G33" s="8" t="s">
        <v>536</v>
      </c>
    </row>
    <row r="34" customFormat="false" ht="15" hidden="false" customHeight="true" outlineLevel="0" collapsed="false">
      <c r="A34" s="7" t="s">
        <v>613</v>
      </c>
      <c r="B34" s="7" t="s">
        <v>614</v>
      </c>
      <c r="C34" s="7" t="s">
        <v>610</v>
      </c>
      <c r="D34" s="7" t="s">
        <v>440</v>
      </c>
      <c r="E34" s="7" t="s">
        <v>611</v>
      </c>
      <c r="F34" s="7" t="s">
        <v>612</v>
      </c>
      <c r="G34" s="8" t="s">
        <v>536</v>
      </c>
    </row>
    <row r="35" customFormat="false" ht="23.25" hidden="false" customHeight="true" outlineLevel="0" collapsed="false">
      <c r="A35" s="9" t="s">
        <v>615</v>
      </c>
      <c r="B35" s="9" t="s">
        <v>616</v>
      </c>
      <c r="C35" s="9" t="s">
        <v>610</v>
      </c>
      <c r="D35" s="9" t="s">
        <v>440</v>
      </c>
      <c r="E35" s="9" t="s">
        <v>611</v>
      </c>
      <c r="F35" s="9" t="s">
        <v>612</v>
      </c>
      <c r="G35" s="8" t="s">
        <v>536</v>
      </c>
    </row>
    <row r="36" customFormat="false" ht="15" hidden="false" customHeight="true" outlineLevel="0" collapsed="false">
      <c r="A36" s="7" t="s">
        <v>617</v>
      </c>
      <c r="B36" s="7" t="s">
        <v>618</v>
      </c>
      <c r="C36" s="7" t="s">
        <v>610</v>
      </c>
      <c r="D36" s="7" t="s">
        <v>440</v>
      </c>
      <c r="E36" s="7" t="s">
        <v>611</v>
      </c>
      <c r="F36" s="7" t="s">
        <v>612</v>
      </c>
      <c r="G36" s="8" t="s">
        <v>536</v>
      </c>
    </row>
    <row r="37" customFormat="false" ht="15" hidden="false" customHeight="true" outlineLevel="0" collapsed="false">
      <c r="A37" s="9" t="s">
        <v>619</v>
      </c>
      <c r="B37" s="9" t="s">
        <v>620</v>
      </c>
      <c r="C37" s="9" t="s">
        <v>610</v>
      </c>
      <c r="D37" s="9" t="s">
        <v>440</v>
      </c>
      <c r="E37" s="9" t="s">
        <v>611</v>
      </c>
      <c r="F37" s="9" t="s">
        <v>612</v>
      </c>
      <c r="G37" s="8" t="s">
        <v>536</v>
      </c>
    </row>
    <row r="38" customFormat="false" ht="15" hidden="false" customHeight="true" outlineLevel="0" collapsed="false">
      <c r="A38" s="7" t="s">
        <v>621</v>
      </c>
      <c r="B38" s="7" t="s">
        <v>622</v>
      </c>
      <c r="C38" s="7" t="s">
        <v>610</v>
      </c>
      <c r="D38" s="7" t="s">
        <v>440</v>
      </c>
      <c r="E38" s="7" t="s">
        <v>611</v>
      </c>
      <c r="F38" s="7" t="s">
        <v>612</v>
      </c>
      <c r="G38" s="8" t="s">
        <v>536</v>
      </c>
    </row>
    <row r="39" customFormat="false" ht="15" hidden="false" customHeight="true" outlineLevel="0" collapsed="false">
      <c r="A39" s="9" t="s">
        <v>623</v>
      </c>
      <c r="B39" s="9" t="s">
        <v>624</v>
      </c>
      <c r="C39" s="9" t="s">
        <v>625</v>
      </c>
      <c r="D39" s="9" t="s">
        <v>440</v>
      </c>
      <c r="E39" s="9" t="s">
        <v>581</v>
      </c>
      <c r="F39" s="9" t="s">
        <v>626</v>
      </c>
      <c r="G39" s="8" t="s">
        <v>536</v>
      </c>
    </row>
    <row r="40" customFormat="false" ht="15" hidden="false" customHeight="true" outlineLevel="0" collapsed="false">
      <c r="A40" s="7" t="s">
        <v>627</v>
      </c>
      <c r="B40" s="7" t="s">
        <v>628</v>
      </c>
      <c r="C40" s="7" t="s">
        <v>625</v>
      </c>
      <c r="D40" s="7" t="s">
        <v>440</v>
      </c>
      <c r="E40" s="7" t="s">
        <v>581</v>
      </c>
      <c r="F40" s="7" t="s">
        <v>626</v>
      </c>
      <c r="G40" s="8" t="s">
        <v>536</v>
      </c>
    </row>
    <row r="41" customFormat="false" ht="15" hidden="false" customHeight="true" outlineLevel="0" collapsed="false">
      <c r="A41" s="9" t="s">
        <v>629</v>
      </c>
      <c r="B41" s="9" t="s">
        <v>630</v>
      </c>
      <c r="C41" s="9" t="s">
        <v>625</v>
      </c>
      <c r="D41" s="9" t="s">
        <v>440</v>
      </c>
      <c r="E41" s="9" t="s">
        <v>581</v>
      </c>
      <c r="F41" s="9" t="s">
        <v>626</v>
      </c>
      <c r="G41" s="8" t="s">
        <v>536</v>
      </c>
    </row>
    <row r="42" customFormat="false" ht="15" hidden="false" customHeight="true" outlineLevel="0" collapsed="false">
      <c r="A42" s="7" t="s">
        <v>631</v>
      </c>
      <c r="B42" s="7" t="s">
        <v>632</v>
      </c>
      <c r="C42" s="7" t="s">
        <v>625</v>
      </c>
      <c r="D42" s="7" t="s">
        <v>440</v>
      </c>
      <c r="E42" s="7" t="s">
        <v>581</v>
      </c>
      <c r="F42" s="7" t="s">
        <v>626</v>
      </c>
      <c r="G42" s="8" t="s">
        <v>536</v>
      </c>
    </row>
    <row r="43" customFormat="false" ht="15" hidden="false" customHeight="true" outlineLevel="0" collapsed="false">
      <c r="A43" s="9" t="s">
        <v>633</v>
      </c>
      <c r="B43" s="9" t="s">
        <v>634</v>
      </c>
      <c r="C43" s="9" t="s">
        <v>635</v>
      </c>
      <c r="D43" s="9" t="s">
        <v>440</v>
      </c>
      <c r="E43" s="9" t="s">
        <v>636</v>
      </c>
      <c r="F43" s="9" t="s">
        <v>637</v>
      </c>
      <c r="G43" s="8" t="s">
        <v>536</v>
      </c>
    </row>
    <row r="44" customFormat="false" ht="15" hidden="false" customHeight="true" outlineLevel="0" collapsed="false">
      <c r="A44" s="7" t="s">
        <v>638</v>
      </c>
      <c r="B44" s="7" t="s">
        <v>639</v>
      </c>
      <c r="C44" s="7" t="s">
        <v>635</v>
      </c>
      <c r="D44" s="7" t="s">
        <v>440</v>
      </c>
      <c r="E44" s="7" t="s">
        <v>636</v>
      </c>
      <c r="F44" s="7" t="s">
        <v>637</v>
      </c>
      <c r="G44" s="8" t="s">
        <v>536</v>
      </c>
    </row>
    <row r="45" customFormat="false" ht="15" hidden="false" customHeight="true" outlineLevel="0" collapsed="false">
      <c r="A45" s="9" t="s">
        <v>640</v>
      </c>
      <c r="B45" s="9" t="s">
        <v>641</v>
      </c>
      <c r="C45" s="9" t="s">
        <v>635</v>
      </c>
      <c r="D45" s="9" t="s">
        <v>440</v>
      </c>
      <c r="E45" s="9" t="s">
        <v>636</v>
      </c>
      <c r="F45" s="9" t="s">
        <v>637</v>
      </c>
      <c r="G45" s="8" t="s">
        <v>536</v>
      </c>
    </row>
    <row r="46" customFormat="false" ht="15" hidden="false" customHeight="true" outlineLevel="0" collapsed="false">
      <c r="A46" s="7" t="s">
        <v>642</v>
      </c>
      <c r="B46" s="7" t="s">
        <v>643</v>
      </c>
      <c r="C46" s="7" t="s">
        <v>635</v>
      </c>
      <c r="D46" s="7" t="s">
        <v>440</v>
      </c>
      <c r="E46" s="7" t="s">
        <v>636</v>
      </c>
      <c r="F46" s="7" t="s">
        <v>637</v>
      </c>
      <c r="G46" s="8" t="s">
        <v>536</v>
      </c>
    </row>
    <row r="47" customFormat="false" ht="23.25" hidden="false" customHeight="true" outlineLevel="0" collapsed="false">
      <c r="A47" s="9" t="s">
        <v>644</v>
      </c>
      <c r="B47" s="9" t="s">
        <v>645</v>
      </c>
      <c r="C47" s="9" t="s">
        <v>646</v>
      </c>
      <c r="D47" s="9" t="s">
        <v>440</v>
      </c>
      <c r="E47" s="9" t="s">
        <v>37</v>
      </c>
      <c r="F47" s="9" t="s">
        <v>647</v>
      </c>
      <c r="G47" s="8" t="s">
        <v>536</v>
      </c>
    </row>
    <row r="48" customFormat="false" ht="23.25" hidden="false" customHeight="true" outlineLevel="0" collapsed="false">
      <c r="A48" s="7" t="s">
        <v>648</v>
      </c>
      <c r="B48" s="7" t="s">
        <v>649</v>
      </c>
      <c r="C48" s="7" t="s">
        <v>646</v>
      </c>
      <c r="D48" s="7" t="s">
        <v>440</v>
      </c>
      <c r="E48" s="7" t="s">
        <v>37</v>
      </c>
      <c r="F48" s="7" t="s">
        <v>647</v>
      </c>
      <c r="G48" s="8" t="s">
        <v>536</v>
      </c>
    </row>
    <row r="49" customFormat="false" ht="23.25" hidden="false" customHeight="true" outlineLevel="0" collapsed="false">
      <c r="A49" s="9" t="s">
        <v>650</v>
      </c>
      <c r="B49" s="9" t="s">
        <v>651</v>
      </c>
      <c r="C49" s="9" t="s">
        <v>646</v>
      </c>
      <c r="D49" s="9" t="s">
        <v>440</v>
      </c>
      <c r="E49" s="9" t="s">
        <v>37</v>
      </c>
      <c r="F49" s="9" t="s">
        <v>647</v>
      </c>
      <c r="G49" s="8" t="s">
        <v>536</v>
      </c>
    </row>
    <row r="50" customFormat="false" ht="23.25" hidden="false" customHeight="true" outlineLevel="0" collapsed="false">
      <c r="A50" s="7" t="s">
        <v>652</v>
      </c>
      <c r="B50" s="7" t="s">
        <v>653</v>
      </c>
      <c r="C50" s="7" t="s">
        <v>646</v>
      </c>
      <c r="D50" s="7" t="s">
        <v>440</v>
      </c>
      <c r="E50" s="7" t="s">
        <v>37</v>
      </c>
      <c r="F50" s="7" t="s">
        <v>647</v>
      </c>
      <c r="G50" s="8" t="s">
        <v>536</v>
      </c>
    </row>
    <row r="51" customFormat="false" ht="23.25" hidden="false" customHeight="true" outlineLevel="0" collapsed="false">
      <c r="A51" s="9" t="s">
        <v>654</v>
      </c>
      <c r="B51" s="9" t="s">
        <v>655</v>
      </c>
      <c r="C51" s="9" t="s">
        <v>646</v>
      </c>
      <c r="D51" s="9" t="s">
        <v>440</v>
      </c>
      <c r="E51" s="9" t="s">
        <v>37</v>
      </c>
      <c r="F51" s="9" t="s">
        <v>647</v>
      </c>
      <c r="G51" s="8" t="s">
        <v>536</v>
      </c>
    </row>
    <row r="52" customFormat="false" ht="23.25" hidden="false" customHeight="true" outlineLevel="0" collapsed="false">
      <c r="A52" s="7" t="s">
        <v>656</v>
      </c>
      <c r="B52" s="7" t="s">
        <v>657</v>
      </c>
      <c r="C52" s="7" t="s">
        <v>658</v>
      </c>
      <c r="D52" s="7" t="s">
        <v>440</v>
      </c>
      <c r="E52" s="7" t="s">
        <v>37</v>
      </c>
      <c r="F52" s="7" t="s">
        <v>647</v>
      </c>
      <c r="G52" s="8" t="s">
        <v>536</v>
      </c>
    </row>
    <row r="53" customFormat="false" ht="23.25" hidden="false" customHeight="true" outlineLevel="0" collapsed="false">
      <c r="A53" s="9" t="s">
        <v>659</v>
      </c>
      <c r="B53" s="9" t="s">
        <v>660</v>
      </c>
      <c r="C53" s="9" t="s">
        <v>658</v>
      </c>
      <c r="D53" s="9" t="s">
        <v>440</v>
      </c>
      <c r="E53" s="9" t="s">
        <v>37</v>
      </c>
      <c r="F53" s="9" t="s">
        <v>647</v>
      </c>
      <c r="G53" s="8" t="s">
        <v>536</v>
      </c>
    </row>
    <row r="54" customFormat="false" ht="23.25" hidden="false" customHeight="true" outlineLevel="0" collapsed="false">
      <c r="A54" s="7" t="s">
        <v>661</v>
      </c>
      <c r="B54" s="7" t="s">
        <v>662</v>
      </c>
      <c r="C54" s="7" t="s">
        <v>658</v>
      </c>
      <c r="D54" s="7" t="s">
        <v>440</v>
      </c>
      <c r="E54" s="7" t="s">
        <v>37</v>
      </c>
      <c r="F54" s="7" t="s">
        <v>647</v>
      </c>
      <c r="G54" s="8" t="s">
        <v>536</v>
      </c>
    </row>
    <row r="55" customFormat="false" ht="23.25" hidden="false" customHeight="true" outlineLevel="0" collapsed="false">
      <c r="A55" s="9" t="s">
        <v>663</v>
      </c>
      <c r="B55" s="9" t="s">
        <v>664</v>
      </c>
      <c r="C55" s="9" t="s">
        <v>658</v>
      </c>
      <c r="D55" s="9" t="s">
        <v>440</v>
      </c>
      <c r="E55" s="9" t="s">
        <v>37</v>
      </c>
      <c r="F55" s="9" t="s">
        <v>647</v>
      </c>
      <c r="G55" s="8" t="s">
        <v>536</v>
      </c>
    </row>
    <row r="56" customFormat="false" ht="23.25" hidden="false" customHeight="true" outlineLevel="0" collapsed="false">
      <c r="A56" s="7" t="s">
        <v>665</v>
      </c>
      <c r="B56" s="7" t="s">
        <v>666</v>
      </c>
      <c r="C56" s="7" t="s">
        <v>658</v>
      </c>
      <c r="D56" s="7" t="s">
        <v>440</v>
      </c>
      <c r="E56" s="7" t="s">
        <v>37</v>
      </c>
      <c r="F56" s="7" t="s">
        <v>647</v>
      </c>
      <c r="G56" s="8" t="s">
        <v>536</v>
      </c>
    </row>
    <row r="58" customFormat="false" ht="15" hidden="false" customHeight="true" outlineLevel="0" collapsed="false">
      <c r="A58" s="11" t="s">
        <v>667</v>
      </c>
      <c r="B58" s="1" t="n">
        <f aca="false">COUNTIF(D2:D56,"Có")</f>
        <v>0</v>
      </c>
      <c r="D58" s="1" t="s">
        <v>440</v>
      </c>
      <c r="G58" s="13" t="s">
        <v>536</v>
      </c>
    </row>
    <row r="59" customFormat="false" ht="15" hidden="false" customHeight="true" outlineLevel="0" collapsed="false">
      <c r="A59" s="11" t="s">
        <v>668</v>
      </c>
      <c r="B59" s="1" t="n">
        <f aca="false">COUNTIF(D2:D56,"Chưa")</f>
        <v>0</v>
      </c>
      <c r="D59" s="1" t="s">
        <v>440</v>
      </c>
      <c r="G59" s="13" t="s">
        <v>536</v>
      </c>
    </row>
    <row r="60" customFormat="false" ht="15" hidden="false" customHeight="true" outlineLevel="0" collapsed="false">
      <c r="A60" s="1" t="s">
        <v>669</v>
      </c>
      <c r="B60" s="1" t="s">
        <v>670</v>
      </c>
      <c r="C60" s="1" t="s">
        <v>671</v>
      </c>
      <c r="D60" s="1" t="s">
        <v>440</v>
      </c>
      <c r="E60" s="1" t="s">
        <v>672</v>
      </c>
      <c r="F60" s="1" t="s">
        <v>37</v>
      </c>
      <c r="G60" s="1" t="s">
        <v>673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34"/>
    <col collapsed="false" customWidth="true" hidden="false" outlineLevel="0" max="3" min="3" style="1" width="40"/>
    <col collapsed="false" customWidth="true" hidden="false" outlineLevel="0" max="4" min="4" style="1" width="80"/>
    <col collapsed="false" customWidth="true" hidden="false" outlineLevel="0" max="5" min="5" style="1" width="28"/>
    <col collapsed="false" customWidth="true" hidden="false" outlineLevel="0" max="6" min="6" style="1" width="8"/>
    <col collapsed="false" customWidth="true" hidden="false" outlineLevel="0" max="7" min="7" style="1" width="10"/>
    <col collapsed="false" customWidth="true" hidden="false" outlineLevel="0" max="8" min="8" style="1" width="8"/>
    <col collapsed="false" customWidth="true" hidden="false" outlineLevel="0" max="9" min="9" style="1" width="9"/>
    <col collapsed="false" customWidth="true" hidden="false" outlineLevel="0" max="10" min="10" style="1" width="20"/>
    <col collapsed="false" customWidth="true" hidden="false" outlineLevel="0" max="11" min="11" style="1" width="13"/>
  </cols>
  <sheetData>
    <row r="1" customFormat="false" ht="34.5" hidden="false" customHeight="true" outlineLevel="0" collapsed="false">
      <c r="A1" s="6" t="s">
        <v>21</v>
      </c>
      <c r="B1" s="6" t="s">
        <v>674</v>
      </c>
      <c r="C1" s="6" t="s">
        <v>675</v>
      </c>
      <c r="D1" s="6" t="s">
        <v>676</v>
      </c>
      <c r="E1" s="6" t="s">
        <v>677</v>
      </c>
      <c r="F1" s="6" t="s">
        <v>678</v>
      </c>
      <c r="G1" s="6" t="s">
        <v>30</v>
      </c>
      <c r="H1" s="6" t="s">
        <v>679</v>
      </c>
      <c r="I1" s="6" t="s">
        <v>31</v>
      </c>
      <c r="J1" s="6" t="s">
        <v>680</v>
      </c>
      <c r="K1" s="6" t="s">
        <v>681</v>
      </c>
    </row>
    <row r="2" customFormat="false" ht="68.25" hidden="false" customHeight="true" outlineLevel="0" collapsed="false">
      <c r="A2" s="7" t="s">
        <v>682</v>
      </c>
      <c r="B2" s="7" t="s">
        <v>683</v>
      </c>
      <c r="C2" s="7" t="s">
        <v>684</v>
      </c>
      <c r="D2" s="7" t="s">
        <v>685</v>
      </c>
      <c r="E2" s="7" t="s">
        <v>686</v>
      </c>
      <c r="F2" s="7" t="s">
        <v>337</v>
      </c>
      <c r="G2" s="7" t="s">
        <v>54</v>
      </c>
      <c r="H2" s="7" t="n">
        <v>1</v>
      </c>
      <c r="I2" s="7" t="n">
        <v>5</v>
      </c>
      <c r="J2" s="7" t="s">
        <v>687</v>
      </c>
      <c r="K2" s="8" t="s">
        <v>688</v>
      </c>
    </row>
    <row r="3" customFormat="false" ht="90.75" hidden="false" customHeight="true" outlineLevel="0" collapsed="false">
      <c r="A3" s="9" t="s">
        <v>689</v>
      </c>
      <c r="B3" s="9" t="s">
        <v>690</v>
      </c>
      <c r="C3" s="9" t="s">
        <v>691</v>
      </c>
      <c r="D3" s="9" t="s">
        <v>692</v>
      </c>
      <c r="E3" s="9" t="s">
        <v>693</v>
      </c>
      <c r="F3" s="9" t="s">
        <v>337</v>
      </c>
      <c r="G3" s="9" t="s">
        <v>54</v>
      </c>
      <c r="H3" s="9" t="n">
        <v>2</v>
      </c>
      <c r="I3" s="9" t="n">
        <v>4</v>
      </c>
      <c r="J3" s="9" t="s">
        <v>687</v>
      </c>
      <c r="K3" s="8" t="s">
        <v>688</v>
      </c>
    </row>
    <row r="4" customFormat="false" ht="57" hidden="false" customHeight="true" outlineLevel="0" collapsed="false">
      <c r="A4" s="7" t="s">
        <v>694</v>
      </c>
      <c r="B4" s="7" t="s">
        <v>695</v>
      </c>
      <c r="C4" s="7" t="s">
        <v>696</v>
      </c>
      <c r="D4" s="7" t="s">
        <v>697</v>
      </c>
      <c r="E4" s="7" t="s">
        <v>698</v>
      </c>
      <c r="F4" s="7" t="s">
        <v>337</v>
      </c>
      <c r="G4" s="7" t="s">
        <v>699</v>
      </c>
      <c r="H4" s="7" t="n">
        <v>5</v>
      </c>
      <c r="I4" s="7" t="n">
        <v>20</v>
      </c>
      <c r="J4" s="7" t="s">
        <v>700</v>
      </c>
      <c r="K4" s="8" t="s">
        <v>688</v>
      </c>
    </row>
    <row r="5" customFormat="false" ht="68.25" hidden="false" customHeight="true" outlineLevel="0" collapsed="false">
      <c r="A5" s="9" t="s">
        <v>701</v>
      </c>
      <c r="B5" s="9" t="s">
        <v>702</v>
      </c>
      <c r="C5" s="9" t="s">
        <v>703</v>
      </c>
      <c r="D5" s="9" t="s">
        <v>704</v>
      </c>
      <c r="E5" s="9" t="s">
        <v>705</v>
      </c>
      <c r="F5" s="9" t="s">
        <v>337</v>
      </c>
      <c r="G5" s="9" t="s">
        <v>54</v>
      </c>
      <c r="H5" s="9" t="n">
        <v>3</v>
      </c>
      <c r="I5" s="9" t="n">
        <v>6</v>
      </c>
      <c r="J5" s="9" t="s">
        <v>706</v>
      </c>
      <c r="K5" s="8" t="s">
        <v>688</v>
      </c>
    </row>
    <row r="6" customFormat="false" ht="45.75" hidden="false" customHeight="true" outlineLevel="0" collapsed="false">
      <c r="A6" s="7" t="s">
        <v>707</v>
      </c>
      <c r="B6" s="7" t="s">
        <v>708</v>
      </c>
      <c r="C6" s="7" t="s">
        <v>709</v>
      </c>
      <c r="D6" s="7" t="s">
        <v>710</v>
      </c>
      <c r="E6" s="7" t="s">
        <v>711</v>
      </c>
      <c r="F6" s="7" t="s">
        <v>337</v>
      </c>
      <c r="G6" s="7" t="s">
        <v>54</v>
      </c>
      <c r="H6" s="7" t="n">
        <v>4</v>
      </c>
      <c r="I6" s="7" t="n">
        <v>3</v>
      </c>
      <c r="J6" s="7" t="s">
        <v>712</v>
      </c>
      <c r="K6" s="8" t="s">
        <v>688</v>
      </c>
    </row>
    <row r="7" customFormat="false" ht="45.75" hidden="false" customHeight="true" outlineLevel="0" collapsed="false">
      <c r="A7" s="9" t="s">
        <v>713</v>
      </c>
      <c r="B7" s="9" t="s">
        <v>714</v>
      </c>
      <c r="C7" s="9" t="s">
        <v>715</v>
      </c>
      <c r="D7" s="9" t="s">
        <v>716</v>
      </c>
      <c r="E7" s="9" t="s">
        <v>717</v>
      </c>
      <c r="F7" s="9" t="s">
        <v>337</v>
      </c>
      <c r="G7" s="9" t="s">
        <v>54</v>
      </c>
      <c r="H7" s="9" t="n">
        <v>6</v>
      </c>
      <c r="I7" s="9" t="n">
        <v>3</v>
      </c>
      <c r="J7" s="9" t="s">
        <v>718</v>
      </c>
      <c r="K7" s="8" t="s">
        <v>688</v>
      </c>
    </row>
    <row r="8" customFormat="false" ht="57" hidden="false" customHeight="true" outlineLevel="0" collapsed="false">
      <c r="A8" s="7" t="s">
        <v>719</v>
      </c>
      <c r="B8" s="7" t="s">
        <v>720</v>
      </c>
      <c r="C8" s="7" t="s">
        <v>721</v>
      </c>
      <c r="D8" s="7" t="s">
        <v>722</v>
      </c>
      <c r="E8" s="7" t="s">
        <v>723</v>
      </c>
      <c r="F8" s="7" t="s">
        <v>337</v>
      </c>
      <c r="G8" s="7" t="s">
        <v>54</v>
      </c>
      <c r="H8" s="7" t="n">
        <v>7</v>
      </c>
      <c r="I8" s="7" t="n">
        <v>4</v>
      </c>
      <c r="J8" s="7" t="s">
        <v>724</v>
      </c>
      <c r="K8" s="8" t="s">
        <v>688</v>
      </c>
    </row>
    <row r="9" customFormat="false" ht="57" hidden="false" customHeight="true" outlineLevel="0" collapsed="false">
      <c r="A9" s="9" t="s">
        <v>725</v>
      </c>
      <c r="B9" s="9" t="s">
        <v>726</v>
      </c>
      <c r="C9" s="9" t="s">
        <v>727</v>
      </c>
      <c r="D9" s="9" t="s">
        <v>728</v>
      </c>
      <c r="E9" s="9" t="s">
        <v>729</v>
      </c>
      <c r="F9" s="9" t="s">
        <v>337</v>
      </c>
      <c r="G9" s="9" t="s">
        <v>54</v>
      </c>
      <c r="H9" s="9" t="n">
        <v>8</v>
      </c>
      <c r="I9" s="9" t="n">
        <v>3</v>
      </c>
      <c r="J9" s="9" t="s">
        <v>730</v>
      </c>
      <c r="K9" s="8" t="s">
        <v>688</v>
      </c>
    </row>
    <row r="10" customFormat="false" ht="23.25" hidden="false" customHeight="true" outlineLevel="0" collapsed="false">
      <c r="A10" s="7" t="s">
        <v>731</v>
      </c>
      <c r="B10" s="7" t="s">
        <v>732</v>
      </c>
      <c r="C10" s="7" t="s">
        <v>733</v>
      </c>
      <c r="D10" s="7" t="s">
        <v>734</v>
      </c>
      <c r="E10" s="7" t="s">
        <v>735</v>
      </c>
      <c r="F10" s="7" t="s">
        <v>337</v>
      </c>
      <c r="G10" s="7" t="s">
        <v>54</v>
      </c>
      <c r="H10" s="7" t="n">
        <v>5</v>
      </c>
      <c r="I10" s="7" t="n">
        <v>4</v>
      </c>
      <c r="J10" s="7" t="s">
        <v>736</v>
      </c>
      <c r="K10" s="8" t="s">
        <v>688</v>
      </c>
    </row>
    <row r="11" customFormat="false" ht="45.75" hidden="false" customHeight="true" outlineLevel="0" collapsed="false">
      <c r="A11" s="9" t="s">
        <v>163</v>
      </c>
      <c r="B11" s="9" t="s">
        <v>737</v>
      </c>
      <c r="C11" s="9" t="s">
        <v>738</v>
      </c>
      <c r="D11" s="9" t="s">
        <v>739</v>
      </c>
      <c r="E11" s="9" t="s">
        <v>740</v>
      </c>
      <c r="F11" s="9" t="s">
        <v>337</v>
      </c>
      <c r="G11" s="9" t="s">
        <v>104</v>
      </c>
      <c r="H11" s="9" t="n">
        <v>9</v>
      </c>
      <c r="I11" s="9" t="n">
        <v>3</v>
      </c>
      <c r="J11" s="9" t="s">
        <v>741</v>
      </c>
      <c r="K11" s="8" t="s">
        <v>688</v>
      </c>
    </row>
    <row r="12" customFormat="false" ht="45.75" hidden="false" customHeight="true" outlineLevel="0" collapsed="false">
      <c r="A12" s="7" t="s">
        <v>742</v>
      </c>
      <c r="B12" s="7" t="s">
        <v>743</v>
      </c>
      <c r="C12" s="7" t="s">
        <v>744</v>
      </c>
      <c r="D12" s="7" t="s">
        <v>745</v>
      </c>
      <c r="E12" s="7" t="s">
        <v>746</v>
      </c>
      <c r="F12" s="7" t="s">
        <v>337</v>
      </c>
      <c r="G12" s="7" t="s">
        <v>46</v>
      </c>
      <c r="H12" s="7" t="n">
        <v>10</v>
      </c>
      <c r="I12" s="7" t="n">
        <v>4</v>
      </c>
      <c r="J12" s="7" t="s">
        <v>687</v>
      </c>
      <c r="K12" s="8" t="s">
        <v>688</v>
      </c>
    </row>
    <row r="13" customFormat="false" ht="23.25" hidden="false" customHeight="true" outlineLevel="0" collapsed="false">
      <c r="A13" s="9" t="s">
        <v>747</v>
      </c>
      <c r="B13" s="9" t="s">
        <v>748</v>
      </c>
      <c r="C13" s="9" t="s">
        <v>749</v>
      </c>
      <c r="D13" s="9" t="s">
        <v>750</v>
      </c>
      <c r="E13" s="9" t="s">
        <v>751</v>
      </c>
      <c r="F13" s="9" t="s">
        <v>337</v>
      </c>
      <c r="G13" s="9" t="s">
        <v>46</v>
      </c>
      <c r="H13" s="9" t="n">
        <v>12</v>
      </c>
      <c r="I13" s="9" t="n">
        <v>2</v>
      </c>
      <c r="J13" s="9" t="s">
        <v>752</v>
      </c>
      <c r="K13" s="8" t="s">
        <v>688</v>
      </c>
    </row>
    <row r="14" customFormat="false" ht="15" hidden="false" customHeight="true" outlineLevel="0" collapsed="false">
      <c r="A14" s="7" t="s">
        <v>753</v>
      </c>
      <c r="B14" s="7" t="s">
        <v>754</v>
      </c>
      <c r="C14" s="7" t="s">
        <v>755</v>
      </c>
      <c r="D14" s="7" t="s">
        <v>756</v>
      </c>
      <c r="E14" s="7" t="s">
        <v>757</v>
      </c>
      <c r="F14" s="7" t="s">
        <v>337</v>
      </c>
      <c r="G14" s="7" t="s">
        <v>188</v>
      </c>
      <c r="H14" s="7" t="n">
        <v>14</v>
      </c>
      <c r="I14" s="7" t="n">
        <v>2</v>
      </c>
      <c r="J14" s="7" t="s">
        <v>758</v>
      </c>
      <c r="K14" s="8" t="s">
        <v>688</v>
      </c>
    </row>
    <row r="15" customFormat="false" ht="34.5" hidden="false" customHeight="true" outlineLevel="0" collapsed="false">
      <c r="A15" s="9" t="s">
        <v>759</v>
      </c>
      <c r="B15" s="9" t="s">
        <v>760</v>
      </c>
      <c r="C15" s="9" t="s">
        <v>761</v>
      </c>
      <c r="D15" s="9" t="s">
        <v>762</v>
      </c>
      <c r="E15" s="9" t="s">
        <v>763</v>
      </c>
      <c r="F15" s="9" t="s">
        <v>337</v>
      </c>
      <c r="G15" s="9" t="s">
        <v>201</v>
      </c>
      <c r="H15" s="9" t="n">
        <v>11</v>
      </c>
      <c r="I15" s="9" t="n">
        <v>3</v>
      </c>
      <c r="J15" s="9" t="s">
        <v>764</v>
      </c>
      <c r="K15" s="8" t="s">
        <v>688</v>
      </c>
    </row>
    <row r="16" customFormat="false" ht="34.5" hidden="false" customHeight="true" outlineLevel="0" collapsed="false">
      <c r="A16" s="7" t="s">
        <v>765</v>
      </c>
      <c r="B16" s="7" t="s">
        <v>766</v>
      </c>
      <c r="C16" s="7" t="s">
        <v>767</v>
      </c>
      <c r="D16" s="7" t="s">
        <v>768</v>
      </c>
      <c r="E16" s="7" t="s">
        <v>769</v>
      </c>
      <c r="F16" s="7" t="s">
        <v>337</v>
      </c>
      <c r="G16" s="7" t="s">
        <v>54</v>
      </c>
      <c r="H16" s="7" t="n">
        <v>4</v>
      </c>
      <c r="I16" s="7" t="n">
        <v>4</v>
      </c>
      <c r="J16" s="7" t="s">
        <v>770</v>
      </c>
      <c r="K16" s="8" t="s">
        <v>688</v>
      </c>
    </row>
    <row r="17" customFormat="false" ht="23.25" hidden="false" customHeight="true" outlineLevel="0" collapsed="false">
      <c r="A17" s="9" t="s">
        <v>771</v>
      </c>
      <c r="B17" s="9" t="s">
        <v>772</v>
      </c>
      <c r="C17" s="9" t="s">
        <v>773</v>
      </c>
      <c r="D17" s="9" t="s">
        <v>774</v>
      </c>
      <c r="E17" s="9" t="s">
        <v>775</v>
      </c>
      <c r="F17" s="9" t="s">
        <v>337</v>
      </c>
      <c r="G17" s="9" t="s">
        <v>54</v>
      </c>
      <c r="H17" s="9" t="n">
        <v>13</v>
      </c>
      <c r="I17" s="9" t="n">
        <v>2</v>
      </c>
      <c r="J17" s="9" t="s">
        <v>776</v>
      </c>
      <c r="K17" s="8" t="s">
        <v>688</v>
      </c>
    </row>
    <row r="18" customFormat="false" ht="23.25" hidden="false" customHeight="true" outlineLevel="0" collapsed="false">
      <c r="A18" s="7" t="s">
        <v>777</v>
      </c>
      <c r="B18" s="7" t="s">
        <v>778</v>
      </c>
      <c r="C18" s="7" t="s">
        <v>779</v>
      </c>
      <c r="D18" s="7" t="s">
        <v>780</v>
      </c>
      <c r="E18" s="7" t="s">
        <v>781</v>
      </c>
      <c r="F18" s="7" t="s">
        <v>337</v>
      </c>
      <c r="G18" s="7" t="s">
        <v>46</v>
      </c>
      <c r="H18" s="7" t="n">
        <v>15</v>
      </c>
      <c r="I18" s="7" t="n">
        <v>2</v>
      </c>
      <c r="J18" s="7" t="s">
        <v>776</v>
      </c>
      <c r="K18" s="8" t="s">
        <v>688</v>
      </c>
    </row>
    <row r="19" customFormat="false" ht="34.5" hidden="false" customHeight="true" outlineLevel="0" collapsed="false">
      <c r="A19" s="9" t="s">
        <v>782</v>
      </c>
      <c r="B19" s="9" t="s">
        <v>783</v>
      </c>
      <c r="C19" s="9" t="s">
        <v>784</v>
      </c>
      <c r="D19" s="9" t="s">
        <v>785</v>
      </c>
      <c r="E19" s="9" t="s">
        <v>786</v>
      </c>
      <c r="F19" s="9" t="s">
        <v>337</v>
      </c>
      <c r="G19" s="9" t="s">
        <v>54</v>
      </c>
      <c r="H19" s="9" t="n">
        <v>16</v>
      </c>
      <c r="I19" s="9" t="n">
        <v>2</v>
      </c>
      <c r="J19" s="9" t="s">
        <v>770</v>
      </c>
      <c r="K19" s="8" t="s">
        <v>688</v>
      </c>
    </row>
    <row r="20" customFormat="false" ht="23.25" hidden="false" customHeight="true" outlineLevel="0" collapsed="false">
      <c r="A20" s="7" t="s">
        <v>787</v>
      </c>
      <c r="B20" s="7" t="s">
        <v>788</v>
      </c>
      <c r="C20" s="7" t="s">
        <v>789</v>
      </c>
      <c r="D20" s="7" t="s">
        <v>790</v>
      </c>
      <c r="E20" s="7" t="s">
        <v>791</v>
      </c>
      <c r="F20" s="7" t="s">
        <v>337</v>
      </c>
      <c r="G20" s="7" t="s">
        <v>54</v>
      </c>
      <c r="H20" s="7" t="n">
        <v>17</v>
      </c>
      <c r="I20" s="7" t="n">
        <v>1</v>
      </c>
      <c r="J20" s="7" t="s">
        <v>792</v>
      </c>
      <c r="K20" s="8" t="s">
        <v>688</v>
      </c>
    </row>
    <row r="22" customFormat="false" ht="15" hidden="false" customHeight="true" outlineLevel="0" collapsed="false">
      <c r="A22" s="11" t="s">
        <v>793</v>
      </c>
      <c r="B22" s="1" t="n">
        <f aca="false">SUM(I2:I20)</f>
        <v>77</v>
      </c>
      <c r="K22" s="13" t="s">
        <v>688</v>
      </c>
    </row>
    <row r="23" customFormat="false" ht="15" hidden="false" customHeight="true" outlineLevel="0" collapsed="false">
      <c r="A23" s="11" t="s">
        <v>794</v>
      </c>
      <c r="B23" s="1" t="n">
        <f aca="false">ROUND(B22*0.4,0)</f>
        <v>31</v>
      </c>
      <c r="K23" s="13" t="s">
        <v>688</v>
      </c>
    </row>
    <row r="24" customFormat="false" ht="15" hidden="false" customHeight="true" outlineLevel="0" collapsed="false">
      <c r="A24" s="11" t="s">
        <v>795</v>
      </c>
      <c r="B24" s="1" t="n">
        <f aca="false">COUNTIF(K2:K20,"Hoàn thành")</f>
        <v>0</v>
      </c>
      <c r="K24" s="13" t="s">
        <v>688</v>
      </c>
    </row>
  </sheetData>
  <dataValidations count="1">
    <dataValidation allowBlank="true" errorStyle="stop" operator="between" showDropDown="false" showErrorMessage="false" showInputMessage="false" sqref="K2:K20" type="list">
      <formula1>"Chưa bắt đầu,Đang làm,Hoàn thành"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10"/>
  </cols>
  <sheetData>
    <row r="1" customFormat="false" ht="15" hidden="false" customHeight="true" outlineLevel="0" collapsed="false">
      <c r="A1" s="14" t="s">
        <v>796</v>
      </c>
    </row>
    <row r="3" customFormat="false" ht="15" hidden="false" customHeight="true" outlineLevel="0" collapsed="false">
      <c r="A3" s="15" t="s">
        <v>797</v>
      </c>
      <c r="B3" s="15" t="s">
        <v>798</v>
      </c>
      <c r="C3" s="15" t="s">
        <v>799</v>
      </c>
    </row>
    <row r="4" customFormat="false" ht="15" hidden="false" customHeight="true" outlineLevel="0" collapsed="false">
      <c r="A4" s="1" t="s">
        <v>36</v>
      </c>
      <c r="B4" s="1" t="n">
        <f aca="false">COUNTIF('1. Lĩnh vực'!F2:F41,"Đủ")</f>
        <v>40</v>
      </c>
      <c r="C4" s="16" t="n">
        <f aca="false">B4/COUNTA('1. Lĩnh vực'!A2:A41)</f>
        <v>1</v>
      </c>
    </row>
    <row r="5" customFormat="false" ht="15" hidden="false" customHeight="true" outlineLevel="0" collapsed="false">
      <c r="A5" s="1" t="s">
        <v>800</v>
      </c>
      <c r="B5" s="1" t="n">
        <f aca="false">COUNTIF('1. Lĩnh vực'!F2:F41,"Một phần")</f>
        <v>0</v>
      </c>
      <c r="C5" s="16" t="n">
        <f aca="false">B5/COUNTA('1. Lĩnh vực'!A2:A41)</f>
        <v>0</v>
      </c>
    </row>
    <row r="6" customFormat="false" ht="15" hidden="false" customHeight="true" outlineLevel="0" collapsed="false">
      <c r="A6" s="1" t="s">
        <v>801</v>
      </c>
      <c r="B6" s="1" t="n">
        <f aca="false">COUNTIF('1. Lĩnh vực'!F2:F41,"Thiếu")</f>
        <v>0</v>
      </c>
      <c r="C6" s="16" t="n">
        <f aca="false">B6/COUNTA('1. Lĩnh vực'!A2:A41)</f>
        <v>0</v>
      </c>
    </row>
    <row r="7" customFormat="false" ht="15" hidden="false" customHeight="true" outlineLevel="0" collapsed="false">
      <c r="A7" s="1" t="s">
        <v>802</v>
      </c>
      <c r="B7" s="1" t="n">
        <f aca="false">COUNTA('1. Lĩnh vực'!A2:A41)</f>
        <v>40</v>
      </c>
    </row>
    <row r="9" customFormat="false" ht="15" hidden="false" customHeight="true" outlineLevel="0" collapsed="false">
      <c r="A9" s="15" t="s">
        <v>803</v>
      </c>
      <c r="B9" s="15" t="s">
        <v>798</v>
      </c>
    </row>
    <row r="10" customFormat="false" ht="15" hidden="false" customHeight="true" outlineLevel="0" collapsed="false">
      <c r="A10" s="1" t="s">
        <v>804</v>
      </c>
      <c r="B10" s="1" t="n">
        <f aca="false">COUNTIF('1. Lĩnh vực'!E2:E41,1)</f>
        <v>0</v>
      </c>
    </row>
    <row r="11" customFormat="false" ht="15" hidden="false" customHeight="true" outlineLevel="0" collapsed="false">
      <c r="A11" s="1" t="s">
        <v>331</v>
      </c>
      <c r="B11" s="1" t="n">
        <f aca="false">COUNTIF('1. Lĩnh vực'!E2:E41,2)</f>
        <v>0</v>
      </c>
    </row>
    <row r="12" customFormat="false" ht="15" hidden="false" customHeight="true" outlineLevel="0" collapsed="false">
      <c r="A12" s="1" t="s">
        <v>337</v>
      </c>
      <c r="B12" s="1" t="n">
        <f aca="false">COUNTIF('1. Lĩnh vực'!E2:E41,3)</f>
        <v>40</v>
      </c>
    </row>
    <row r="14" customFormat="false" ht="15" hidden="false" customHeight="true" outlineLevel="0" collapsed="false">
      <c r="A14" s="15" t="s">
        <v>805</v>
      </c>
      <c r="B14" s="15" t="s">
        <v>806</v>
      </c>
    </row>
    <row r="15" customFormat="false" ht="15" hidden="false" customHeight="true" outlineLevel="0" collapsed="false">
      <c r="A15" s="1" t="s">
        <v>38</v>
      </c>
      <c r="B15" s="1" t="n">
        <f aca="false">SUMIF('1. Lĩnh vực'!J2:J41,"M0",'1. Lĩnh vực'!K2:K41)</f>
        <v>0</v>
      </c>
    </row>
    <row r="16" customFormat="false" ht="15" hidden="false" customHeight="true" outlineLevel="0" collapsed="false">
      <c r="A16" s="1" t="s">
        <v>54</v>
      </c>
      <c r="B16" s="1" t="n">
        <f aca="false">SUMIF('1. Lĩnh vực'!J2:J41,"M1",'1. Lĩnh vực'!K2:K41)</f>
        <v>74</v>
      </c>
    </row>
    <row r="17" customFormat="false" ht="15" hidden="false" customHeight="true" outlineLevel="0" collapsed="false">
      <c r="A17" s="1" t="s">
        <v>104</v>
      </c>
      <c r="B17" s="1" t="n">
        <f aca="false">SUMIF('1. Lĩnh vực'!J2:J41,"M1–M2",'1. Lĩnh vực'!K2:K41)</f>
        <v>20</v>
      </c>
    </row>
    <row r="18" customFormat="false" ht="15" hidden="false" customHeight="true" outlineLevel="0" collapsed="false">
      <c r="A18" s="1" t="s">
        <v>46</v>
      </c>
      <c r="B18" s="1" t="n">
        <f aca="false">SUMIF('1. Lĩnh vực'!J2:J41,"M2",'1. Lĩnh vực'!K2:K41)</f>
        <v>30</v>
      </c>
    </row>
    <row r="19" customFormat="false" ht="15" hidden="false" customHeight="true" outlineLevel="0" collapsed="false">
      <c r="A19" s="1" t="s">
        <v>201</v>
      </c>
      <c r="B19" s="1" t="n">
        <f aca="false">SUMIF('1. Lĩnh vực'!J2:J41,"M3",'1. Lĩnh vực'!K2:K41)</f>
        <v>3</v>
      </c>
    </row>
    <row r="20" customFormat="false" ht="15" hidden="false" customHeight="true" outlineLevel="0" collapsed="false">
      <c r="A20" s="1" t="s">
        <v>188</v>
      </c>
      <c r="B20" s="1" t="n">
        <f aca="false">SUMIF('1. Lĩnh vực'!J2:J41,"M4",'1. Lĩnh vực'!K2:K41)</f>
        <v>2</v>
      </c>
    </row>
    <row r="21" customFormat="false" ht="15" hidden="false" customHeight="true" outlineLevel="0" collapsed="false">
      <c r="A21" s="1" t="s">
        <v>807</v>
      </c>
      <c r="B21" s="1" t="n">
        <f aca="false">SUM('1. Lĩnh vực'!K2:K41)</f>
        <v>129</v>
      </c>
    </row>
    <row r="23" customFormat="false" ht="15" hidden="false" customHeight="true" outlineLevel="0" collapsed="false">
      <c r="A23" s="15" t="s">
        <v>808</v>
      </c>
      <c r="B23" s="15" t="s">
        <v>798</v>
      </c>
    </row>
    <row r="24" customFormat="false" ht="15" hidden="false" customHeight="true" outlineLevel="0" collapsed="false">
      <c r="A24" s="1" t="s">
        <v>53</v>
      </c>
      <c r="B24" s="1" t="n">
        <f aca="false">COUNTIF('1. Lĩnh vực'!I2:I41,"M")</f>
        <v>25</v>
      </c>
    </row>
    <row r="25" customFormat="false" ht="15" hidden="false" customHeight="true" outlineLevel="0" collapsed="false">
      <c r="A25" s="1" t="s">
        <v>73</v>
      </c>
      <c r="B25" s="1" t="n">
        <f aca="false">COUNTIF('1. Lĩnh vực'!I2:I41,"S")</f>
        <v>9</v>
      </c>
    </row>
    <row r="26" customFormat="false" ht="15" hidden="false" customHeight="true" outlineLevel="0" collapsed="false">
      <c r="A26" s="1" t="s">
        <v>45</v>
      </c>
      <c r="B26" s="1" t="n">
        <f aca="false">COUNTIF('1. Lĩnh vực'!I2:I41,"C")</f>
        <v>4</v>
      </c>
    </row>
    <row r="28" customFormat="false" ht="15" hidden="false" customHeight="true" outlineLevel="0" collapsed="false">
      <c r="A28" s="15" t="s">
        <v>809</v>
      </c>
      <c r="B28" s="15" t="s">
        <v>810</v>
      </c>
    </row>
    <row r="29" customFormat="false" ht="15" hidden="false" customHeight="true" outlineLevel="0" collapsed="false">
      <c r="A29" s="1" t="s">
        <v>811</v>
      </c>
      <c r="B29" s="1" t="n">
        <f aca="false">COUNTA('6. Tài liệu bổ sung'!A2:A20)</f>
        <v>19</v>
      </c>
    </row>
    <row r="30" customFormat="false" ht="15" hidden="false" customHeight="true" outlineLevel="0" collapsed="false">
      <c r="A30" s="1" t="s">
        <v>793</v>
      </c>
      <c r="B30" s="1" t="n">
        <f aca="false">SUM('6. Tài liệu bổ sung'!I2:I20)</f>
        <v>77</v>
      </c>
    </row>
    <row r="31" customFormat="false" ht="15" hidden="false" customHeight="true" outlineLevel="0" collapsed="false">
      <c r="A31" s="1" t="s">
        <v>812</v>
      </c>
      <c r="B31" s="1" t="n">
        <f aca="false">COUNTIF('6. Tài liệu bổ sung'!G2:G20,"M1*")</f>
        <v>14</v>
      </c>
    </row>
    <row r="32" customFormat="false" ht="15" hidden="false" customHeight="true" outlineLevel="0" collapsed="false">
      <c r="A32" s="1" t="s">
        <v>795</v>
      </c>
      <c r="B32" s="1" t="n">
        <f aca="false">COUNTIF('6. Tài liệu bổ sung'!K2:K20,"Hoàn thành*")</f>
        <v>19</v>
      </c>
    </row>
    <row r="33" customFormat="false" ht="15" hidden="false" customHeight="true" outlineLevel="0" collapsed="false">
      <c r="A33" s="1" t="s">
        <v>813</v>
      </c>
      <c r="B33" s="16" t="n">
        <f aca="false">B32/B29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2026-09-05T21:58:22Z</dcterms:created>
  <dc:creator>openpyxl</dc:creator>
  <dc:description/>
  <dc:language>en-US</dc:language>
  <cp:lastModifiedBy/>
  <dcterms:modified xsi:type="dcterms:W3CDTF">2026-09-05T23:01:55Z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