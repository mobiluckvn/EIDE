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Hướng dẫn" sheetId="1" state="visible" r:id="rId3"/>
    <sheet name="1. Danh mục năng lực" sheetId="2" state="visible" r:id="rId4"/>
    <sheet name="2. Thống kê" sheetId="3" state="visible" r:id="rId5"/>
    <sheet name="3. Theo vòng đời"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<sst xmlns="http://schemas.openxmlformats.org/spreadsheetml/2006/main" count="3211" uniqueCount="1319">
  <si>
    <t xml:space="preserve">EIDE — DANH MỤC NĂNG LỰC ĐẦY ĐỦ (CAPABILITY CATALOG)</t>
  </si>
  <si>
    <t xml:space="preserve">Đề án tốt nghiệp Thạc sĩ ngành Kỹ thuật Điện tử — Học viện Công nghệ Bưu chính Viễn thông (PTIT) · Học viên: Vũ Trí Công · Người hướng dẫn: TS. Nguyễn Trung Hiếu</t>
  </si>
  <si>
    <t xml:space="preserve">Mọi chức năng phần mềm là một năng lực có hợp đồng; tác tử hiểu lệnh → đối chiếu trạng thái → lập chuỗi → gọi năng lực theo chính sách tự chủ (EIDE-APD-08, DPS-09). 05/09/2026 · Vũ Trí Công (hỗ trợ: Claude)</t>
  </si>
  <si>
    <t xml:space="preserve">Cột</t>
  </si>
  <si>
    <t xml:space="preserve">Mã / Nhóm: không gian tên của năng lực (project, memory, archive, search, extract, passport, kg, board, env, plan, code, sim, target, debug, measure, bench, registry, report, policy, chat, req, arch, diagram, doc, view, discover, tool).</t>
  </si>
  <si>
    <t xml:space="preserve">Lớp rủi ro R0 đọc · R1 ghi tri thức · R2 ghi mã · R3 phần cứng lab · R4 không hoàn tác/vật lý (APD §3).</t>
  </si>
  <si>
    <t xml:space="preserve">Mức: T1 AI làm trọn · T1* tự làm khi chính sách đủ bằng chứng, nếu không hỏi · T2 AI làm — người duyệt · T3 người làm.</t>
  </si>
  <si>
    <t xml:space="preserve">Grounding: điều tác tử phải đối chiếu trước khi gọi. Hỏi kỹ sư khi: điều kiện chuyển sang hỏi. Trạng thái M0: đã có trong hkw-core hay chưa.</t>
  </si>
  <si>
    <t xml:space="preserve">Sheet 2 thống kê bằng công thức theo nhóm/mức/lớp rủi ro/trạng thái. Sheet 3 xếp năng lực theo vòng đời kỹ nghệ (yêu cầu → kiến trúc → thiết kế → mã → kiểm thử → tài liệu).</t>
  </si>
  <si>
    <t xml:space="preserve">Bổ sung 05/09 (v1.2): nhóm tool (tác tử tự viết công cụ Python và chạy — năng lực gốc sinh năng lực khác); (v1.1): nhóm req (phân tích yêu cầu), view (bản đồ tri thức, RAG), discover (dò board, probe, tốc độ kết nối), arch (thiết kế kiến trúc), diagram (vẽ lược đồ bằng ngôn ngữ GEditor hỗ trợ: Mermaid, PlantUML, Graphviz/DOT, D2, WaveDrom, SVG), doc (viết tài liệu theo chuẩn bộ EAA/EIDE).</t>
  </si>
  <si>
    <t xml:space="preserve">Mã</t>
  </si>
  <si>
    <t xml:space="preserve">Nhóm</t>
  </si>
  <si>
    <t xml:space="preserve">Năng lực</t>
  </si>
  <si>
    <t xml:space="preserve">Mô tả</t>
  </si>
  <si>
    <t xml:space="preserve">Tham số vào</t>
  </si>
  <si>
    <t xml:space="preserve">Kết quả ra</t>
  </si>
  <si>
    <t xml:space="preserve">Lớp rủi ro</t>
  </si>
  <si>
    <t xml:space="preserve">Mức</t>
  </si>
  <si>
    <t xml:space="preserve">Grounding / tiền điều kiện</t>
  </si>
  <si>
    <t xml:space="preserve">Hỏi kỹ sư khi</t>
  </si>
  <si>
    <t xml:space="preserve">UC / tham chiếu</t>
  </si>
  <si>
    <t xml:space="preserve">Mốc</t>
  </si>
  <si>
    <t xml:space="preserve">Trạng thái M0</t>
  </si>
  <si>
    <t xml:space="preserve">PROJECT-01</t>
  </si>
  <si>
    <t xml:space="preserve">project</t>
  </si>
  <si>
    <t xml:space="preserve">project.create</t>
  </si>
  <si>
    <t xml:space="preserve">Tạo dự án từ câu lệnh; suy ra tên/mô tả/đường dẫn/chip; áp mặc định</t>
  </si>
  <si>
    <t xml:space="preserve">text, docs_path?, chip?, autonomy?</t>
  </si>
  <si>
    <t xml:space="preserve">project_id, .hkw/</t>
  </si>
  <si>
    <t xml:space="preserve">R2</t>
  </si>
  <si>
    <t xml:space="preserve">T1</t>
  </si>
  <si>
    <t xml:space="preserve">Kiểm trùng tên/gần giống; mẫu tham chiếu</t>
  </si>
  <si>
    <t xml:space="preserve">Trùng tên đúng; ghi đè</t>
  </si>
  <si>
    <t xml:space="preserve">UC-A01</t>
  </si>
  <si>
    <t xml:space="preserve">M0</t>
  </si>
  <si>
    <t xml:space="preserve">có (init)</t>
  </si>
  <si>
    <t xml:space="preserve">PROJECT-02</t>
  </si>
  <si>
    <t xml:space="preserve">project.open</t>
  </si>
  <si>
    <t xml:space="preserve">Mở dự án đã có; kiểm hash store; tái dựng đồ thị</t>
  </si>
  <si>
    <t xml:space="preserve">project_id|path</t>
  </si>
  <si>
    <t xml:space="preserve">state summary</t>
  </si>
  <si>
    <t xml:space="preserve">R0</t>
  </si>
  <si>
    <t xml:space="preserve">Hash store hợp lệ</t>
  </si>
  <si>
    <t xml:space="preserve">Hash lệch (ghi ngoài cổng)</t>
  </si>
  <si>
    <t xml:space="preserve">UC-A06</t>
  </si>
  <si>
    <t xml:space="preserve">có</t>
  </si>
  <si>
    <t xml:space="preserve">PROJECT-03</t>
  </si>
  <si>
    <t xml:space="preserve">project.list</t>
  </si>
  <si>
    <t xml:space="preserve">Liệt kê dự án trong workspace với ngày, board, tiến độ</t>
  </si>
  <si>
    <t xml:space="preserve">—</t>
  </si>
  <si>
    <t xml:space="preserve">projects[]</t>
  </si>
  <si>
    <t xml:space="preserve">Z-02</t>
  </si>
  <si>
    <t xml:space="preserve">M1</t>
  </si>
  <si>
    <t xml:space="preserve">chưa</t>
  </si>
  <si>
    <t xml:space="preserve">PROJECT-04</t>
  </si>
  <si>
    <t xml:space="preserve">project.clone</t>
  </si>
  <si>
    <t xml:space="preserve">Nhân bản dự án thành dự án mới (giữ tri thức, bỏ ledger)</t>
  </si>
  <si>
    <t xml:space="preserve">src, new_name</t>
  </si>
  <si>
    <t xml:space="preserve">project_id</t>
  </si>
  <si>
    <t xml:space="preserve">M2</t>
  </si>
  <si>
    <t xml:space="preserve">PROJECT-05</t>
  </si>
  <si>
    <t xml:space="preserve">project.archive</t>
  </si>
  <si>
    <t xml:space="preserve">Lưu trữ/đóng dự án (không xóa)</t>
  </si>
  <si>
    <t xml:space="preserve">Xóa thật sự (R4)</t>
  </si>
  <si>
    <t xml:space="preserve">Z-08</t>
  </si>
  <si>
    <t xml:space="preserve">PROJECT-06</t>
  </si>
  <si>
    <t xml:space="preserve">project.set_target</t>
  </si>
  <si>
    <t xml:space="preserve">Đặt/suy ra ISA, chip, board; ghim phiên bản hộ chiếu</t>
  </si>
  <si>
    <t xml:space="preserve">chip?, isa?, board?</t>
  </si>
  <si>
    <t xml:space="preserve">pins</t>
  </si>
  <si>
    <t xml:space="preserve">Hộ chiếu có trong store/registry</t>
  </si>
  <si>
    <t xml:space="preserve">Tài liệu nêu &gt;1 chip</t>
  </si>
  <si>
    <t xml:space="preserve">UC-A02</t>
  </si>
  <si>
    <t xml:space="preserve">một phần</t>
  </si>
  <si>
    <t xml:space="preserve">PROJECT-07</t>
  </si>
  <si>
    <t xml:space="preserve">project.rollback</t>
  </si>
  <si>
    <t xml:space="preserve">Về known-good gần nhất hoặc tag chỉ định</t>
  </si>
  <si>
    <t xml:space="preserve">tag?</t>
  </si>
  <si>
    <t xml:space="preserve">state</t>
  </si>
  <si>
    <t xml:space="preserve">Có tag</t>
  </si>
  <si>
    <t xml:space="preserve">UC-D06</t>
  </si>
  <si>
    <t xml:space="preserve">PROJECT-08</t>
  </si>
  <si>
    <t xml:space="preserve">project.status</t>
  </si>
  <si>
    <t xml:space="preserve">Tổng hợp tiến độ, feature, gate mở, chi phí</t>
  </si>
  <si>
    <t xml:space="preserve">report</t>
  </si>
  <si>
    <t xml:space="preserve">PROJECT-09</t>
  </si>
  <si>
    <t xml:space="preserve">project.preferences</t>
  </si>
  <si>
    <t xml:space="preserve">Ghi/đọc tùy chọn đã học từ câu trả lời của kỹ sư</t>
  </si>
  <si>
    <t xml:space="preserve">key, value?</t>
  </si>
  <si>
    <t xml:space="preserve">prefs</t>
  </si>
  <si>
    <t xml:space="preserve">R1</t>
  </si>
  <si>
    <t xml:space="preserve">D8</t>
  </si>
  <si>
    <t xml:space="preserve">MEMORY-01</t>
  </si>
  <si>
    <t xml:space="preserve">memory</t>
  </si>
  <si>
    <t xml:space="preserve">memory.compose</t>
  </si>
  <si>
    <t xml:space="preserve">Ghép ngữ cảnh 7 lớp K1–K7 theo vai trò và tác vụ; kiểm ngân sách token</t>
  </si>
  <si>
    <t xml:space="preserve">role, task</t>
  </si>
  <si>
    <t xml:space="preserve">context ≤ budget</t>
  </si>
  <si>
    <t xml:space="preserve">FR-AGT-02</t>
  </si>
  <si>
    <t xml:space="preserve">thiết kế</t>
  </si>
  <si>
    <t xml:space="preserve">MEMORY-02</t>
  </si>
  <si>
    <t xml:space="preserve">memory.compress</t>
  </si>
  <si>
    <t xml:space="preserve">Nén ngữ cảnh: tóm tắt lịch sử, lọc log theo mẫu, rút gọn fact</t>
  </si>
  <si>
    <t xml:space="preserve">context</t>
  </si>
  <si>
    <t xml:space="preserve">context'</t>
  </si>
  <si>
    <t xml:space="preserve">MEMORY-03</t>
  </si>
  <si>
    <t xml:space="preserve">memory.retrieve</t>
  </si>
  <si>
    <t xml:space="preserve">Truy hồi Graph-RAG: lan tỏa 2 bước từ subject rồi lấy văn bản</t>
  </si>
  <si>
    <t xml:space="preserve">subjects[], k</t>
  </si>
  <si>
    <t xml:space="preserve">facts, snippets</t>
  </si>
  <si>
    <t xml:space="preserve">FR-PSP-06</t>
  </si>
  <si>
    <t xml:space="preserve">một phần (KG)</t>
  </si>
  <si>
    <t xml:space="preserve">MEMORY-04</t>
  </si>
  <si>
    <t xml:space="preserve">memory.progress</t>
  </si>
  <si>
    <t xml:space="preserve">Ghi/đọc PROGRESS.md, FEATURES.json (harness dài hạn)</t>
  </si>
  <si>
    <t xml:space="preserve">entry?</t>
  </si>
  <si>
    <t xml:space="preserve">progress</t>
  </si>
  <si>
    <t xml:space="preserve">FR-GOV-03</t>
  </si>
  <si>
    <t xml:space="preserve">MEMORY-05</t>
  </si>
  <si>
    <t xml:space="preserve">memory.ledger</t>
  </si>
  <si>
    <t xml:space="preserve">Ghi nhật ký bất biến: gate, tool, model call, quyết định tự động</t>
  </si>
  <si>
    <t xml:space="preserve">record</t>
  </si>
  <si>
    <t xml:space="preserve">FR-LLM-04</t>
  </si>
  <si>
    <t xml:space="preserve">MEMORY-06</t>
  </si>
  <si>
    <t xml:space="preserve">memory.error_ledger</t>
  </si>
  <si>
    <t xml:space="preserve">Sổ lỗi: ghi lỗi ảo giác/từ chối; đưa vào prompt phủ định</t>
  </si>
  <si>
    <t xml:space="preserve">error</t>
  </si>
  <si>
    <t xml:space="preserve">FR-KB-03 (EAA)</t>
  </si>
  <si>
    <t xml:space="preserve">MEMORY-07</t>
  </si>
  <si>
    <t xml:space="preserve">memory.forget</t>
  </si>
  <si>
    <t xml:space="preserve">Xóa mềm/hết hạn ngữ cảnh tạm, cache; không xóa fact</t>
  </si>
  <si>
    <t xml:space="preserve">scope</t>
  </si>
  <si>
    <t xml:space="preserve">Xóa tri thức đã duyệt (R4)</t>
  </si>
  <si>
    <t xml:space="preserve">KAD §6.7</t>
  </si>
  <si>
    <t xml:space="preserve">MEMORY-08</t>
  </si>
  <si>
    <t xml:space="preserve">memory.summarize_session</t>
  </si>
  <si>
    <t xml:space="preserve">Tóm tắt phiên: đã làm gì, chờ gì, bước tiếp</t>
  </si>
  <si>
    <t xml:space="preserve">summary</t>
  </si>
  <si>
    <t xml:space="preserve">ARCHIVE-01</t>
  </si>
  <si>
    <t xml:space="preserve">archive</t>
  </si>
  <si>
    <t xml:space="preserve">archive.list</t>
  </si>
  <si>
    <t xml:space="preserve">Liệt kê nội dung zip/7z/rar/tar/gz không giải nén toàn bộ</t>
  </si>
  <si>
    <t xml:space="preserve">path</t>
  </si>
  <si>
    <t xml:space="preserve">entries[]</t>
  </si>
  <si>
    <t xml:space="preserve">UC-B01</t>
  </si>
  <si>
    <t xml:space="preserve">zip/tar có</t>
  </si>
  <si>
    <t xml:space="preserve">ARCHIVE-02</t>
  </si>
  <si>
    <t xml:space="preserve">archive.unpack</t>
  </si>
  <si>
    <t xml:space="preserve">Giải nén đệ quy có giới hạn (≤5 cấp, ≤2 GB), chống zip-slip, sandbox</t>
  </si>
  <si>
    <t xml:space="preserve">path, limits</t>
  </si>
  <si>
    <t xml:space="preserve">files[]</t>
  </si>
  <si>
    <t xml:space="preserve">Có mật khẩu; vượt giới hạn</t>
  </si>
  <si>
    <t xml:space="preserve">zip/tar có; rar/7z chưa</t>
  </si>
  <si>
    <t xml:space="preserve">ARCHIVE-03</t>
  </si>
  <si>
    <t xml:space="preserve">archive.extract_one</t>
  </si>
  <si>
    <t xml:space="preserve">Lấy một tệp bên trong theo đường dẫn/mẫu</t>
  </si>
  <si>
    <t xml:space="preserve">path, member</t>
  </si>
  <si>
    <t xml:space="preserve">file</t>
  </si>
  <si>
    <t xml:space="preserve">ARCHIVE-04</t>
  </si>
  <si>
    <t xml:space="preserve">archive.query</t>
  </si>
  <si>
    <t xml:space="preserve">Tìm bên trong kho nén theo tên/kiểu/nội dung (grep, chữ ký)</t>
  </si>
  <si>
    <t xml:space="preserve">path, pattern</t>
  </si>
  <si>
    <t xml:space="preserve">matches[]</t>
  </si>
  <si>
    <t xml:space="preserve">ARCHIVE-05</t>
  </si>
  <si>
    <t xml:space="preserve">ingest.classify</t>
  </si>
  <si>
    <t xml:space="preserve">Phân loại tệp theo chữ ký nội dung → loại, tầng, extractor</t>
  </si>
  <si>
    <t xml:space="preserve">classification</t>
  </si>
  <si>
    <t xml:space="preserve">ARCHIVE-06</t>
  </si>
  <si>
    <t xml:space="preserve">ingest.hash_dedupe</t>
  </si>
  <si>
    <t xml:space="preserve">sha256, phát hiện trùng với Source đã có</t>
  </si>
  <si>
    <t xml:space="preserve">new/dup</t>
  </si>
  <si>
    <t xml:space="preserve">ARCHIVE-07</t>
  </si>
  <si>
    <t xml:space="preserve">ingest.index_text</t>
  </si>
  <si>
    <t xml:space="preserve">Lập chỉ mục văn bản (BM25) cho tài liệu ngữ cảnh không sinh fact</t>
  </si>
  <si>
    <t xml:space="preserve">index</t>
  </si>
  <si>
    <t xml:space="preserve">SEARCH-01</t>
  </si>
  <si>
    <t xml:space="preserve">search</t>
  </si>
  <si>
    <t xml:space="preserve">search.registry</t>
  </si>
  <si>
    <t xml:space="preserve">Tìm gói/hộ chiếu/mẫu tham chiếu trong registry</t>
  </si>
  <si>
    <t xml:space="preserve">query</t>
  </si>
  <si>
    <t xml:space="preserve">candidates[]</t>
  </si>
  <si>
    <t xml:space="preserve">UC-B08</t>
  </si>
  <si>
    <t xml:space="preserve">M4</t>
  </si>
  <si>
    <t xml:space="preserve">SEARCH-02</t>
  </si>
  <si>
    <t xml:space="preserve">search.vendor</t>
  </si>
  <si>
    <t xml:space="preserve">Tìm trong kho hãng theo mẫu URL đã biết (CMSIS pack, Microchip pack, ST, Bosch…)</t>
  </si>
  <si>
    <t xml:space="preserve">part</t>
  </si>
  <si>
    <t xml:space="preserve">SEARCH-03</t>
  </si>
  <si>
    <t xml:space="preserve">search.docs_mcp</t>
  </si>
  <si>
    <t xml:space="preserve">Hỏi docs MCP của hãng (Espressif, Nordic) → đoạn trích + URL + ngày</t>
  </si>
  <si>
    <t xml:space="preserve">query, vendor</t>
  </si>
  <si>
    <t xml:space="preserve">snippets[]</t>
  </si>
  <si>
    <t xml:space="preserve">SEARCH-04</t>
  </si>
  <si>
    <t xml:space="preserve">search.web</t>
  </si>
  <si>
    <t xml:space="preserve">Tìm web nhiều nguồn (datasheet, SVD, repo, errata, forum); ưu tiên tên miền hãng; không tải</t>
  </si>
  <si>
    <t xml:space="preserve">query, kinds[]</t>
  </si>
  <si>
    <t xml:space="preserve">Có Internet</t>
  </si>
  <si>
    <t xml:space="preserve">SEARCH-05</t>
  </si>
  <si>
    <t xml:space="preserve">search.rank</t>
  </si>
  <si>
    <t xml:space="preserve">Xếp hạng ứng viên theo tầng dự kiến, tên miền, hash/license, khớp mã linh kiện</t>
  </si>
  <si>
    <t xml:space="preserve">ranked[]</t>
  </si>
  <si>
    <t xml:space="preserve">SEARCH-06</t>
  </si>
  <si>
    <t xml:space="preserve">search.fetch</t>
  </si>
  <si>
    <t xml:space="preserve">Tải ứng viên (giới hạn dung lượng), hash, phát hiện license</t>
  </si>
  <si>
    <t xml:space="preserve">candidate</t>
  </si>
  <si>
    <t xml:space="preserve">Source</t>
  </si>
  <si>
    <t xml:space="preserve">Theo chính sách G-SRC</t>
  </si>
  <si>
    <t xml:space="preserve">Ngoài danh sách tin cậy; license không rõ; tệp lớn</t>
  </si>
  <si>
    <t xml:space="preserve">UC-B09</t>
  </si>
  <si>
    <t xml:space="preserve">SEARCH-07</t>
  </si>
  <si>
    <t xml:space="preserve">search.verify_match</t>
  </si>
  <si>
    <t xml:space="preserve">Tóm tắt tài liệu vừa tải và kiểm có đúng linh kiện/phiên bản không</t>
  </si>
  <si>
    <t xml:space="preserve">Source, part</t>
  </si>
  <si>
    <t xml:space="preserve">match score</t>
  </si>
  <si>
    <t xml:space="preserve">Không khớp</t>
  </si>
  <si>
    <t xml:space="preserve">SEARCH-08</t>
  </si>
  <si>
    <t xml:space="preserve">search.missing</t>
  </si>
  <si>
    <t xml:space="preserve">Từ tác vụ, liệt kê tri thức còn thiếu và tạo yêu cầu (sufficiency check)</t>
  </si>
  <si>
    <t xml:space="preserve">task</t>
  </si>
  <si>
    <t xml:space="preserve">requests[]</t>
  </si>
  <si>
    <t xml:space="preserve">UC-B07, UC-H02</t>
  </si>
  <si>
    <t xml:space="preserve">SEARCH-09</t>
  </si>
  <si>
    <t xml:space="preserve">search.reference_projects</t>
  </si>
  <si>
    <t xml:space="preserve">Tìm mẫu dự án tham chiếu cho một ý tưởng (robot cân bằng…) trong registry rồi web</t>
  </si>
  <si>
    <t xml:space="preserve">idea</t>
  </si>
  <si>
    <t xml:space="preserve">templates[]</t>
  </si>
  <si>
    <t xml:space="preserve">Z-01</t>
  </si>
  <si>
    <t xml:space="preserve">EXTRACT-01</t>
  </si>
  <si>
    <t xml:space="preserve">extract</t>
  </si>
  <si>
    <t xml:space="preserve">extract.svd</t>
  </si>
  <si>
    <t xml:space="preserve">SVD → hộ chiếu chip (derivedFrom, dim, cluster, enum)</t>
  </si>
  <si>
    <t xml:space="preserve">facts</t>
  </si>
  <si>
    <t xml:space="preserve">UC-B03</t>
  </si>
  <si>
    <t xml:space="preserve">EXTRACT-02</t>
  </si>
  <si>
    <t xml:space="preserve">extract.atdf</t>
  </si>
  <si>
    <t xml:space="preserve">ATDF (Microchip) → hộ chiếu</t>
  </si>
  <si>
    <t xml:space="preserve">EXTRACT-03</t>
  </si>
  <si>
    <t xml:space="preserve">extract.edc</t>
  </si>
  <si>
    <t xml:space="preserve">EDC/.PIC → hộ chiếu</t>
  </si>
  <si>
    <t xml:space="preserve">EXTRACT-04</t>
  </si>
  <si>
    <t xml:space="preserve">extract.header_c</t>
  </si>
  <si>
    <t xml:space="preserve">Header C chính hãng → địa chỉ/bit (đối chiếu SVD)</t>
  </si>
  <si>
    <t xml:space="preserve">EXTRACT-05</t>
  </si>
  <si>
    <t xml:space="preserve">extract.dt_binding</t>
  </si>
  <si>
    <t xml:space="preserve">Devicetree binding YAML → thuộc tính bắt buộc</t>
  </si>
  <si>
    <t xml:space="preserve">EXTRACT-06</t>
  </si>
  <si>
    <t xml:space="preserve">extract.pdf_layout</t>
  </si>
  <si>
    <t xml:space="preserve">Bố cục PDF: chương, bảng, hình, bbox (Docling/pdfplumber)</t>
  </si>
  <si>
    <t xml:space="preserve">pdf</t>
  </si>
  <si>
    <t xml:space="preserve">blocks[]</t>
  </si>
  <si>
    <t xml:space="preserve">UC-B04</t>
  </si>
  <si>
    <t xml:space="preserve">EXTRACT-07</t>
  </si>
  <si>
    <t xml:space="preserve">extract.pdf_register_map</t>
  </si>
  <si>
    <t xml:space="preserve">Bảng thanh ghi/bit-field từ PDF → fact có trang/bbox</t>
  </si>
  <si>
    <t xml:space="preserve">pdf, blocks</t>
  </si>
  <si>
    <t xml:space="preserve">confidence &lt; ngưỡng</t>
  </si>
  <si>
    <t xml:space="preserve">EXTRACT-08</t>
  </si>
  <si>
    <t xml:space="preserve">extract.pdf_electrical</t>
  </si>
  <si>
    <t xml:space="preserve">Thông số điện, timing, nhiệt → fact (tầng bạc, luôn cần duyệt)</t>
  </si>
  <si>
    <t xml:space="preserve">T2</t>
  </si>
  <si>
    <t xml:space="preserve">Luôn (an toàn)</t>
  </si>
  <si>
    <t xml:space="preserve">EXTRACT-09</t>
  </si>
  <si>
    <t xml:space="preserve">extract.pdf_pinout</t>
  </si>
  <si>
    <t xml:space="preserve">Pinout/package từ bảng hoặc hình → pin function</t>
  </si>
  <si>
    <t xml:space="preserve">Từ hình</t>
  </si>
  <si>
    <t xml:space="preserve">EXTRACT-10</t>
  </si>
  <si>
    <t xml:space="preserve">extract.pdf_errata</t>
  </si>
  <si>
    <t xml:space="preserve">Errata → overlay K2′ với điều kiện áp dụng</t>
  </si>
  <si>
    <t xml:space="preserve">Luôn</t>
  </si>
  <si>
    <t xml:space="preserve">EXTRACT-11</t>
  </si>
  <si>
    <t xml:space="preserve">extract.pdf_formula</t>
  </si>
  <si>
    <t xml:space="preserve">Công thức/thuật toán (ví dụ bù nhiệt BME280) → skill dự án có trích dẫn</t>
  </si>
  <si>
    <t xml:space="preserve">pdf, section</t>
  </si>
  <si>
    <t xml:space="preserve">skill</t>
  </si>
  <si>
    <t xml:space="preserve">EXTRACT-12</t>
  </si>
  <si>
    <t xml:space="preserve">extract.ocr</t>
  </si>
  <si>
    <t xml:space="preserve">OCR PDF scan/ảnh chữ; giảm confidence 0,1</t>
  </si>
  <si>
    <t xml:space="preserve">text+layout</t>
  </si>
  <si>
    <t xml:space="preserve">EXTRACT-13</t>
  </si>
  <si>
    <t xml:space="preserve">extract.image_schematic</t>
  </si>
  <si>
    <t xml:space="preserve">Ảnh schematic → net/linh kiện đề xuất (thị giác) kèm ảnh cắt</t>
  </si>
  <si>
    <t xml:space="preserve">image</t>
  </si>
  <si>
    <t xml:space="preserve">proposals</t>
  </si>
  <si>
    <t xml:space="preserve">Mô hình có thị giác</t>
  </si>
  <si>
    <t xml:space="preserve">Luôn (đề xuất)</t>
  </si>
  <si>
    <t xml:space="preserve">UC-B05</t>
  </si>
  <si>
    <t xml:space="preserve">EXTRACT-14</t>
  </si>
  <si>
    <t xml:space="preserve">extract.image_board</t>
  </si>
  <si>
    <t xml:space="preserve">Ảnh board → nhãn chip/linh kiện, vị trí, cổng</t>
  </si>
  <si>
    <t xml:space="preserve">parts[]</t>
  </si>
  <si>
    <t xml:space="preserve">UC-B05, Z-04</t>
  </si>
  <si>
    <t xml:space="preserve">EXTRACT-15</t>
  </si>
  <si>
    <t xml:space="preserve">extract.image_scope</t>
  </si>
  <si>
    <t xml:space="preserve">Ảnh màn hình oscilloscope/LA → giá trị đo, kết luận sơ bộ</t>
  </si>
  <si>
    <t xml:space="preserve">measurement</t>
  </si>
  <si>
    <t xml:space="preserve">UC-F06</t>
  </si>
  <si>
    <t xml:space="preserve">M5</t>
  </si>
  <si>
    <t xml:space="preserve">EXTRACT-16</t>
  </si>
  <si>
    <t xml:space="preserve">extract.kicad_netlist</t>
  </si>
  <si>
    <t xml:space="preserve">kicad-cli → net/pin/part</t>
  </si>
  <si>
    <t xml:space="preserve">BoardPassport</t>
  </si>
  <si>
    <t xml:space="preserve">kicad-cli</t>
  </si>
  <si>
    <t xml:space="preserve">UC-B06</t>
  </si>
  <si>
    <t xml:space="preserve">EXTRACT-17</t>
  </si>
  <si>
    <t xml:space="preserve">extract.bom</t>
  </si>
  <si>
    <t xml:space="preserve">Trích BOM từ schematic (KiCad/PDF/Excel/README) → bảng ref, MPN, giá trị, số lượng</t>
  </si>
  <si>
    <t xml:space="preserve">sources[]</t>
  </si>
  <si>
    <t xml:space="preserve">bom[]</t>
  </si>
  <si>
    <t xml:space="preserve">Mâu thuẫn giữa nguồn</t>
  </si>
  <si>
    <t xml:space="preserve">UC-B06, Z-01</t>
  </si>
  <si>
    <t xml:space="preserve">EXTRACT-18</t>
  </si>
  <si>
    <t xml:space="preserve">extract.bom_enrich</t>
  </si>
  <si>
    <t xml:space="preserve">Với mỗi MPN trong BOM: tìm hộ chiếu/datasheet (search.*) và gắn</t>
  </si>
  <si>
    <t xml:space="preserve">bom</t>
  </si>
  <si>
    <t xml:space="preserve">bom+links</t>
  </si>
  <si>
    <t xml:space="preserve">Nguồn ngoài tin cậy</t>
  </si>
  <si>
    <t xml:space="preserve">EXTRACT-19</t>
  </si>
  <si>
    <t xml:space="preserve">extract.office</t>
  </si>
  <si>
    <t xml:space="preserve">DOCX/XLSX/HTML/MD → văn bản, bảng có vị trí</t>
  </si>
  <si>
    <t xml:space="preserve">blocks</t>
  </si>
  <si>
    <t xml:space="preserve">EXTRACT-20</t>
  </si>
  <si>
    <t xml:space="preserve">extract.readme_goal</t>
  </si>
  <si>
    <t xml:space="preserve">Suy ra mục tiêu dự án, danh sách tính năng từ README/ghi chú</t>
  </si>
  <si>
    <t xml:space="preserve">text</t>
  </si>
  <si>
    <t xml:space="preserve">features[] đề xuất</t>
  </si>
  <si>
    <t xml:space="preserve">Z-07</t>
  </si>
  <si>
    <t xml:space="preserve">EXTRACT-21</t>
  </si>
  <si>
    <t xml:space="preserve">extract.code_constants</t>
  </si>
  <si>
    <t xml:space="preserve">Quét mã sẵn có: hằng số địa chỉ/bit → ánh xạ fact; danh sách không nguồn</t>
  </si>
  <si>
    <t xml:space="preserve">repo</t>
  </si>
  <si>
    <t xml:space="preserve">code_units</t>
  </si>
  <si>
    <t xml:space="preserve">UC-A05</t>
  </si>
  <si>
    <t xml:space="preserve">PASSPORT-01</t>
  </si>
  <si>
    <t xml:space="preserve">passport</t>
  </si>
  <si>
    <t xml:space="preserve">passport.import</t>
  </si>
  <si>
    <t xml:space="preserve">Ghi FactBatch qua cổng ghi duy nhất (merge tier, conflict, ledger)</t>
  </si>
  <si>
    <t xml:space="preserve">batch</t>
  </si>
  <si>
    <t xml:space="preserve">WriteResult</t>
  </si>
  <si>
    <t xml:space="preserve">PASSPORT-02</t>
  </si>
  <si>
    <t xml:space="preserve">passport.query</t>
  </si>
  <si>
    <t xml:space="preserve">Tra fact theo part/periph/reg/field hoặc câu hỏi NL; kèm trích dẫn/tầng/trạng thái</t>
  </si>
  <si>
    <t xml:space="preserve">q</t>
  </si>
  <si>
    <t xml:space="preserve">facts+citations</t>
  </si>
  <si>
    <t xml:space="preserve">UC-B14</t>
  </si>
  <si>
    <t xml:space="preserve">PASSPORT-03</t>
  </si>
  <si>
    <t xml:space="preserve">passport.list</t>
  </si>
  <si>
    <t xml:space="preserve">Liệt kê hộ chiếu, phiên bản, huy hiệu</t>
  </si>
  <si>
    <t xml:space="preserve">kind?</t>
  </si>
  <si>
    <t xml:space="preserve">passports[]</t>
  </si>
  <si>
    <t xml:space="preserve">PASSPORT-04</t>
  </si>
  <si>
    <t xml:space="preserve">passport.diff</t>
  </si>
  <si>
    <t xml:space="preserve">So hai phiên bản hộ chiếu: fact thêm/bớt/đổi</t>
  </si>
  <si>
    <t xml:space="preserve">a, b</t>
  </si>
  <si>
    <t xml:space="preserve">diff</t>
  </si>
  <si>
    <t xml:space="preserve">UC-B13</t>
  </si>
  <si>
    <t xml:space="preserve">PASSPORT-05</t>
  </si>
  <si>
    <t xml:space="preserve">passport.upgrade</t>
  </si>
  <si>
    <t xml:space="preserve">Nâng ghim sang phiên bản mới; impact; đưa feature về failing</t>
  </si>
  <si>
    <t xml:space="preserve">id, ver</t>
  </si>
  <si>
    <t xml:space="preserve">impact</t>
  </si>
  <si>
    <t xml:space="preserve">Luôn (ảnh hưởng mã)</t>
  </si>
  <si>
    <t xml:space="preserve">PASSPORT-06</t>
  </si>
  <si>
    <t xml:space="preserve">passport.verify_on_board</t>
  </si>
  <si>
    <t xml:space="preserve">Sinh firmware ID/GPIO/UART, nạp, so, gắn huy hiệu</t>
  </si>
  <si>
    <t xml:space="preserve">id, target</t>
  </si>
  <si>
    <t xml:space="preserve">badge</t>
  </si>
  <si>
    <t xml:space="preserve">R3</t>
  </si>
  <si>
    <t xml:space="preserve">Board lab</t>
  </si>
  <si>
    <t xml:space="preserve">Board không lab; ID lệch</t>
  </si>
  <si>
    <t xml:space="preserve">UC-B12</t>
  </si>
  <si>
    <t xml:space="preserve">PASSPORT-07</t>
  </si>
  <si>
    <t xml:space="preserve">passport.export</t>
  </si>
  <si>
    <t xml:space="preserve">Xuất hộ chiếu YAML/JSON có nguồn</t>
  </si>
  <si>
    <t xml:space="preserve">id</t>
  </si>
  <si>
    <t xml:space="preserve">UC-G04</t>
  </si>
  <si>
    <t xml:space="preserve">PASSPORT-08</t>
  </si>
  <si>
    <t xml:space="preserve">passport.resolve_address</t>
  </si>
  <si>
    <t xml:space="preserve">Địa chỉ/hex → tên ngoại vi/thanh ghi (cho hover, .map)</t>
  </si>
  <si>
    <t xml:space="preserve">addr</t>
  </si>
  <si>
    <t xml:space="preserve">name</t>
  </si>
  <si>
    <t xml:space="preserve">UC-D05</t>
  </si>
  <si>
    <t xml:space="preserve">M3</t>
  </si>
  <si>
    <t xml:space="preserve">KG-01</t>
  </si>
  <si>
    <t xml:space="preserve">kg</t>
  </si>
  <si>
    <t xml:space="preserve">kg.build</t>
  </si>
  <si>
    <t xml:space="preserve">Dựng/tải đồ thị từ store (cache có hash)</t>
  </si>
  <si>
    <t xml:space="preserve">part?</t>
  </si>
  <si>
    <t xml:space="preserve">graph</t>
  </si>
  <si>
    <t xml:space="preserve">KG-02</t>
  </si>
  <si>
    <t xml:space="preserve">kg.conflicts</t>
  </si>
  <si>
    <t xml:space="preserve">Fact mâu thuẫn + tài nguyên bị dùng bởi &gt;1 module</t>
  </si>
  <si>
    <t xml:space="preserve">conflicts[]</t>
  </si>
  <si>
    <t xml:space="preserve">UC-C01</t>
  </si>
  <si>
    <t xml:space="preserve">KG-03</t>
  </si>
  <si>
    <t xml:space="preserve">kg.impact</t>
  </si>
  <si>
    <t xml:space="preserve">Fact đổi → CodeUnit stale, Feature cần tái kiểm</t>
  </si>
  <si>
    <t xml:space="preserve">fact_id</t>
  </si>
  <si>
    <t xml:space="preserve">KG-04</t>
  </si>
  <si>
    <t xml:space="preserve">kg.neighborhood</t>
  </si>
  <si>
    <t xml:space="preserve">Lân cận ≤ 2 bước cho ngữ cảnh/hiển thị</t>
  </si>
  <si>
    <t xml:space="preserve">node, depth</t>
  </si>
  <si>
    <t xml:space="preserve">subgraph</t>
  </si>
  <si>
    <t xml:space="preserve">UC-B15</t>
  </si>
  <si>
    <t xml:space="preserve">KG-05</t>
  </si>
  <si>
    <t xml:space="preserve">kg.review_facts</t>
  </si>
  <si>
    <t xml:space="preserve">Duyệt fact theo nhóm (tự theo chính sách hoặc người)</t>
  </si>
  <si>
    <t xml:space="preserve">group, decision</t>
  </si>
  <si>
    <t xml:space="preserve">T1*</t>
  </si>
  <si>
    <t xml:space="preserve">confidence thấp; mâu thuẫn</t>
  </si>
  <si>
    <t xml:space="preserve">UC-B10</t>
  </si>
  <si>
    <t xml:space="preserve">KG-06</t>
  </si>
  <si>
    <t xml:space="preserve">kg.resolve_conflict</t>
  </si>
  <si>
    <t xml:space="preserve">Chọn fact hiện hành / cả hai theo điều kiện</t>
  </si>
  <si>
    <t xml:space="preserve">conflict_id, choice</t>
  </si>
  <si>
    <t xml:space="preserve">UC-B11</t>
  </si>
  <si>
    <t xml:space="preserve">KG-07</t>
  </si>
  <si>
    <t xml:space="preserve">kg.supersede</t>
  </si>
  <si>
    <t xml:space="preserve">Fact mới thay fact cũ có lý do</t>
  </si>
  <si>
    <t xml:space="preserve">old, new</t>
  </si>
  <si>
    <t xml:space="preserve">KG-08</t>
  </si>
  <si>
    <t xml:space="preserve">kg.request</t>
  </si>
  <si>
    <t xml:space="preserve">Tạo yêu cầu nhận tri thức</t>
  </si>
  <si>
    <t xml:space="preserve">need</t>
  </si>
  <si>
    <t xml:space="preserve">request_id</t>
  </si>
  <si>
    <t xml:space="preserve">UC-B07</t>
  </si>
  <si>
    <t xml:space="preserve">KG-09</t>
  </si>
  <si>
    <t xml:space="preserve">kg.evidence</t>
  </si>
  <si>
    <t xml:space="preserve">Bằng chứng gắn với feature/fact (log hash, số đo, badge)</t>
  </si>
  <si>
    <t xml:space="preserve">evidence[]</t>
  </si>
  <si>
    <t xml:space="preserve">UC-F03</t>
  </si>
  <si>
    <t xml:space="preserve">BOARD-01</t>
  </si>
  <si>
    <t xml:space="preserve">board</t>
  </si>
  <si>
    <t xml:space="preserve">board.build_passport</t>
  </si>
  <si>
    <t xml:space="preserve">Dựng BoardPassport từ netlist/ảnh/BOM; suy ra bus/địa chỉ/pull-up</t>
  </si>
  <si>
    <t xml:space="preserve">sources</t>
  </si>
  <si>
    <t xml:space="preserve">Từ ảnh</t>
  </si>
  <si>
    <t xml:space="preserve">BOARD-02</t>
  </si>
  <si>
    <t xml:space="preserve">board.check_pins</t>
  </si>
  <si>
    <t xml:space="preserve">Xung đột chân/AF, reserved/boot, trùng địa chỉ bus</t>
  </si>
  <si>
    <t xml:space="preserve">board, plan?</t>
  </si>
  <si>
    <t xml:space="preserve">BOARD-03</t>
  </si>
  <si>
    <t xml:space="preserve">board.constraints</t>
  </si>
  <si>
    <t xml:space="preserve">Sinh ràng buộc điện/bus cho Coder</t>
  </si>
  <si>
    <t xml:space="preserve">constraints</t>
  </si>
  <si>
    <t xml:space="preserve">BOARD-04</t>
  </si>
  <si>
    <t xml:space="preserve">board.propose_fix</t>
  </si>
  <si>
    <t xml:space="preserve">Đề xuất phương án cho xung đột (remap AF, đổi chân)</t>
  </si>
  <si>
    <t xml:space="preserve">conflict</t>
  </si>
  <si>
    <t xml:space="preserve">options[]</t>
  </si>
  <si>
    <t xml:space="preserve">Chạm mã passing</t>
  </si>
  <si>
    <t xml:space="preserve">BOARD-05</t>
  </si>
  <si>
    <t xml:space="preserve">board.mark_lab</t>
  </si>
  <si>
    <t xml:space="preserve">Đánh dấu board là lab (không cơ cấu chấp hành) để tự nạp</t>
  </si>
  <si>
    <t xml:space="preserve">Luôn (một lần)</t>
  </si>
  <si>
    <t xml:space="preserve">Z-10</t>
  </si>
  <si>
    <t xml:space="preserve">ENV-01</t>
  </si>
  <si>
    <t xml:space="preserve">env</t>
  </si>
  <si>
    <t xml:space="preserve">env.detect</t>
  </si>
  <si>
    <t xml:space="preserve">Nhận diện HĐH, kiến trúc máy, cổng USB/serial, probe đang nối</t>
  </si>
  <si>
    <t xml:space="preserve">EnvReport</t>
  </si>
  <si>
    <t xml:space="preserve">UC-A03</t>
  </si>
  <si>
    <t xml:space="preserve">một phần (doctor)</t>
  </si>
  <si>
    <t xml:space="preserve">ENV-02</t>
  </si>
  <si>
    <t xml:space="preserve">env.check</t>
  </si>
  <si>
    <t xml:space="preserve">Kiểm từng công cụ theo manifest ISA: có/thiếu/phiên bản/hash</t>
  </si>
  <si>
    <t xml:space="preserve">isa</t>
  </si>
  <si>
    <t xml:space="preserve">ENV-03</t>
  </si>
  <si>
    <t xml:space="preserve">env.install</t>
  </si>
  <si>
    <t xml:space="preserve">Cài công cụ mở từ danh sách tin cậy (brew/apt/pip/cargo/tải chính hãng)</t>
  </si>
  <si>
    <t xml:space="preserve">tool</t>
  </si>
  <si>
    <t xml:space="preserve">ToolReport</t>
  </si>
  <si>
    <t xml:space="preserve">R4→T1 theo danh sách trắng</t>
  </si>
  <si>
    <t xml:space="preserve">Danh sách trắng</t>
  </si>
  <si>
    <t xml:space="preserve">Ngoài danh sách; cần sudo; toolchain đóng</t>
  </si>
  <si>
    <t xml:space="preserve">ENV-04</t>
  </si>
  <si>
    <t xml:space="preserve">env.guide_install</t>
  </si>
  <si>
    <t xml:space="preserve">Hướng dẫn cài tay công cụ đóng/có license</t>
  </si>
  <si>
    <t xml:space="preserve">steps</t>
  </si>
  <si>
    <t xml:space="preserve">T3</t>
  </si>
  <si>
    <t xml:space="preserve">ENV-05</t>
  </si>
  <si>
    <t xml:space="preserve">env.lock</t>
  </si>
  <si>
    <t xml:space="preserve">Khóa phiên bản (tools.lock) và phát hiện trôi</t>
  </si>
  <si>
    <t xml:space="preserve">tools.lock</t>
  </si>
  <si>
    <t xml:space="preserve">Trôi phiên bản</t>
  </si>
  <si>
    <t xml:space="preserve">ENV-06</t>
  </si>
  <si>
    <t xml:space="preserve">env.install_pack</t>
  </si>
  <si>
    <t xml:space="preserve">Cài Platform Pack (skill, adapter, manifest) cho ISA</t>
  </si>
  <si>
    <t xml:space="preserve">ENV-07</t>
  </si>
  <si>
    <t xml:space="preserve">env.sandbox</t>
  </si>
  <si>
    <t xml:space="preserve">Chạy extractor/lệnh trong sandbox giới hạn CPU/RAM/thời gian/đường dẫn</t>
  </si>
  <si>
    <t xml:space="preserve">cmd</t>
  </si>
  <si>
    <t xml:space="preserve">result</t>
  </si>
  <si>
    <t xml:space="preserve">NFR-06</t>
  </si>
  <si>
    <t xml:space="preserve">PLAN-01</t>
  </si>
  <si>
    <t xml:space="preserve">plan</t>
  </si>
  <si>
    <t xml:space="preserve">plan.define_feature</t>
  </si>
  <si>
    <t xml:space="preserve">Chuẩn hóa yêu cầu → Feature có kỳ vọng quan sát được, ràng buộc</t>
  </si>
  <si>
    <t xml:space="preserve">Feature</t>
  </si>
  <si>
    <t xml:space="preserve">Mơ hồ (≤ 3 câu hỏi)</t>
  </si>
  <si>
    <t xml:space="preserve">UC-D01</t>
  </si>
  <si>
    <t xml:space="preserve">PLAN-02</t>
  </si>
  <si>
    <t xml:space="preserve">plan.decompose</t>
  </si>
  <si>
    <t xml:space="preserve">Tách mục tiêu lớn thành module/feature theo kiến trúc (driver → HAL → app)</t>
  </si>
  <si>
    <t xml:space="preserve">goal</t>
  </si>
  <si>
    <t xml:space="preserve">features[]</t>
  </si>
  <si>
    <t xml:space="preserve">PLAN-03</t>
  </si>
  <si>
    <t xml:space="preserve">plan.create</t>
  </si>
  <si>
    <t xml:space="preserve">Kế hoạch từng bước có trích dẫn fact; missing[]</t>
  </si>
  <si>
    <t xml:space="preserve">feature</t>
  </si>
  <si>
    <t xml:space="preserve">Plan</t>
  </si>
  <si>
    <t xml:space="preserve">Đủ tri thức</t>
  </si>
  <si>
    <t xml:space="preserve">Đổi kiến trúc; tài nguyên mới</t>
  </si>
  <si>
    <t xml:space="preserve">UC-D02</t>
  </si>
  <si>
    <t xml:space="preserve">PLAN-04</t>
  </si>
  <si>
    <t xml:space="preserve">plan.order</t>
  </si>
  <si>
    <t xml:space="preserve">Sắp thứ tự phụ thuộc giữa module (clock → GPIO → I2C → cảm biến → app)</t>
  </si>
  <si>
    <t xml:space="preserve">order</t>
  </si>
  <si>
    <t xml:space="preserve">PLAN-05</t>
  </si>
  <si>
    <t xml:space="preserve">plan.estimate</t>
  </si>
  <si>
    <t xml:space="preserve">Ước lượng token/chi phí/thời gian; so ngân sách</t>
  </si>
  <si>
    <t xml:space="preserve">estimate</t>
  </si>
  <si>
    <t xml:space="preserve">Vượt ngân sách</t>
  </si>
  <si>
    <t xml:space="preserve">UC-H03</t>
  </si>
  <si>
    <t xml:space="preserve">PLAN-06</t>
  </si>
  <si>
    <t xml:space="preserve">plan.replan</t>
  </si>
  <si>
    <t xml:space="preserve">Lập lại khi thất bại/thiếu tri thức/xung đột</t>
  </si>
  <si>
    <t xml:space="preserve">plan, reason</t>
  </si>
  <si>
    <t xml:space="preserve">Plan'</t>
  </si>
  <si>
    <t xml:space="preserve">Lần 3</t>
  </si>
  <si>
    <t xml:space="preserve">UC-D03</t>
  </si>
  <si>
    <t xml:space="preserve">PLAN-07</t>
  </si>
  <si>
    <t xml:space="preserve">plan.sufficiency</t>
  </si>
  <si>
    <t xml:space="preserve">Tự đánh giá đủ thông tin trước khi làm</t>
  </si>
  <si>
    <t xml:space="preserve">missing[]</t>
  </si>
  <si>
    <t xml:space="preserve">UC-H02</t>
  </si>
  <si>
    <t xml:space="preserve">CODE-01</t>
  </si>
  <si>
    <t xml:space="preserve">code</t>
  </si>
  <si>
    <t xml:space="preserve">code.generate_module</t>
  </si>
  <si>
    <t xml:space="preserve">Sinh một module theo STEP + skill + fact; hkw:fact cho hằng số</t>
  </si>
  <si>
    <t xml:space="preserve">step</t>
  </si>
  <si>
    <t xml:space="preserve">CodePatch</t>
  </si>
  <si>
    <t xml:space="preserve">G1 approved</t>
  </si>
  <si>
    <t xml:space="preserve">CODE-02</t>
  </si>
  <si>
    <t xml:space="preserve">code.modify</t>
  </si>
  <si>
    <t xml:space="preserve">Sửa mã có sẵn theo yêu cầu/finding</t>
  </si>
  <si>
    <t xml:space="preserve">file, intent</t>
  </si>
  <si>
    <t xml:space="preserve">Chạm ISR/linker</t>
  </si>
  <si>
    <t xml:space="preserve">CODE-03</t>
  </si>
  <si>
    <t xml:space="preserve">code.integrate</t>
  </si>
  <si>
    <t xml:space="preserve">Tích hợp module: wiring, init order, cấu hình build, kiểm tương thích giao diện</t>
  </si>
  <si>
    <t xml:space="preserve">modules[]</t>
  </si>
  <si>
    <t xml:space="preserve">Xung đột tài nguyên</t>
  </si>
  <si>
    <t xml:space="preserve">CODE-04</t>
  </si>
  <si>
    <t xml:space="preserve">code.constant_guard</t>
  </si>
  <si>
    <t xml:space="preserve">Hook: mọi hằng số phần cứng phải trỏ fact reviewed/verified</t>
  </si>
  <si>
    <t xml:space="preserve">patch</t>
  </si>
  <si>
    <t xml:space="preserve">verdict</t>
  </si>
  <si>
    <t xml:space="preserve">CODE-05</t>
  </si>
  <si>
    <t xml:space="preserve">code.build</t>
  </si>
  <si>
    <t xml:space="preserve">Biên dịch theo Pack; phân loại lỗi</t>
  </si>
  <si>
    <t xml:space="preserve">Toolchain</t>
  </si>
  <si>
    <t xml:space="preserve">CODE-06</t>
  </si>
  <si>
    <t xml:space="preserve">code.size</t>
  </si>
  <si>
    <t xml:space="preserve">Kiểm Flash/RAM so ràng buộc; phân tích .map</t>
  </si>
  <si>
    <t xml:space="preserve">artifact</t>
  </si>
  <si>
    <t xml:space="preserve">CODE-07</t>
  </si>
  <si>
    <t xml:space="preserve">code.static</t>
  </si>
  <si>
    <t xml:space="preserve">cppcheck/clang-tidy + quy tắc Pack (delay, malloc, float trong ISR)</t>
  </si>
  <si>
    <t xml:space="preserve">CODE-08</t>
  </si>
  <si>
    <t xml:space="preserve">code.test_host</t>
  </si>
  <si>
    <t xml:space="preserve">Kiểm thử trên máy chủ với mock ngoại vi (ctypes)</t>
  </si>
  <si>
    <t xml:space="preserve">CODE-09</t>
  </si>
  <si>
    <t xml:space="preserve">code.generate_tests</t>
  </si>
  <si>
    <t xml:space="preserve">Sinh unit test/kịch bản từ kỳ vọng Feature</t>
  </si>
  <si>
    <t xml:space="preserve">tests</t>
  </si>
  <si>
    <t xml:space="preserve">CODE-10</t>
  </si>
  <si>
    <t xml:space="preserve">code.self_repair</t>
  </si>
  <si>
    <t xml:space="preserve">Tự sửa theo ToolReport ≤ 3 vòng</t>
  </si>
  <si>
    <t xml:space="preserve">CodePatch'</t>
  </si>
  <si>
    <t xml:space="preserve">CODE-11</t>
  </si>
  <si>
    <t xml:space="preserve">code.review</t>
  </si>
  <si>
    <t xml:space="preserve">Reviewer khác hãng chấm checklist</t>
  </si>
  <si>
    <t xml:space="preserve">Review</t>
  </si>
  <si>
    <t xml:space="preserve">≥ 2 hãng</t>
  </si>
  <si>
    <t xml:space="preserve">UC-D04</t>
  </si>
  <si>
    <t xml:space="preserve">CODE-12</t>
  </si>
  <si>
    <t xml:space="preserve">code.merge</t>
  </si>
  <si>
    <t xml:space="preserve">Merge vào auto/ với commit truy vết; cửa sổ hoàn tác</t>
  </si>
  <si>
    <t xml:space="preserve">commit</t>
  </si>
  <si>
    <t xml:space="preserve">4 cổng + review</t>
  </si>
  <si>
    <t xml:space="preserve">Blocker; chạm ISR/linker; ngoài phạm vi</t>
  </si>
  <si>
    <t xml:space="preserve">CODE-13</t>
  </si>
  <si>
    <t xml:space="preserve">code.revert</t>
  </si>
  <si>
    <t xml:space="preserve">Hoàn tác merge</t>
  </si>
  <si>
    <t xml:space="preserve">CODE-14</t>
  </si>
  <si>
    <t xml:space="preserve">code.annotate</t>
  </si>
  <si>
    <t xml:space="preserve">Gợi ý/chèn hkw:fact cho mã người viết</t>
  </si>
  <si>
    <t xml:space="preserve">suggestions</t>
  </si>
  <si>
    <t xml:space="preserve">CODE-15</t>
  </si>
  <si>
    <t xml:space="preserve">code.docs</t>
  </si>
  <si>
    <t xml:space="preserve">Sinh tài liệu mã/README module có trích dẫn</t>
  </si>
  <si>
    <t xml:space="preserve">module</t>
  </si>
  <si>
    <t xml:space="preserve">docs</t>
  </si>
  <si>
    <t xml:space="preserve">CODE-16</t>
  </si>
  <si>
    <t xml:space="preserve">code.refactor</t>
  </si>
  <si>
    <t xml:space="preserve">Tái cấu trúc theo quy ước repo, không đổi hành vi (kiểm bằng test)</t>
  </si>
  <si>
    <t xml:space="preserve">SIM-01</t>
  </si>
  <si>
    <t xml:space="preserve">sim</t>
  </si>
  <si>
    <t xml:space="preserve">sim.build_platform</t>
  </si>
  <si>
    <t xml:space="preserve">Sinh mô tả nền tảng (Renode .repl / simavr / tự xây) từ hộ chiếu</t>
  </si>
  <si>
    <t xml:space="preserve">chip, board</t>
  </si>
  <si>
    <t xml:space="preserve">sim/</t>
  </si>
  <si>
    <t xml:space="preserve">Hộ chiếu vàng</t>
  </si>
  <si>
    <t xml:space="preserve">Chip không có trong Renode</t>
  </si>
  <si>
    <t xml:space="preserve">UC-E01</t>
  </si>
  <si>
    <t xml:space="preserve">SIM-02</t>
  </si>
  <si>
    <t xml:space="preserve">sim.mock_peripheral</t>
  </si>
  <si>
    <t xml:space="preserve">Mock ngoại vi ngoài theo datasheet (id, dữ liệu theo công thức)</t>
  </si>
  <si>
    <t xml:space="preserve">mock</t>
  </si>
  <si>
    <t xml:space="preserve">Tham số không có nguồn</t>
  </si>
  <si>
    <t xml:space="preserve">SIM-03</t>
  </si>
  <si>
    <t xml:space="preserve">sim.model_plant</t>
  </si>
  <si>
    <t xml:space="preserve">Mô hình động lực học (robot 2 bánh) với tham số có nguồn/tạm</t>
  </si>
  <si>
    <t xml:space="preserve">params</t>
  </si>
  <si>
    <t xml:space="preserve">model</t>
  </si>
  <si>
    <t xml:space="preserve">Tham số thật</t>
  </si>
  <si>
    <t xml:space="preserve">UC-E02</t>
  </si>
  <si>
    <t xml:space="preserve">SIM-04</t>
  </si>
  <si>
    <t xml:space="preserve">sim.scenario</t>
  </si>
  <si>
    <t xml:space="preserve">Sinh kịch bản từ kỳ vọng Feature (init, inject, expect)</t>
  </si>
  <si>
    <t xml:space="preserve">yaml</t>
  </si>
  <si>
    <t xml:space="preserve">UC-E03</t>
  </si>
  <si>
    <t xml:space="preserve">SIM-05</t>
  </si>
  <si>
    <t xml:space="preserve">sim.run</t>
  </si>
  <si>
    <t xml:space="preserve">Chạy firmware trên mô phỏng; bắt UART/GPIO/biến</t>
  </si>
  <si>
    <t xml:space="preserve">artifact, scenario</t>
  </si>
  <si>
    <t xml:space="preserve">SIM-06</t>
  </si>
  <si>
    <t xml:space="preserve">sim.sweep</t>
  </si>
  <si>
    <t xml:space="preserve">Quét tham số (PID, tốc độ bus) trên mô phỏng</t>
  </si>
  <si>
    <t xml:space="preserve">ranges</t>
  </si>
  <si>
    <t xml:space="preserve">table</t>
  </si>
  <si>
    <t xml:space="preserve">SIM-07</t>
  </si>
  <si>
    <t xml:space="preserve">sim.compare_hil</t>
  </si>
  <si>
    <t xml:space="preserve">So kết quả SIL/HIL; đề xuất cập nhật mô hình</t>
  </si>
  <si>
    <t xml:space="preserve">scenario</t>
  </si>
  <si>
    <t xml:space="preserve">Cập nhật mô hình</t>
  </si>
  <si>
    <t xml:space="preserve">UC-E04</t>
  </si>
  <si>
    <t xml:space="preserve">TARGET-01</t>
  </si>
  <si>
    <t xml:space="preserve">target</t>
  </si>
  <si>
    <t xml:space="preserve">target.detect</t>
  </si>
  <si>
    <t xml:space="preserve">Phát hiện board/probe/cổng serial; đọc ID</t>
  </si>
  <si>
    <t xml:space="preserve">targets[]</t>
  </si>
  <si>
    <t xml:space="preserve">UC-F02</t>
  </si>
  <si>
    <t xml:space="preserve">TARGET-02</t>
  </si>
  <si>
    <t xml:space="preserve">target.flash</t>
  </si>
  <si>
    <t xml:space="preserve">Nạp + verify qua adapter ISA</t>
  </si>
  <si>
    <t xml:space="preserve">artifact, target</t>
  </si>
  <si>
    <t xml:space="preserve">Board lab; artifact qua G3</t>
  </si>
  <si>
    <t xml:space="preserve">Board không lab; động cơ</t>
  </si>
  <si>
    <t xml:space="preserve">TARGET-03</t>
  </si>
  <si>
    <t xml:space="preserve">target.reset</t>
  </si>
  <si>
    <t xml:space="preserve">Reset board</t>
  </si>
  <si>
    <t xml:space="preserve">TARGET-04</t>
  </si>
  <si>
    <t xml:space="preserve">target.serial</t>
  </si>
  <si>
    <t xml:space="preserve">Mở/đọc/ghi/expect serial đa cổng; ghi JSONL</t>
  </si>
  <si>
    <t xml:space="preserve">port, cmd</t>
  </si>
  <si>
    <t xml:space="preserve">lines</t>
  </si>
  <si>
    <t xml:space="preserve">TARGET-05</t>
  </si>
  <si>
    <t xml:space="preserve">target.probe_read</t>
  </si>
  <si>
    <t xml:space="preserve">halt/step/read_memory/read_registers/breakpoint (đọc)</t>
  </si>
  <si>
    <t xml:space="preserve">op</t>
  </si>
  <si>
    <t xml:space="preserve">EvidencePack</t>
  </si>
  <si>
    <t xml:space="preserve">Probe</t>
  </si>
  <si>
    <t xml:space="preserve">UC-F05</t>
  </si>
  <si>
    <t xml:space="preserve">TARGET-06</t>
  </si>
  <si>
    <t xml:space="preserve">target.probe_write</t>
  </si>
  <si>
    <t xml:space="preserve">write_memory/RTT write</t>
  </si>
  <si>
    <t xml:space="preserve">Không lab</t>
  </si>
  <si>
    <t xml:space="preserve">TARGET-07</t>
  </si>
  <si>
    <t xml:space="preserve">target.erase_fuse</t>
  </si>
  <si>
    <t xml:space="preserve">Xóa flash toàn bộ, ghi fuse/option byte</t>
  </si>
  <si>
    <t xml:space="preserve">R4</t>
  </si>
  <si>
    <t xml:space="preserve">UC-F01</t>
  </si>
  <si>
    <t xml:space="preserve">TARGET-08</t>
  </si>
  <si>
    <t xml:space="preserve">target.diagnose_fault</t>
  </si>
  <si>
    <t xml:space="preserve">Đọc thanh ghi lỗi, unwind stack, ánh xạ dòng mã</t>
  </si>
  <si>
    <t xml:space="preserve">TARGET-09</t>
  </si>
  <si>
    <t xml:space="preserve">target.observe</t>
  </si>
  <si>
    <t xml:space="preserve">Chạy kỳ vọng quan sát bằng máy (serial expect, probe, LA, camera)</t>
  </si>
  <si>
    <t xml:space="preserve">expect[]</t>
  </si>
  <si>
    <t xml:space="preserve">evidence</t>
  </si>
  <si>
    <t xml:space="preserve">Cần mắt/tay người</t>
  </si>
  <si>
    <t xml:space="preserve">DEBUG-01</t>
  </si>
  <si>
    <t xml:space="preserve">debug</t>
  </si>
  <si>
    <t xml:space="preserve">debug.log_stats</t>
  </si>
  <si>
    <t xml:space="preserve">Thống kê log lớn (GEditor): mẫu lặp, khoảng thời gian, mức</t>
  </si>
  <si>
    <t xml:space="preserve">file, range?</t>
  </si>
  <si>
    <t xml:space="preserve">stats</t>
  </si>
  <si>
    <t xml:space="preserve">UC-F04</t>
  </si>
  <si>
    <t xml:space="preserve">DEBUG-02</t>
  </si>
  <si>
    <t xml:space="preserve">debug.ask_at</t>
  </si>
  <si>
    <t xml:space="preserve">Hỏi tại dòng: ngữ cảnh = vùng log + stats + hộ chiếu + mã liên quan</t>
  </si>
  <si>
    <t xml:space="preserve">range, q</t>
  </si>
  <si>
    <t xml:space="preserve">Diagnosis</t>
  </si>
  <si>
    <t xml:space="preserve">DEBUG-03</t>
  </si>
  <si>
    <t xml:space="preserve">debug.hypothesize</t>
  </si>
  <si>
    <t xml:space="preserve">Giả thuyết xếp hạng + thí nghiệm phân biệt</t>
  </si>
  <si>
    <t xml:space="preserve">DEBUG-04</t>
  </si>
  <si>
    <t xml:space="preserve">debug.experiment</t>
  </si>
  <si>
    <t xml:space="preserve">Chạy thí nghiệm (probe/test firmware) theo chính sách</t>
  </si>
  <si>
    <t xml:space="preserve">experiment</t>
  </si>
  <si>
    <t xml:space="preserve">DEBUG-05</t>
  </si>
  <si>
    <t xml:space="preserve">debug.save_session</t>
  </si>
  <si>
    <t xml:space="preserve">Lưu DebugSession gắn fact/mã/log; ghi sổ lỗi</t>
  </si>
  <si>
    <t xml:space="preserve">DEBUG-06</t>
  </si>
  <si>
    <t xml:space="preserve">debug.propose_fix</t>
  </si>
  <si>
    <t xml:space="preserve">Đề xuất sửa: mã (→ STEP), ràng buộc (→ K6), phần cứng (→ người)</t>
  </si>
  <si>
    <t xml:space="preserve">diagnosis</t>
  </si>
  <si>
    <t xml:space="preserve">proposal</t>
  </si>
  <si>
    <t xml:space="preserve">Sửa phần cứng</t>
  </si>
  <si>
    <t xml:space="preserve">MEASURE-01</t>
  </si>
  <si>
    <t xml:space="preserve">measure</t>
  </si>
  <si>
    <t xml:space="preserve">measure.capture_signal</t>
  </si>
  <si>
    <t xml:space="preserve">sigrok: bắt và decode I2C/SPI/UART</t>
  </si>
  <si>
    <t xml:space="preserve">channels, dur</t>
  </si>
  <si>
    <t xml:space="preserve">dataset</t>
  </si>
  <si>
    <t xml:space="preserve">LA nối</t>
  </si>
  <si>
    <t xml:space="preserve">MEASURE-02</t>
  </si>
  <si>
    <t xml:space="preserve">measure.power</t>
  </si>
  <si>
    <t xml:space="preserve">INA2xx/PPK2: dòng/năng lượng theo mốc GPIO</t>
  </si>
  <si>
    <t xml:space="preserve">dur</t>
  </si>
  <si>
    <t xml:space="preserve">MEASURE-03</t>
  </si>
  <si>
    <t xml:space="preserve">measure.sync</t>
  </si>
  <si>
    <t xml:space="preserve">Đồng bộ thời gian log ↔ waveform ↔ số đo</t>
  </si>
  <si>
    <t xml:space="preserve">sets</t>
  </si>
  <si>
    <t xml:space="preserve">aligned</t>
  </si>
  <si>
    <t xml:space="preserve">BENCH-01</t>
  </si>
  <si>
    <t xml:space="preserve">bench</t>
  </si>
  <si>
    <t xml:space="preserve">bench.run</t>
  </si>
  <si>
    <t xml:space="preserve">Chạy bộ tác vụ CF/BF/BC theo mô hình/skill</t>
  </si>
  <si>
    <t xml:space="preserve">isa, models</t>
  </si>
  <si>
    <t xml:space="preserve">UC-G01</t>
  </si>
  <si>
    <t xml:space="preserve">BENCH-02</t>
  </si>
  <si>
    <t xml:space="preserve">bench.badge</t>
  </si>
  <si>
    <t xml:space="preserve">Gắn huy hiệu verified/bench cho gói</t>
  </si>
  <si>
    <t xml:space="preserve">id, result</t>
  </si>
  <si>
    <t xml:space="preserve">BENCH-03</t>
  </si>
  <si>
    <t xml:space="preserve">bench.suggest_skill_fix</t>
  </si>
  <si>
    <t xml:space="preserve">Từ ca lỗi đề xuất sửa skill (chờ Pack owner)</t>
  </si>
  <si>
    <t xml:space="preserve">failures</t>
  </si>
  <si>
    <t xml:space="preserve">REGISTRY-01</t>
  </si>
  <si>
    <t xml:space="preserve">registry</t>
  </si>
  <si>
    <t xml:space="preserve">registry.search</t>
  </si>
  <si>
    <t xml:space="preserve">Tìm gói theo id/mpn/từ khóa</t>
  </si>
  <si>
    <t xml:space="preserve">packages[]</t>
  </si>
  <si>
    <t xml:space="preserve">UC-G03</t>
  </si>
  <si>
    <t xml:space="preserve">REGISTRY-02</t>
  </si>
  <si>
    <t xml:space="preserve">registry.pull</t>
  </si>
  <si>
    <t xml:space="preserve">Kiểm chữ ký; nạp gói vào store; ghim</t>
  </si>
  <si>
    <t xml:space="preserve">id@ver</t>
  </si>
  <si>
    <t xml:space="preserve">Chữ ký hợp lệ</t>
  </si>
  <si>
    <t xml:space="preserve">Chưa kiểm định + dự án nhạy cảm</t>
  </si>
  <si>
    <t xml:space="preserve">REGISTRY-03</t>
  </si>
  <si>
    <t xml:space="preserve">registry.pack</t>
  </si>
  <si>
    <t xml:space="preserve">Đóng gói .hkp (fact + con trỏ nguồn, skill, bench, badge); kiểm license</t>
  </si>
  <si>
    <t xml:space="preserve">Thiếu license</t>
  </si>
  <si>
    <t xml:space="preserve">UC-G02</t>
  </si>
  <si>
    <t xml:space="preserve">REGISTRY-04</t>
  </si>
  <si>
    <t xml:space="preserve">registry.publish</t>
  </si>
  <si>
    <t xml:space="preserve">Ký và phát hành (nội bộ tự động; công khai hỏi)</t>
  </si>
  <si>
    <t xml:space="preserve">pkg, scope</t>
  </si>
  <si>
    <t xml:space="preserve">R2/R4</t>
  </si>
  <si>
    <t xml:space="preserve">Công khai; chứa K3/K6</t>
  </si>
  <si>
    <t xml:space="preserve">REGISTRY-05</t>
  </si>
  <si>
    <t xml:space="preserve">registry.seed</t>
  </si>
  <si>
    <t xml:space="preserve">Gieo hạt từ CMSIS-SVD / Microchip packs</t>
  </si>
  <si>
    <t xml:space="preserve">dir</t>
  </si>
  <si>
    <t xml:space="preserve">REPORT-01</t>
  </si>
  <si>
    <t xml:space="preserve">report.progress</t>
  </si>
  <si>
    <t xml:space="preserve">Báo cáo tiến độ/ngày: việc tự làm, chờ người, chi phí</t>
  </si>
  <si>
    <t xml:space="preserve">md</t>
  </si>
  <si>
    <t xml:space="preserve">APD §5</t>
  </si>
  <si>
    <t xml:space="preserve">REPORT-02</t>
  </si>
  <si>
    <t xml:space="preserve">report.export</t>
  </si>
  <si>
    <t xml:space="preserve">docx/pdf/md có mục Nguồn</t>
  </si>
  <si>
    <t xml:space="preserve">type, scope</t>
  </si>
  <si>
    <t xml:space="preserve">REPORT-03</t>
  </si>
  <si>
    <t xml:space="preserve">report.human_ai_matrix</t>
  </si>
  <si>
    <t xml:space="preserve">Ma trận Người–AI từ ledger</t>
  </si>
  <si>
    <t xml:space="preserve">xlsx</t>
  </si>
  <si>
    <t xml:space="preserve">REPORT-04</t>
  </si>
  <si>
    <t xml:space="preserve">report.explain</t>
  </si>
  <si>
    <t xml:space="preserve">Giải thích một quyết định/mã (rationale có trích dẫn)</t>
  </si>
  <si>
    <t xml:space="preserve">UR-HT-03</t>
  </si>
  <si>
    <t xml:space="preserve">POLICY-01</t>
  </si>
  <si>
    <t xml:space="preserve">policy</t>
  </si>
  <si>
    <t xml:space="preserve">policy.decide</t>
  </si>
  <si>
    <t xml:space="preserve">Hàm quyết định theo cổng: APPROVE/ASK/REJECT có lý do</t>
  </si>
  <si>
    <t xml:space="preserve">action, ctx</t>
  </si>
  <si>
    <t xml:space="preserve">decision</t>
  </si>
  <si>
    <t xml:space="preserve">APD §4</t>
  </si>
  <si>
    <t xml:space="preserve">POLICY-02</t>
  </si>
  <si>
    <t xml:space="preserve">policy.permit</t>
  </si>
  <si>
    <t xml:space="preserve">Quyền theo phiên cho thao tác R3/R4</t>
  </si>
  <si>
    <t xml:space="preserve">op, target</t>
  </si>
  <si>
    <t xml:space="preserve">permission</t>
  </si>
  <si>
    <t xml:space="preserve">Luôn (R4)</t>
  </si>
  <si>
    <t xml:space="preserve">POLICY-03</t>
  </si>
  <si>
    <t xml:space="preserve">policy.undo_window</t>
  </si>
  <si>
    <t xml:space="preserve">Theo dõi việc đã tự làm còn trong cửa sổ hoàn tác</t>
  </si>
  <si>
    <t xml:space="preserve">items[]</t>
  </si>
  <si>
    <t xml:space="preserve">POLICY-04</t>
  </si>
  <si>
    <t xml:space="preserve">policy.escalate</t>
  </si>
  <si>
    <t xml:space="preserve">Leo thang lên người qua hàng đợi/chat/thông báo</t>
  </si>
  <si>
    <t xml:space="preserve">reason</t>
  </si>
  <si>
    <t xml:space="preserve">POLICY-05</t>
  </si>
  <si>
    <t xml:space="preserve">policy.emergency_stop</t>
  </si>
  <si>
    <t xml:space="preserve">Hạ về A0, hủy thao tác phần cứng đang chờ</t>
  </si>
  <si>
    <t xml:space="preserve">POLICY-06</t>
  </si>
  <si>
    <t xml:space="preserve">policy.learn_thresholds</t>
  </si>
  <si>
    <t xml:space="preserve">Tổng hợp quyết định của người → đề xuất ngưỡng</t>
  </si>
  <si>
    <t xml:space="preserve">APD §6</t>
  </si>
  <si>
    <t xml:space="preserve">POLICY-07</t>
  </si>
  <si>
    <t xml:space="preserve">policy.set_autonomy</t>
  </si>
  <si>
    <t xml:space="preserve">Đặt mức tự chủ dự án/board</t>
  </si>
  <si>
    <t xml:space="preserve">level</t>
  </si>
  <si>
    <t xml:space="preserve">Nới lỏng</t>
  </si>
  <si>
    <t xml:space="preserve">APD §2</t>
  </si>
  <si>
    <t xml:space="preserve">CHAT-01</t>
  </si>
  <si>
    <t xml:space="preserve">chat</t>
  </si>
  <si>
    <t xml:space="preserve">chat.parse_intent</t>
  </si>
  <si>
    <t xml:space="preserve">Câu lệnh → ý định + tham số (slot); nhận diện lệnh lớn</t>
  </si>
  <si>
    <t xml:space="preserve">intent</t>
  </si>
  <si>
    <t xml:space="preserve">DPS-09</t>
  </si>
  <si>
    <t xml:space="preserve">CHAT-02</t>
  </si>
  <si>
    <t xml:space="preserve">chat.ground</t>
  </si>
  <si>
    <t xml:space="preserve">Đối chiếu ý định với trạng thái (dự án/hộ chiếu/board tồn tại?)</t>
  </si>
  <si>
    <t xml:space="preserve">grounded</t>
  </si>
  <si>
    <t xml:space="preserve">D1</t>
  </si>
  <si>
    <t xml:space="preserve">CHAT-03</t>
  </si>
  <si>
    <t xml:space="preserve">chat.fill_defaults</t>
  </si>
  <si>
    <t xml:space="preserve">Điền ô trống bằng mặc định có căn cứ; ghi ledger</t>
  </si>
  <si>
    <t xml:space="preserve">intent'</t>
  </si>
  <si>
    <t xml:space="preserve">D2</t>
  </si>
  <si>
    <t xml:space="preserve">CHAT-04</t>
  </si>
  <si>
    <t xml:space="preserve">chat.clarify</t>
  </si>
  <si>
    <t xml:space="preserve">Một câu hỏi gộp có phương án và mặc định; timeout</t>
  </si>
  <si>
    <t xml:space="preserve">gaps</t>
  </si>
  <si>
    <t xml:space="preserve">answer|default</t>
  </si>
  <si>
    <t xml:space="preserve">Khi không có mặc định</t>
  </si>
  <si>
    <t xml:space="preserve">D3</t>
  </si>
  <si>
    <t xml:space="preserve">CHAT-05</t>
  </si>
  <si>
    <t xml:space="preserve">chat.restate</t>
  </si>
  <si>
    <t xml:space="preserve">Nói lại ý hiểu 1–2 câu trước chuỗi dài</t>
  </si>
  <si>
    <t xml:space="preserve">D6</t>
  </si>
  <si>
    <t xml:space="preserve">CHAT-06</t>
  </si>
  <si>
    <t xml:space="preserve">chat.orchestrate</t>
  </si>
  <si>
    <t xml:space="preserve">Biến lệnh lớn thành chuỗi gọi năng lực có nhánh; chạy theo chính sách</t>
  </si>
  <si>
    <t xml:space="preserve">run</t>
  </si>
  <si>
    <t xml:space="preserve">UC-H01</t>
  </si>
  <si>
    <t xml:space="preserve">CHAT-07</t>
  </si>
  <si>
    <t xml:space="preserve">chat.report_back</t>
  </si>
  <si>
    <t xml:space="preserve">Tóm tắt việc đã làm, đang chờ, hoàn tác được, chi phí</t>
  </si>
  <si>
    <t xml:space="preserve">CHAT-08</t>
  </si>
  <si>
    <t xml:space="preserve">chat.decline</t>
  </si>
  <si>
    <t xml:space="preserve">Nói 'không có trong hộ chiếu'/'không làm được' có lý do và đề xuất</t>
  </si>
  <si>
    <t xml:space="preserve">UC-H04</t>
  </si>
  <si>
    <t xml:space="preserve">REQ-01</t>
  </si>
  <si>
    <t xml:space="preserve">req</t>
  </si>
  <si>
    <t xml:space="preserve">req.elicit</t>
  </si>
  <si>
    <t xml:space="preserve">Thu thập yêu cầu từ lệnh NL, tài liệu, ảnh, chat cũ; sinh câu hỏi gộp cho ô trống</t>
  </si>
  <si>
    <t xml:space="preserve">text, sources[]</t>
  </si>
  <si>
    <t xml:space="preserve">RawRequirements</t>
  </si>
  <si>
    <t xml:space="preserve">Ô trống không có mặc định</t>
  </si>
  <si>
    <t xml:space="preserve">UC-A01, DPS-09</t>
  </si>
  <si>
    <t xml:space="preserve">REQ-02</t>
  </si>
  <si>
    <t xml:space="preserve">req.classify</t>
  </si>
  <si>
    <t xml:space="preserve">Phân loại FR/NFR/ràng buộc phần cứng/an toàn/thời gian thực; gán mã UR-/FR-</t>
  </si>
  <si>
    <t xml:space="preserve">ReqSet</t>
  </si>
  <si>
    <t xml:space="preserve">EAA-URD-06</t>
  </si>
  <si>
    <t xml:space="preserve">REQ-03</t>
  </si>
  <si>
    <t xml:space="preserve">req.ground_hw</t>
  </si>
  <si>
    <t xml:space="preserve">Đối chiếu yêu cầu với hộ chiếu chip/board (chân, ngoại vi, RAM/Flash, tần số) → khả thi/không</t>
  </si>
  <si>
    <t xml:space="preserve">ReqSet, passport</t>
  </si>
  <si>
    <t xml:space="preserve">FeasibilityReport</t>
  </si>
  <si>
    <t xml:space="preserve">Có hộ chiếu</t>
  </si>
  <si>
    <t xml:space="preserve">Không khả thi trên board đã chọn</t>
  </si>
  <si>
    <t xml:space="preserve">UC-B08, UC-D01</t>
  </si>
  <si>
    <t xml:space="preserve">REQ-04</t>
  </si>
  <si>
    <t xml:space="preserve">req.detect_conflict</t>
  </si>
  <si>
    <t xml:space="preserve">Phát hiện yêu cầu mâu thuẫn/mơ hồ/thiếu định lượng; đề xuất câu chữ đo được</t>
  </si>
  <si>
    <t xml:space="preserve">Issue[]</t>
  </si>
  <si>
    <t xml:space="preserve">Mâu thuẫn không tự giải được</t>
  </si>
  <si>
    <t xml:space="preserve">URD</t>
  </si>
  <si>
    <t xml:space="preserve">REQ-05</t>
  </si>
  <si>
    <t xml:space="preserve">req.prioritize</t>
  </si>
  <si>
    <t xml:space="preserve">Ưu tiên MoSCoW theo mục tiêu dự án và rủi ro phần cứng</t>
  </si>
  <si>
    <t xml:space="preserve">ReqSet'</t>
  </si>
  <si>
    <t xml:space="preserve">Đổi ưu tiên M↔S</t>
  </si>
  <si>
    <t xml:space="preserve">REQ-06</t>
  </si>
  <si>
    <t xml:space="preserve">req.trace_matrix</t>
  </si>
  <si>
    <t xml:space="preserve">Ma trận truy vết UR→FR→thiết kế→mã→test; phát hiện lỗ hổng</t>
  </si>
  <si>
    <t xml:space="preserve">TraceMatrix (xlsx/md)</t>
  </si>
  <si>
    <t xml:space="preserve">STP-05</t>
  </si>
  <si>
    <t xml:space="preserve">REQ-07</t>
  </si>
  <si>
    <t xml:space="preserve">req.acceptance</t>
  </si>
  <si>
    <t xml:space="preserve">Sinh tiêu chí chấp nhận/kịch bản kiểm thử từ yêu cầu (Given-When-Then)</t>
  </si>
  <si>
    <t xml:space="preserve">AC[]</t>
  </si>
  <si>
    <t xml:space="preserve">REQ-08</t>
  </si>
  <si>
    <t xml:space="preserve">req.change_impact</t>
  </si>
  <si>
    <t xml:space="preserve">Đánh giá tác động khi đổi yêu cầu: module, fact, test, tài liệu bị ảnh hưởng</t>
  </si>
  <si>
    <t xml:space="preserve">delta</t>
  </si>
  <si>
    <t xml:space="preserve">ImpactReport</t>
  </si>
  <si>
    <t xml:space="preserve">KG dự án</t>
  </si>
  <si>
    <t xml:space="preserve">Tác động &gt; ngưỡng</t>
  </si>
  <si>
    <t xml:space="preserve">ARCH-01</t>
  </si>
  <si>
    <t xml:space="preserve">arch</t>
  </si>
  <si>
    <t xml:space="preserve">arch.style_select</t>
  </si>
  <si>
    <t xml:space="preserve">Chọn kiểu kiến trúc firmware (super-loop, event-driven, RTOS, layered/HAL) theo yêu cầu và tài nguyên chip</t>
  </si>
  <si>
    <t xml:space="preserve">ArchDecision</t>
  </si>
  <si>
    <t xml:space="preserve">Hộ chiếu + NFR</t>
  </si>
  <si>
    <t xml:space="preserve">Đổi kiểu kiến trúc dự án đã có</t>
  </si>
  <si>
    <t xml:space="preserve">SAD-03</t>
  </si>
  <si>
    <t xml:space="preserve">ARCH-02</t>
  </si>
  <si>
    <t xml:space="preserve">arch.decompose</t>
  </si>
  <si>
    <t xml:space="preserve">Phân rã hệ thống thành module/lớp/thành phần với trách nhiệm, giao diện, phụ thuộc</t>
  </si>
  <si>
    <t xml:space="preserve">ReqSet, ArchDecision</t>
  </si>
  <si>
    <t xml:space="preserve">ModuleGraph</t>
  </si>
  <si>
    <t xml:space="preserve">ARCH-03</t>
  </si>
  <si>
    <t xml:space="preserve">arch.map_hw</t>
  </si>
  <si>
    <t xml:space="preserve">Gán module ↔ ngoại vi/chân/ngắt/DMA/timer; kiểm xung đột tài nguyên</t>
  </si>
  <si>
    <t xml:space="preserve">ModuleGraph, passport</t>
  </si>
  <si>
    <t xml:space="preserve">HwMap</t>
  </si>
  <si>
    <t xml:space="preserve">Hộ chiếu</t>
  </si>
  <si>
    <t xml:space="preserve">Xung đột chân/timer không tự giải</t>
  </si>
  <si>
    <t xml:space="preserve">board.pin_plan</t>
  </si>
  <si>
    <t xml:space="preserve">ARCH-04</t>
  </si>
  <si>
    <t xml:space="preserve">arch.memory_budget</t>
  </si>
  <si>
    <t xml:space="preserve">Ngân sách RAM/Flash/stack/heap theo module; cảnh báo vượt</t>
  </si>
  <si>
    <t xml:space="preserve">MemBudget</t>
  </si>
  <si>
    <t xml:space="preserve">SDD-04</t>
  </si>
  <si>
    <t xml:space="preserve">ARCH-05</t>
  </si>
  <si>
    <t xml:space="preserve">arch.timing_budget</t>
  </si>
  <si>
    <t xml:space="preserve">Ngân sách thời gian thực: chu kỳ, WCET ước lượng, ưu tiên ngắt/task</t>
  </si>
  <si>
    <t xml:space="preserve">TimingBudget</t>
  </si>
  <si>
    <t xml:space="preserve">Deadline không đạt</t>
  </si>
  <si>
    <t xml:space="preserve">ARCH-06</t>
  </si>
  <si>
    <t xml:space="preserve">arch.interface_spec</t>
  </si>
  <si>
    <t xml:space="preserve">Đặc tả API/giao thức giữa module (chữ ký, message, lỗi, trạng thái)</t>
  </si>
  <si>
    <t xml:space="preserve">InterfaceSpec[]</t>
  </si>
  <si>
    <t xml:space="preserve">ARCH-07</t>
  </si>
  <si>
    <t xml:space="preserve">arch.state_machine</t>
  </si>
  <si>
    <t xml:space="preserve">Thiết kế máy trạng thái cho module/thiết bị; kiểm tính đầy đủ chuyển trạng thái</t>
  </si>
  <si>
    <t xml:space="preserve">FSM</t>
  </si>
  <si>
    <t xml:space="preserve">ARCH-08</t>
  </si>
  <si>
    <t xml:space="preserve">arch.adr</t>
  </si>
  <si>
    <t xml:space="preserve">Ghi Architecture Decision Record: bối cảnh, phương án, quyết định, hệ quả, fact trích dẫn</t>
  </si>
  <si>
    <t xml:space="preserve">ADR (md)</t>
  </si>
  <si>
    <t xml:space="preserve">ARCH-09</t>
  </si>
  <si>
    <t xml:space="preserve">arch.review</t>
  </si>
  <si>
    <t xml:space="preserve">Rà kiến trúc theo checklist nhúng (coupling, ISR ngắn, lock, watchdog, bảo mật) → phát hiện</t>
  </si>
  <si>
    <t xml:space="preserve">Findings[]</t>
  </si>
  <si>
    <t xml:space="preserve">BPD-06</t>
  </si>
  <si>
    <t xml:space="preserve">ARCH-10</t>
  </si>
  <si>
    <t xml:space="preserve">arch.compare</t>
  </si>
  <si>
    <t xml:space="preserve">So sánh 2–3 phương án kiến trúc theo tiêu chí có trọng số; đề xuất có lý do</t>
  </si>
  <si>
    <t xml:space="preserve">Comparison</t>
  </si>
  <si>
    <t xml:space="preserve">Chọn phương án cuối</t>
  </si>
  <si>
    <t xml:space="preserve">ARCH-11</t>
  </si>
  <si>
    <t xml:space="preserve">arch.to_plan</t>
  </si>
  <si>
    <t xml:space="preserve">Chuyển kiến trúc thành kế hoạch hiện thực theo mốc; nối plan.create</t>
  </si>
  <si>
    <t xml:space="preserve">DIAGRAM-01</t>
  </si>
  <si>
    <t xml:space="preserve">diagram</t>
  </si>
  <si>
    <t xml:space="preserve">diagram.render</t>
  </si>
  <si>
    <t xml:space="preserve">Vẽ lược đồ từ ngôn ngữ GEditor đã hỗ trợ (Mermaid, PlantUML, Graphviz/DOT, D2, WaveDrom, SVG); xem trong GEditor</t>
  </si>
  <si>
    <t xml:space="preserve">src, lang</t>
  </si>
  <si>
    <t xml:space="preserve">svg/png</t>
  </si>
  <si>
    <t xml:space="preserve">FR-UI-*</t>
  </si>
  <si>
    <t xml:space="preserve">DIAGRAM-02</t>
  </si>
  <si>
    <t xml:space="preserve">diagram.block</t>
  </si>
  <si>
    <t xml:space="preserve">Sơ đồ khối hệ thống/board từ BOM + netlist (khối, bus, nguồn)</t>
  </si>
  <si>
    <t xml:space="preserve">board, BOM</t>
  </si>
  <si>
    <t xml:space="preserve">Mermaid/DOT</t>
  </si>
  <si>
    <t xml:space="preserve">Có BOM/netlist</t>
  </si>
  <si>
    <t xml:space="preserve">DIAGRAM-03</t>
  </si>
  <si>
    <t xml:space="preserve">diagram.pinmap</t>
  </si>
  <si>
    <t xml:space="preserve">Sơ đồ chân/kết nối module ↔ chip từ HwMap; bảng chân kèm theo</t>
  </si>
  <si>
    <t xml:space="preserve">svg + table</t>
  </si>
  <si>
    <t xml:space="preserve">DIAGRAM-04</t>
  </si>
  <si>
    <t xml:space="preserve">diagram.architecture</t>
  </si>
  <si>
    <t xml:space="preserve">Sơ đồ kiến trúc phần mềm (lớp, module, phụ thuộc, luồng dữ liệu) theo C4 hoặc layered</t>
  </si>
  <si>
    <t xml:space="preserve">Mermaid/PlantUML/D2</t>
  </si>
  <si>
    <t xml:space="preserve">DIAGRAM-05</t>
  </si>
  <si>
    <t xml:space="preserve">diagram.sequence</t>
  </si>
  <si>
    <t xml:space="preserve">Sơ đồ tuần tự cho kịch bản/UC (ISR, task, giao tiếp ngoại vi)</t>
  </si>
  <si>
    <t xml:space="preserve">Mermaid/PlantUML</t>
  </si>
  <si>
    <t xml:space="preserve">DIAGRAM-06</t>
  </si>
  <si>
    <t xml:space="preserve">diagram.state</t>
  </si>
  <si>
    <t xml:space="preserve">Sơ đồ trạng thái từ FSM; đồng bộ hai chiều với mã máy trạng thái</t>
  </si>
  <si>
    <t xml:space="preserve">DIAGRAM-07</t>
  </si>
  <si>
    <t xml:space="preserve">diagram.flow</t>
  </si>
  <si>
    <t xml:space="preserve">Lưu đồ thuật toán/luồng nghiệp vụ; sinh từ mã C hoặc từ mô tả</t>
  </si>
  <si>
    <t xml:space="preserve">code|text</t>
  </si>
  <si>
    <t xml:space="preserve">DIAGRAM-08</t>
  </si>
  <si>
    <t xml:space="preserve">diagram.timing</t>
  </si>
  <si>
    <t xml:space="preserve">Giản đồ thời gian/tín hiệu (WaveDrom) từ timing của datasheet hoặc capture logic</t>
  </si>
  <si>
    <t xml:space="preserve">timing facts|capture</t>
  </si>
  <si>
    <t xml:space="preserve">WaveDrom</t>
  </si>
  <si>
    <t xml:space="preserve">Fact có nguồn</t>
  </si>
  <si>
    <t xml:space="preserve">extract.timing</t>
  </si>
  <si>
    <t xml:space="preserve">DIAGRAM-09</t>
  </si>
  <si>
    <t xml:space="preserve">diagram.memory_map</t>
  </si>
  <si>
    <t xml:space="preserve">Sơ đồ bản đồ bộ nhớ/thanh ghi từ hộ chiếu và linker script</t>
  </si>
  <si>
    <t xml:space="preserve">passport, ld</t>
  </si>
  <si>
    <t xml:space="preserve">svg</t>
  </si>
  <si>
    <t xml:space="preserve">DIAGRAM-10</t>
  </si>
  <si>
    <t xml:space="preserve">diagram.kg_view</t>
  </si>
  <si>
    <t xml:space="preserve">Vẽ lát cắt đồ thị tri thức (fact, nguồn, mâu thuẫn, tác động) theo truy vấn</t>
  </si>
  <si>
    <t xml:space="preserve">DOT/svg</t>
  </si>
  <si>
    <t xml:space="preserve">DIAGRAM-11</t>
  </si>
  <si>
    <t xml:space="preserve">diagram.gantt</t>
  </si>
  <si>
    <t xml:space="preserve">Sơ đồ Gantt/mốc từ Plan; cập nhật theo tiến độ</t>
  </si>
  <si>
    <t xml:space="preserve">Mermaid gantt</t>
  </si>
  <si>
    <t xml:space="preserve">DIAGRAM-12</t>
  </si>
  <si>
    <t xml:space="preserve">diagram.from_image</t>
  </si>
  <si>
    <t xml:space="preserve">Nhận dạng sơ đồ trong ảnh (schematic, sơ đồ vẽ tay) → mã lược đồ chỉnh sửa được</t>
  </si>
  <si>
    <t xml:space="preserve">Độ tin cậy thấp</t>
  </si>
  <si>
    <t xml:space="preserve">extract.image</t>
  </si>
  <si>
    <t xml:space="preserve">DIAGRAM-13</t>
  </si>
  <si>
    <t xml:space="preserve">diagram.lint</t>
  </si>
  <si>
    <t xml:space="preserve">Kiểm cú pháp/tính nhất quán lược đồ (nút mồ côi, tên không khớp mã)</t>
  </si>
  <si>
    <t xml:space="preserve">src</t>
  </si>
  <si>
    <t xml:space="preserve">DIAGRAM-14</t>
  </si>
  <si>
    <t xml:space="preserve">diagram.sync</t>
  </si>
  <si>
    <t xml:space="preserve">Đồng bộ lược đồ ↔ mã/kiến trúc khi một bên đổi; cảnh báo lệch</t>
  </si>
  <si>
    <t xml:space="preserve">src, code</t>
  </si>
  <si>
    <t xml:space="preserve">Lệch lớn</t>
  </si>
  <si>
    <t xml:space="preserve">DOC-01</t>
  </si>
  <si>
    <t xml:space="preserve">doc</t>
  </si>
  <si>
    <t xml:space="preserve">doc.generate</t>
  </si>
  <si>
    <t xml:space="preserve">Sinh tài liệu theo chuẩn bộ EAA/EIDE (URD, SRS, SAD, SDD, STP, BPD…) từ tri thức dự án; thuộc tính, lịch sử, mục Nguồn</t>
  </si>
  <si>
    <t xml:space="preserve">docx/md</t>
  </si>
  <si>
    <t xml:space="preserve">Thiếu fact bắt buộc</t>
  </si>
  <si>
    <t xml:space="preserve">DOC-02</t>
  </si>
  <si>
    <t xml:space="preserve">doc.section</t>
  </si>
  <si>
    <t xml:space="preserve">Viết/viết lại một mục (mô tả module, hướng dẫn cấu hình, ghi chú phát hành)</t>
  </si>
  <si>
    <t xml:space="preserve">target, style</t>
  </si>
  <si>
    <t xml:space="preserve">DOC-03</t>
  </si>
  <si>
    <t xml:space="preserve">doc.api_ref</t>
  </si>
  <si>
    <t xml:space="preserve">Sinh tham chiếu API từ header/Doxygen; ví dụ dùng theo hộ chiếu</t>
  </si>
  <si>
    <t xml:space="preserve">md/html</t>
  </si>
  <si>
    <t xml:space="preserve">code.module</t>
  </si>
  <si>
    <t xml:space="preserve">DOC-04</t>
  </si>
  <si>
    <t xml:space="preserve">doc.datasheet_summary</t>
  </si>
  <si>
    <t xml:space="preserve">Tóm tắt datasheet/errata cho phần dự án dùng, có trích dẫn trang</t>
  </si>
  <si>
    <t xml:space="preserve">part, scope</t>
  </si>
  <si>
    <t xml:space="preserve">extract.pdf</t>
  </si>
  <si>
    <t xml:space="preserve">DOC-05</t>
  </si>
  <si>
    <t xml:space="preserve">doc.bringup_guide</t>
  </si>
  <si>
    <t xml:space="preserve">Hướng dẫn bring-up board: nguồn, nạp, kiểm tra bước đầu, lỗi thường gặp</t>
  </si>
  <si>
    <t xml:space="preserve">DOC-06</t>
  </si>
  <si>
    <t xml:space="preserve">doc.test_report</t>
  </si>
  <si>
    <t xml:space="preserve">Báo cáo kiểm thử từ kết quả sim/target/bench với bằng chứng</t>
  </si>
  <si>
    <t xml:space="preserve">results</t>
  </si>
  <si>
    <t xml:space="preserve">DOC-07</t>
  </si>
  <si>
    <t xml:space="preserve">doc.embed_diagram</t>
  </si>
  <si>
    <t xml:space="preserve">Chèn lược đồ (diagram.*) vào tài liệu với chú thích, đánh số hình</t>
  </si>
  <si>
    <t xml:space="preserve">doc, diagram</t>
  </si>
  <si>
    <t xml:space="preserve">doc'</t>
  </si>
  <si>
    <t xml:space="preserve">DOC-08</t>
  </si>
  <si>
    <t xml:space="preserve">doc.style_check</t>
  </si>
  <si>
    <t xml:space="preserve">Kiểm tài liệu theo chuẩn: tiếng Việt ưu tiên, thuật ngữ có giải nghĩa, mọi khẳng định có nguồn, định dạng bộ tài liệu</t>
  </si>
  <si>
    <t xml:space="preserve">DOC-09</t>
  </si>
  <si>
    <t xml:space="preserve">doc.translate</t>
  </si>
  <si>
    <t xml:space="preserve">Dịch tài liệu Việt↔Anh giữ thuật ngữ và bố cục</t>
  </si>
  <si>
    <t xml:space="preserve">doc, lang</t>
  </si>
  <si>
    <t xml:space="preserve">DOC-10</t>
  </si>
  <si>
    <t xml:space="preserve">doc.changelog</t>
  </si>
  <si>
    <t xml:space="preserve">Sinh changelog/ghi chú phát hành từ commit và ledger</t>
  </si>
  <si>
    <t xml:space="preserve">range</t>
  </si>
  <si>
    <t xml:space="preserve">DOC-11</t>
  </si>
  <si>
    <t xml:space="preserve">doc.slides</t>
  </si>
  <si>
    <t xml:space="preserve">Sinh bộ slide trình bày dự án/đề án từ tài liệu và lược đồ</t>
  </si>
  <si>
    <t xml:space="preserve">pptx</t>
  </si>
  <si>
    <t xml:space="preserve">DOC-12</t>
  </si>
  <si>
    <t xml:space="preserve">doc.sync</t>
  </si>
  <si>
    <t xml:space="preserve">Cập nhật tài liệu khi mã/kiến trúc/fact đổi; đánh dấu mục lỗi thời</t>
  </si>
  <si>
    <t xml:space="preserve">doc diff</t>
  </si>
  <si>
    <t xml:space="preserve">Thay đổi lớn</t>
  </si>
  <si>
    <t xml:space="preserve">VIEW-01</t>
  </si>
  <si>
    <t xml:space="preserve">view</t>
  </si>
  <si>
    <t xml:space="preserve">view.kg_map</t>
  </si>
  <si>
    <t xml:space="preserve">Hiển thị bản đồ tri thức toàn dự án: chip/board/module/fact/nguồn; tô màu theo tier, trạng thái, mâu thuẫn; zoom/lọc/tìm</t>
  </si>
  <si>
    <t xml:space="preserve">project, filter?</t>
  </si>
  <si>
    <t xml:space="preserve">interactive graph (GEditor panel)</t>
  </si>
  <si>
    <t xml:space="preserve">UC-B15, FR-UI-*</t>
  </si>
  <si>
    <t xml:space="preserve">một phần (kg CLI)</t>
  </si>
  <si>
    <t xml:space="preserve">VIEW-02</t>
  </si>
  <si>
    <t xml:space="preserve">view.kg_focus</t>
  </si>
  <si>
    <t xml:space="preserve">Bản đồ lân cận từ một nút (thanh ghi, chân, module) với đường dẫn tới nguồn và mã dùng nó</t>
  </si>
  <si>
    <t xml:space="preserve">subgraph view</t>
  </si>
  <si>
    <t xml:space="preserve">VIEW-03</t>
  </si>
  <si>
    <t xml:space="preserve">view.provenance</t>
  </si>
  <si>
    <t xml:space="preserve">Xem chuỗi nguồn gốc của một fact: tài liệu → trang/locator → trích đoạn → supersede/conflict; mở đúng trang PDF</t>
  </si>
  <si>
    <t xml:space="preserve">provenance panel</t>
  </si>
  <si>
    <t xml:space="preserve">KAD-07</t>
  </si>
  <si>
    <t xml:space="preserve">VIEW-04</t>
  </si>
  <si>
    <t xml:space="preserve">view.conflict_board</t>
  </si>
  <si>
    <t xml:space="preserve">Bảng mâu thuẫn/chờ duyệt/đã thay thế; thao tác duyệt ngay trên bảng</t>
  </si>
  <si>
    <t xml:space="preserve">board view</t>
  </si>
  <si>
    <t xml:space="preserve">UC-B10, UC-C01</t>
  </si>
  <si>
    <t xml:space="preserve">VIEW-05</t>
  </si>
  <si>
    <t xml:space="preserve">view.coverage_map</t>
  </si>
  <si>
    <t xml:space="preserve">Bản đồ độ phủ tri thức: ngoại vi/thanh ghi/chân nào đã có fact, đang thiếu, đang được yêu cầu</t>
  </si>
  <si>
    <t xml:space="preserve">heatmap</t>
  </si>
  <si>
    <t xml:space="preserve">VIEW-06</t>
  </si>
  <si>
    <t xml:space="preserve">view.impact_map</t>
  </si>
  <si>
    <t xml:space="preserve">Bản đồ tác động khi fact/yêu cầu đổi: module, test, tài liệu bị ảnh hưởng</t>
  </si>
  <si>
    <t xml:space="preserve">graph view</t>
  </si>
  <si>
    <t xml:space="preserve">kg.impact, req.change_impact</t>
  </si>
  <si>
    <t xml:space="preserve">VIEW-07</t>
  </si>
  <si>
    <t xml:space="preserve">view.rag_ask</t>
  </si>
  <si>
    <t xml:space="preserve">Hỏi–đáp RAG trên toàn kho tài liệu dự án (PDF, ảnh OCR, mã, chat); trả lời có trích dẫn nhấp mở nguồn</t>
  </si>
  <si>
    <t xml:space="preserve">question, scope</t>
  </si>
  <si>
    <t xml:space="preserve">answer + citations[]</t>
  </si>
  <si>
    <t xml:space="preserve">Chỉ nguồn trong phạm vi</t>
  </si>
  <si>
    <t xml:space="preserve">VIEW-08</t>
  </si>
  <si>
    <t xml:space="preserve">view.rag_trace</t>
  </si>
  <si>
    <t xml:space="preserve">Hiển thị lý do trả lời: đoạn văn bản được truy hồi, điểm số, đường lan tỏa trên đồ thị (Graph-RAG)</t>
  </si>
  <si>
    <t xml:space="preserve">answer_id</t>
  </si>
  <si>
    <t xml:space="preserve">trace panel</t>
  </si>
  <si>
    <t xml:space="preserve">VIEW-09</t>
  </si>
  <si>
    <t xml:space="preserve">view.rag_index</t>
  </si>
  <si>
    <t xml:space="preserve">Xây/cập nhật chỉ mục RAG (chunk, embedding, chỉ mục từ khóa + đồ thị) cho tài liệu mới nạp; báo tiến độ</t>
  </si>
  <si>
    <t xml:space="preserve">index status</t>
  </si>
  <si>
    <t xml:space="preserve">archive.ingest</t>
  </si>
  <si>
    <t xml:space="preserve">VIEW-10</t>
  </si>
  <si>
    <t xml:space="preserve">view.rag_compare</t>
  </si>
  <si>
    <t xml:space="preserve">So sánh câu trả lời theo nhiều nguồn (datasheet vs errata vs cộng đồng) và chỉ ra chỗ khác nhau</t>
  </si>
  <si>
    <t xml:space="preserve">question</t>
  </si>
  <si>
    <t xml:space="preserve">comparison</t>
  </si>
  <si>
    <t xml:space="preserve">VIEW-11</t>
  </si>
  <si>
    <t xml:space="preserve">view.doc_side_by_side</t>
  </si>
  <si>
    <t xml:space="preserve">Xem tài liệu gốc cạnh fact/mã đã trích: bôi sáng vùng nguồn trong PDF/ảnh</t>
  </si>
  <si>
    <t xml:space="preserve">fact_id|code_unit</t>
  </si>
  <si>
    <t xml:space="preserve">split view</t>
  </si>
  <si>
    <t xml:space="preserve">VIEW-12</t>
  </si>
  <si>
    <t xml:space="preserve">view.timeline</t>
  </si>
  <si>
    <t xml:space="preserve">Dòng thời gian tri thức/quyết định: fact nhập, supersede, gate, merge, nạp — lọc theo ngày/người/AI</t>
  </si>
  <si>
    <t xml:space="preserve">timeline</t>
  </si>
  <si>
    <t xml:space="preserve">VIEW-13</t>
  </si>
  <si>
    <t xml:space="preserve">view.export_map</t>
  </si>
  <si>
    <t xml:space="preserve">Xuất bản đồ tri thức ra DOT/GraphML/SVG/PNG hoặc mã Mermaid để chèn tài liệu</t>
  </si>
  <si>
    <t xml:space="preserve">view, format</t>
  </si>
  <si>
    <t xml:space="preserve">DISCOVER-01</t>
  </si>
  <si>
    <t xml:space="preserve">discover</t>
  </si>
  <si>
    <t xml:space="preserve">discover.ports</t>
  </si>
  <si>
    <t xml:space="preserve">Liệt kê cổng USB/serial/JTAG-SWD đang cắm; VID/PID, driver, quyền truy cập</t>
  </si>
  <si>
    <t xml:space="preserve">ports[]</t>
  </si>
  <si>
    <t xml:space="preserve">DISCOVER-02</t>
  </si>
  <si>
    <t xml:space="preserve">discover.probe</t>
  </si>
  <si>
    <t xml:space="preserve">Dò debug probe (ST-Link, J-Link, CMSIS-DAP, PICkit, AVRISP, ESP USB-JTAG, FTDI); phiên bản firmware; đề xuất cập nhật</t>
  </si>
  <si>
    <t xml:space="preserve">probes[]</t>
  </si>
  <si>
    <t xml:space="preserve">DISCOVER-03</t>
  </si>
  <si>
    <t xml:space="preserve">discover.chip_id</t>
  </si>
  <si>
    <t xml:space="preserve">Đọc ID chip qua probe/bootloader (IDCODE, DEVICE_ID, signature bytes, JEDEC); đối chiếu hộ chiếu</t>
  </si>
  <si>
    <t xml:space="preserve">probe</t>
  </si>
  <si>
    <t xml:space="preserve">chip identity</t>
  </si>
  <si>
    <t xml:space="preserve">Probe kết nối</t>
  </si>
  <si>
    <t xml:space="preserve">ID không khớp hộ chiếu</t>
  </si>
  <si>
    <t xml:space="preserve">DISCOVER-04</t>
  </si>
  <si>
    <t xml:space="preserve">discover.board_match</t>
  </si>
  <si>
    <t xml:space="preserve">Nhận diện board từ chip ID + ngoại vi phản hồi (I2C scan, GPIO) + ảnh/BOM; xếp hạng ứng viên trong registry/web</t>
  </si>
  <si>
    <t xml:space="preserve">Nhiều ứng viên điểm gần nhau</t>
  </si>
  <si>
    <t xml:space="preserve">board.build_passport, search.web</t>
  </si>
  <si>
    <t xml:space="preserve">DISCOVER-05</t>
  </si>
  <si>
    <t xml:space="preserve">discover.bus_scan</t>
  </si>
  <si>
    <t xml:space="preserve">Quét bus I2C/SPI/1-Wire/CAN tìm thiết bị đang có; đối chiếu địa chỉ với BOM</t>
  </si>
  <si>
    <t xml:space="preserve">bus</t>
  </si>
  <si>
    <t xml:space="preserve">devices[]</t>
  </si>
  <si>
    <t xml:space="preserve">Board không lab</t>
  </si>
  <si>
    <t xml:space="preserve">DISCOVER-06</t>
  </si>
  <si>
    <t xml:space="preserve">discover.link_speed</t>
  </si>
  <si>
    <t xml:space="preserve">Dò tốc độ kết nối tối ưu: baud serial (auto-baud), SWD/JTAG clock, SPI/I2C clock; thử nấc và đo lỗi</t>
  </si>
  <si>
    <t xml:space="preserve">port|probe</t>
  </si>
  <si>
    <t xml:space="preserve">speed + error rate</t>
  </si>
  <si>
    <t xml:space="preserve">Thử nấc vượt datasheet</t>
  </si>
  <si>
    <t xml:space="preserve">DISCOVER-07</t>
  </si>
  <si>
    <t xml:space="preserve">discover.clock_measure</t>
  </si>
  <si>
    <t xml:space="preserve">Đo tần số thực của chip/bus (qua probe timestamp, LA, hoặc firmware đo) để đối chiếu cấu hình clock</t>
  </si>
  <si>
    <t xml:space="preserve">measured clocks</t>
  </si>
  <si>
    <t xml:space="preserve">measure.*</t>
  </si>
  <si>
    <t xml:space="preserve">DISCOVER-08</t>
  </si>
  <si>
    <t xml:space="preserve">discover.power</t>
  </si>
  <si>
    <t xml:space="preserve">Đọc điện áp/dòng cấp (nếu probe/board hỗ trợ) và cảnh báo bất thường trước khi nạp</t>
  </si>
  <si>
    <t xml:space="preserve">power status</t>
  </si>
  <si>
    <t xml:space="preserve">Bất thường</t>
  </si>
  <si>
    <t xml:space="preserve">DISCOVER-09</t>
  </si>
  <si>
    <t xml:space="preserve">discover.firmware_probe</t>
  </si>
  <si>
    <t xml:space="preserve">Nhận diện firmware đang chạy trên board (banner serial, bootloader, phiên bản) để quyết định nạp lại hay tái dùng</t>
  </si>
  <si>
    <t xml:space="preserve">port</t>
  </si>
  <si>
    <t xml:space="preserve">fw identity</t>
  </si>
  <si>
    <t xml:space="preserve">DISCOVER-10</t>
  </si>
  <si>
    <t xml:space="preserve">discover.network</t>
  </si>
  <si>
    <t xml:space="preserve">Dò thiết bị nhúng trên mạng LAN (mDNS, OTA endpoint, IP cố định) cho board có Wi-Fi/Ethernet</t>
  </si>
  <si>
    <t xml:space="preserve">subnet?</t>
  </si>
  <si>
    <t xml:space="preserve">Quét ngoài mạng lab</t>
  </si>
  <si>
    <t xml:space="preserve">DISCOVER-11</t>
  </si>
  <si>
    <t xml:space="preserve">discover.env_hw</t>
  </si>
  <si>
    <t xml:space="preserve">Tóm tắt phần cứng máy phát triển: OS, cổng, driver thiếu, quyền (udev/driver ký) → đề xuất sửa</t>
  </si>
  <si>
    <t xml:space="preserve">Cài driver (R2)</t>
  </si>
  <si>
    <t xml:space="preserve">DISCOVER-12</t>
  </si>
  <si>
    <t xml:space="preserve">discover.auto_setup</t>
  </si>
  <si>
    <t xml:space="preserve">Từ kết quả dò: chọn adapter ISA, cấu hình openocd/probe-rs/esptool, tốc độ, cổng; ghi vào dự án</t>
  </si>
  <si>
    <t xml:space="preserve">discover results</t>
  </si>
  <si>
    <t xml:space="preserve">target config</t>
  </si>
  <si>
    <t xml:space="preserve">Có ID chip khớp</t>
  </si>
  <si>
    <t xml:space="preserve">ID không khớp</t>
  </si>
  <si>
    <t xml:space="preserve">TOOL-01</t>
  </si>
  <si>
    <t xml:space="preserve">tool.need</t>
  </si>
  <si>
    <t xml:space="preserve">Nhận diện nhu cầu công cụ mới: khi chuỗi thiếu năng lực phù hợp hoặc năng lực hiện có không đủ, mô tả nhu cầu thành đặc tả công cụ (vào/ra/hiệu ứng)</t>
  </si>
  <si>
    <t xml:space="preserve">gap, context</t>
  </si>
  <si>
    <t xml:space="preserve">ToolSpec</t>
  </si>
  <si>
    <t xml:space="preserve">Không có năng lực nào khớp ≥ ngưỡng</t>
  </si>
  <si>
    <t xml:space="preserve">DPS-09 §4.4</t>
  </si>
  <si>
    <t xml:space="preserve">TOOL-02</t>
  </si>
  <si>
    <t xml:space="preserve">tool.search</t>
  </si>
  <si>
    <t xml:space="preserve">Tìm công cụ đã có (do tác tử tự viết trước đó, trong dự án/người dùng/registry) khớp đặc tả để tái dùng thay vì viết mới</t>
  </si>
  <si>
    <t xml:space="preserve">tools[]</t>
  </si>
  <si>
    <t xml:space="preserve">memory M5</t>
  </si>
  <si>
    <t xml:space="preserve">TOOL-03</t>
  </si>
  <si>
    <t xml:space="preserve">tool.write</t>
  </si>
  <si>
    <t xml:space="preserve">Tự viết công cụ bằng Python theo ToolSpec: hàm thuần có chữ ký, docstring, kiểm tham số, xử lý lỗi, không tác dụng phụ ngoài hiệu ứng khai báo; kèm test</t>
  </si>
  <si>
    <t xml:space="preserve">ToolCode + tests</t>
  </si>
  <si>
    <t xml:space="preserve">ToolSpec đầy đủ</t>
  </si>
  <si>
    <t xml:space="preserve">Hiệu ứng khai báo gồm mạng/phần cứng/sudo</t>
  </si>
  <si>
    <t xml:space="preserve">PRS-16 coder</t>
  </si>
  <si>
    <t xml:space="preserve">TOOL-04</t>
  </si>
  <si>
    <t xml:space="preserve">tool.test</t>
  </si>
  <si>
    <t xml:space="preserve">Chạy test của công cụ trong sandbox (không mạng, không phần cứng); kiểm hiệu ứng thực tế khớp khai báo (giám sát syscall/ghi tệp)</t>
  </si>
  <si>
    <t xml:space="preserve">ToolCode</t>
  </si>
  <si>
    <t xml:space="preserve">SEC-25 §2</t>
  </si>
  <si>
    <t xml:space="preserve">TOOL-05</t>
  </si>
  <si>
    <t xml:space="preserve">tool.run</t>
  </si>
  <si>
    <t xml:space="preserve">Thực thi công cụ trong sandbox với giới hạn theo hiệu ứng khai báo; chính sách quyết định theo lớp rủi ro suy ra từ hiệu ứng (đọc R0, ghi dự án R2, mạng R1, phần cứng R3, hệ thống R4)</t>
  </si>
  <si>
    <t xml:space="preserve">tool_id, args</t>
  </si>
  <si>
    <t xml:space="preserve">result + ToolReport</t>
  </si>
  <si>
    <t xml:space="preserve">Đã test đạt</t>
  </si>
  <si>
    <t xml:space="preserve">Hiệu ứng ngoài khai báo; R3/R4</t>
  </si>
  <si>
    <t xml:space="preserve">POL-17 TOOL-*</t>
  </si>
  <si>
    <t xml:space="preserve">TOOL-06</t>
  </si>
  <si>
    <t xml:space="preserve">tool.register</t>
  </si>
  <si>
    <t xml:space="preserve">Đăng ký công cụ thành năng lực tạm (namespace user.*) trong Capability Registry với hợp đồng 13 trường suy ra từ ToolSpec; gọi được từ chuỗi/UI/MCP như mọi năng lực</t>
  </si>
  <si>
    <t xml:space="preserve">tool_id</t>
  </si>
  <si>
    <t xml:space="preserve">capability code</t>
  </si>
  <si>
    <t xml:space="preserve">test đạt</t>
  </si>
  <si>
    <t xml:space="preserve">SDD-04 §4.0</t>
  </si>
  <si>
    <t xml:space="preserve">TOOL-07</t>
  </si>
  <si>
    <t xml:space="preserve">tool.repair</t>
  </si>
  <si>
    <t xml:space="preserve">Sửa công cụ khi thất bại (ToolReport/lỗi runtime) ≤ 3 vòng; ghi sổ lỗi</t>
  </si>
  <si>
    <t xml:space="preserve">tool_id, report</t>
  </si>
  <si>
    <t xml:space="preserve">ToolCode'</t>
  </si>
  <si>
    <t xml:space="preserve">TOOL-08</t>
  </si>
  <si>
    <t xml:space="preserve">tool.promote</t>
  </si>
  <si>
    <t xml:space="preserve">Thăng công cụ tạm thành năng lực chính thức (namespace chuẩn) sau khi dùng ≥ n lần thành công và benchmark; đóng gói vào registry (K5 thủ tục); Pack owner duyệt</t>
  </si>
  <si>
    <t xml:space="preserve">PR/pack</t>
  </si>
  <si>
    <t xml:space="preserve">Dùng ≥ 3 lần, 0 lỗi</t>
  </si>
  <si>
    <t xml:space="preserve">TOOL-09</t>
  </si>
  <si>
    <t xml:space="preserve">tool.compose</t>
  </si>
  <si>
    <t xml:space="preserve">Ghép nhiều công cụ/năng lực thành công cụ mới (pipeline) không cần viết mã; khai báo hiệu ứng = hợp hiệu ứng thành phần</t>
  </si>
  <si>
    <t xml:space="preserve">tool_ids[], wiring</t>
  </si>
  <si>
    <t xml:space="preserve">ToolSpec + code</t>
  </si>
  <si>
    <t xml:space="preserve">TOOL-10</t>
  </si>
  <si>
    <t xml:space="preserve">tool.deprecate</t>
  </si>
  <si>
    <t xml:space="preserve">Vô hiệu hóa công cụ lỗi/không dùng; giữ lịch sử; thay thế bằng năng lực chính thức khi có</t>
  </si>
  <si>
    <t xml:space="preserve">tool_id, reason</t>
  </si>
  <si>
    <t xml:space="preserve">THỐNG KÊ (công thức)</t>
  </si>
  <si>
    <t xml:space="preserve">Tổng năng lực</t>
  </si>
  <si>
    <t xml:space="preserve">Đã có trong M0 (chứa 'có')</t>
  </si>
  <si>
    <t xml:space="preserve">Theo mức</t>
  </si>
  <si>
    <t xml:space="preserve">Số</t>
  </si>
  <si>
    <t xml:space="preserve">Tỷ lệ</t>
  </si>
  <si>
    <t xml:space="preserve">Theo lớp rủi ro</t>
  </si>
  <si>
    <t xml:space="preserve">Theo nhóm</t>
  </si>
  <si>
    <t xml:space="preserve">Theo mốc</t>
  </si>
  <si>
    <t xml:space="preserve">Giai đoạn</t>
  </si>
  <si>
    <t xml:space="preserve">Nhóm năng lực</t>
  </si>
  <si>
    <t xml:space="preserve">Số năng lực</t>
  </si>
  <si>
    <t xml:space="preserve">Mã năng lực</t>
  </si>
  <si>
    <t xml:space="preserve">1. Thu thập &amp; phân tích yêu cầu</t>
  </si>
  <si>
    <t xml:space="preserve">req, chat, memory, search</t>
  </si>
  <si>
    <t xml:space="preserve">Kỹ sư ra lệnh; tác tử thu thập, phân loại, đối chiếu khả thi với hộ chiếu; câu hỏi gộp cho ô trống; sinh URD/SRS.</t>
  </si>
  <si>
    <t xml:space="preserve">memory.compose, memory.compress, memory.retrieve, memory.progress, memory.ledger, memory.error_ledger, memory.forget, memory.summarize_session, search.registry, search.vendor, search.docs_mcp, search.web, search.rank, search.fetch, search.verify_match, search.missing, search.reference_projects, chat.parse_intent, chat.ground, chat.fill_defaults, chat.clarify, chat.restate, chat.orchestrate, chat.report_back, chat.decline, req.elicit, req.classify, req.ground_hw, req.detect_conflict, req.prioritize, req.trace_matrix, req.acceptance, req.change_impact</t>
  </si>
  <si>
    <t xml:space="preserve">2. Tri thức phần cứng</t>
  </si>
  <si>
    <t xml:space="preserve">archive, extract, passport, kg, board, view</t>
  </si>
  <si>
    <t xml:space="preserve">Khai phá zip/rar, trích xuất PDF/ảnh/BOM/netlist → fact có nguồn → hộ chiếu chip/board và đồ thị tri thức; hiển thị bản đồ tri thức, nguồn gốc, hỏi–đáp RAG có trích dẫn.</t>
  </si>
  <si>
    <t xml:space="preserve">archive.list, archive.unpack, archive.extract_one, archive.query, ingest.classify, ingest.hash_dedupe, ingest.index_text, extract.svd, extract.atdf, extract.edc, extract.header_c, extract.dt_binding, extract.pdf_layout, extract.pdf_register_map, extract.pdf_electrical, extract.pdf_pinout, extract.pdf_errata, extract.pdf_formula, extract.ocr, extract.image_schematic, extract.image_board, extract.image_scope, extract.kicad_netlist, extract.bom, extract.bom_enrich, extract.office, extract.readme_goal, extract.code_constants, passport.import, passport.query, passport.list, passport.diff, passport.upgrade, passport.verify_on_board, passport.export, passport.resolve_address, kg.build, kg.conflicts, kg.impact, kg.neighborhood, kg.review_facts, kg.resolve_conflict, kg.supersede, kg.request, kg.evidence, board.build_passport, board.check_pins, board.constraints, board.propose_fix, board.mark_lab, view.kg_map, view.kg_focus, view.provenance, view.conflict_board, view.coverage_map, view.impact_map, view.rag_ask, view.rag_trace, view.rag_index, view.rag_compare, view.doc_side_by_side, view.timeline, view.export_map</t>
  </si>
  <si>
    <t xml:space="preserve">3. Thiết kế kiến trúc &amp; chi tiết</t>
  </si>
  <si>
    <t xml:space="preserve">arch, diagram, plan</t>
  </si>
  <si>
    <t xml:space="preserve">Chọn kiểu kiến trúc, phân rã module, gán tài nguyên phần cứng, ngân sách RAM/thời gian, ADR; vẽ sơ đồ khối/kiến trúc/tuần tự/trạng thái; lập kế hoạch.</t>
  </si>
  <si>
    <t xml:space="preserve">plan.define_feature, plan.decompose, plan.create, plan.order, plan.estimate, plan.replan, plan.sufficiency, arch.style_select, arch.decompose, arch.map_hw, arch.memory_budget, arch.timing_budget, arch.interface_spec, arch.state_machine, arch.adr, arch.review, arch.compare, arch.to_plan, diagram.render, diagram.block, diagram.pinmap, diagram.architecture, diagram.sequence, diagram.state, diagram.flow, diagram.timing, diagram.memory_map, diagram.kg_view, diagram.gantt, diagram.from_image, diagram.lint, diagram.sync</t>
  </si>
  <si>
    <t xml:space="preserve">4. Môi trường &amp; hiện thực</t>
  </si>
  <si>
    <t xml:space="preserve">env, code, project</t>
  </si>
  <si>
    <t xml:space="preserve">Kiểm tra/cài công cụ (hỏi khi R2+), sinh mã theo module, tích hợp, merge có hoàn tác.</t>
  </si>
  <si>
    <t xml:space="preserve">project.create, project.open, project.list, project.clone, project.archive, project.set_target, project.rollback, project.status, project.preferences, env.detect, env.check, env.install, env.guide_install, env.lock, env.install_pack, env.sandbox, code.generate_module, code.modify, code.integrate, code.constant_guard, code.build, code.size, code.static, code.test_host, code.generate_tests, code.self_repair, code.review, code.merge, code.revert, code.annotate, code.docs, code.refactor</t>
  </si>
  <si>
    <t xml:space="preserve">5. Mô phỏng, nạp, gỡ lỗi, đo</t>
  </si>
  <si>
    <t xml:space="preserve">discover, sim, target, debug, measure, bench</t>
  </si>
  <si>
    <t xml:space="preserve">Dò board/probe/cổng, ID chip, tốc độ kết nối, quét bus; dựng mô phỏng, nạp/verify qua ISA adapter, thí nghiệm theo chính sách, đo đạc, benchmark.</t>
  </si>
  <si>
    <t xml:space="preserve">sim.build_platform, sim.mock_peripheral, sim.model_plant, sim.scenario, sim.run, sim.sweep, sim.compare_hil, target.detect, target.flash, target.reset, target.serial, target.probe_read, target.probe_write, target.erase_fuse, target.diagnose_fault, target.observe, debug.log_stats, debug.ask_at, debug.hypothesize, debug.experiment, debug.save_session, debug.propose_fix, measure.capture_signal, measure.power, measure.sync, bench.run, bench.badge, bench.suggest_skill_fix, discover.ports, discover.probe, discover.chip_id, discover.board_match, discover.bus_scan, discover.link_speed, discover.clock_measure, discover.power, discover.firmware_probe, discover.network, discover.env_hw, discover.auto_setup</t>
  </si>
  <si>
    <t xml:space="preserve">6. Tài liệu, báo cáo, phát hành</t>
  </si>
  <si>
    <t xml:space="preserve">doc, report, registry</t>
  </si>
  <si>
    <t xml:space="preserve">Sinh bộ tài liệu chuẩn EAA/EIDE có mục Nguồn, chèn lược đồ, báo cáo kiểm thử/tiến độ, đóng gói .hkp.</t>
  </si>
  <si>
    <t xml:space="preserve">registry.search, registry.pull, registry.pack, registry.publish, registry.seed, report.progress, report.export, report.human_ai_matrix, report.explain, doc.generate, doc.section, doc.api_ref, doc.datasheet_summary, doc.bringup_guide, doc.test_report, doc.embed_diagram, doc.style_check, doc.translate, doc.changelog, doc.slides, doc.sync</t>
  </si>
  <si>
    <t xml:space="preserve">Xuyên suốt: chính sách tự chủ</t>
  </si>
  <si>
    <t xml:space="preserve">APPROVE/ASK/REJECT theo cổng, cửa sổ hoàn tác, leo thang, dừng khẩn, học ngưỡng.</t>
  </si>
  <si>
    <t xml:space="preserve">policy.decide, policy.permit, policy.undo_window, policy.escalate, policy.emergency_stop, policy.learn_thresholds, policy.set_autonomy</t>
  </si>
  <si>
    <t xml:space="preserve">Xuyên suốt: tự tạo công cụ (self-tooling)</t>
  </si>
  <si>
    <t xml:space="preserve">Khi thiếu năng lực phù hợp, tác tử tự đặc tả, viết công cụ Python, test trong sandbox, chạy theo chính sách rủi ro suy ra từ hiệu ứng, đăng ký thành năng lực tạm và thăng cấp sau khi chứng minh — năng lực gốc sinh ra năng lực khác.</t>
  </si>
  <si>
    <t xml:space="preserve">tool.need, tool.search, tool.write, tool.test, tool.run, tool.register, tool.repair, tool.promote, tool.compose, tool.deprecate</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</si>
</sst>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B8121F"/>
      <name val="Arial"/>
      <family val="0"/>
      <charset val="1"/>
    </font>
    <font>
      <i val="true"/>
      <sz val="10"/>
      <color rgb="FF2F4858"/>
      <name val="Arial"/>
      <family val="0"/>
      <charset val="1"/>
    </font>
    <font>
      <sz val="10"/>
      <name val="Arial"/>
      <family val="0"/>
      <charset val="1"/>
    </font>
    <font>
      <b val="true"/>
      <sz val="10"/>
      <name val="Arial"/>
      <family val="0"/>
      <charset val="1"/>
    </font>
    <font>
      <b val="true"/>
      <sz val="10"/>
      <color rgb="FFFFFFFF"/>
      <name val="Arial"/>
      <family val="0"/>
      <charset val="1"/>
    </font>
    <font>
      <b val="true"/>
      <sz val="12"/>
      <color rgb="FFB8121F"/>
      <name val="Arial"/>
      <family val="0"/>
      <charset val="1"/>
    </font>
  </fonts>
  <fills count="5">
    <fill>
      <patternFill patternType="none"/>
    </fill>
    <fill>
      <patternFill patternType="gray125"/>
    </fill>
    <fill>
      <patternFill patternType="solid">
        <fgColor rgb="FFB8121F"/>
        <bgColor rgb="FF800000"/>
      </patternFill>
    </fill>
    <fill>
      <patternFill patternType="solid">
        <fgColor rgb="FFF2F6FB"/>
        <bgColor rgb="FFFFFFFF"/>
      </patternFill>
    </fill>
    <fill>
      <patternFill patternType="solid">
        <fgColor rgb="FF2F4858"/>
        <bgColor rgb="FF333399"/>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B8121F"/>
          <bgColor rgb="FF000000"/>
        </patternFill>
      </fill>
    </dxf>
    <dxf>
      <fill>
        <patternFill patternType="solid">
          <fgColor rgb="FFF2F6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B"/>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B8121F"/>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NangLucDayDu" displayName="NangLucDayDu" ref="A1:M239" headerRowCount="1" totalsRowCount="0" totalsRowShown="0">
  <autoFilter ref="A1:M239"/>
  <tableColumns count="13">
    <tableColumn id="1" name="Mã"/>
    <tableColumn id="2" name="Nhóm"/>
    <tableColumn id="3" name="Năng lực"/>
    <tableColumn id="4" name="Mô tả"/>
    <tableColumn id="5" name="Tham số vào"/>
    <tableColumn id="6" name="Kết quả ra"/>
    <tableColumn id="7" name="Lớp rủi ro"/>
    <tableColumn id="8" name="Mức"/>
    <tableColumn id="9" name="Grounding / tiền điều kiện"/>
    <tableColumn id="10" name="Hỏi kỹ sư khi"/>
    <tableColumn id="11" name="UC / tham chiếu"/>
    <tableColumn id="12" name="Mốc"/>
    <tableColumn id="13" name="Trạng thái M0"/>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t="s">
        <v>1</v>
      </c>
    </row>
    <row r="3" customFormat="false" ht="23.85" hidden="false" customHeight="false" outlineLevel="0" collapsed="false">
      <c r="A3" s="3" t="s">
        <v>2</v>
      </c>
    </row>
    <row r="4" customFormat="false" ht="15" hidden="false" customHeight="false" outlineLevel="0" collapsed="false">
      <c r="A4" s="3"/>
    </row>
    <row r="5" customFormat="false" ht="15" hidden="false" customHeight="false" outlineLevel="0" collapsed="false">
      <c r="A5" s="4" t="s">
        <v>3</v>
      </c>
    </row>
    <row r="6" customFormat="false" ht="23.8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35.05" hidden="false" customHeight="false" outlineLevel="0" collapsed="false">
      <c r="A11"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26"/>
    <col collapsed="false" customWidth="true" hidden="false" outlineLevel="0" max="4" min="4" style="0" width="52"/>
    <col collapsed="false" customWidth="true" hidden="false" outlineLevel="0" max="5" min="5" style="0" width="24"/>
    <col collapsed="false" customWidth="true" hidden="false" outlineLevel="0" max="6" min="6" style="0" width="18"/>
    <col collapsed="false" customWidth="true" hidden="false" outlineLevel="0" max="7" min="7" style="0" width="9"/>
    <col collapsed="false" customWidth="true" hidden="false" outlineLevel="0" max="8" min="8" style="0" width="7"/>
    <col collapsed="false" customWidth="true" hidden="false" outlineLevel="0" max="9" min="9" style="0" width="26"/>
    <col collapsed="false" customWidth="true" hidden="false" outlineLevel="0" max="10" min="10" style="0" width="28"/>
    <col collapsed="false" customWidth="true" hidden="false" outlineLevel="0" max="11" min="11" style="0" width="16"/>
    <col collapsed="false" customWidth="true" hidden="false" outlineLevel="0" max="12" min="12" style="0" width="6"/>
    <col collapsed="false" customWidth="true" hidden="false" outlineLevel="0" max="13" min="13" style="0" width="14"/>
  </cols>
  <sheetData>
    <row r="1" customFormat="false" ht="23.25" hidden="false" customHeight="true" outlineLevel="0" collapsed="false">
      <c r="A1" s="5" t="s">
        <v>10</v>
      </c>
      <c r="B1" s="5" t="s">
        <v>11</v>
      </c>
      <c r="C1" s="5" t="s">
        <v>12</v>
      </c>
      <c r="D1" s="5" t="s">
        <v>13</v>
      </c>
      <c r="E1" s="5" t="s">
        <v>14</v>
      </c>
      <c r="F1" s="5" t="s">
        <v>15</v>
      </c>
      <c r="G1" s="5" t="s">
        <v>16</v>
      </c>
      <c r="H1" s="5" t="s">
        <v>17</v>
      </c>
      <c r="I1" s="5" t="s">
        <v>18</v>
      </c>
      <c r="J1" s="5" t="s">
        <v>19</v>
      </c>
      <c r="K1" s="5" t="s">
        <v>20</v>
      </c>
      <c r="L1" s="5" t="s">
        <v>21</v>
      </c>
      <c r="M1" s="5" t="s">
        <v>22</v>
      </c>
    </row>
    <row r="2" customFormat="false" ht="23.85" hidden="false" customHeight="false" outlineLevel="0" collapsed="false">
      <c r="A2" s="6" t="s">
        <v>23</v>
      </c>
      <c r="B2" s="6" t="s">
        <v>24</v>
      </c>
      <c r="C2" s="6" t="s">
        <v>25</v>
      </c>
      <c r="D2" s="6" t="s">
        <v>26</v>
      </c>
      <c r="E2" s="6" t="s">
        <v>27</v>
      </c>
      <c r="F2" s="6" t="s">
        <v>28</v>
      </c>
      <c r="G2" s="6" t="s">
        <v>29</v>
      </c>
      <c r="H2" s="6" t="s">
        <v>30</v>
      </c>
      <c r="I2" s="6" t="s">
        <v>31</v>
      </c>
      <c r="J2" s="6" t="s">
        <v>32</v>
      </c>
      <c r="K2" s="6" t="s">
        <v>33</v>
      </c>
      <c r="L2" s="6" t="s">
        <v>34</v>
      </c>
      <c r="M2" s="6" t="s">
        <v>35</v>
      </c>
    </row>
    <row r="3" customFormat="false" ht="23.85" hidden="false" customHeight="false" outlineLevel="0" collapsed="false">
      <c r="A3" s="7" t="s">
        <v>36</v>
      </c>
      <c r="B3" s="7" t="s">
        <v>24</v>
      </c>
      <c r="C3" s="7" t="s">
        <v>37</v>
      </c>
      <c r="D3" s="7" t="s">
        <v>38</v>
      </c>
      <c r="E3" s="7" t="s">
        <v>39</v>
      </c>
      <c r="F3" s="7" t="s">
        <v>40</v>
      </c>
      <c r="G3" s="7" t="s">
        <v>41</v>
      </c>
      <c r="H3" s="7" t="s">
        <v>30</v>
      </c>
      <c r="I3" s="7" t="s">
        <v>42</v>
      </c>
      <c r="J3" s="7" t="s">
        <v>43</v>
      </c>
      <c r="K3" s="7" t="s">
        <v>44</v>
      </c>
      <c r="L3" s="7" t="s">
        <v>34</v>
      </c>
      <c r="M3" s="7" t="s">
        <v>45</v>
      </c>
    </row>
    <row r="4" customFormat="false" ht="23.85" hidden="false" customHeight="false" outlineLevel="0" collapsed="false">
      <c r="A4" s="6" t="s">
        <v>46</v>
      </c>
      <c r="B4" s="6" t="s">
        <v>24</v>
      </c>
      <c r="C4" s="6" t="s">
        <v>47</v>
      </c>
      <c r="D4" s="6" t="s">
        <v>48</v>
      </c>
      <c r="E4" s="6" t="s">
        <v>49</v>
      </c>
      <c r="F4" s="6" t="s">
        <v>50</v>
      </c>
      <c r="G4" s="6" t="s">
        <v>41</v>
      </c>
      <c r="H4" s="6" t="s">
        <v>30</v>
      </c>
      <c r="I4" s="6" t="s">
        <v>49</v>
      </c>
      <c r="J4" s="6" t="s">
        <v>49</v>
      </c>
      <c r="K4" s="6" t="s">
        <v>51</v>
      </c>
      <c r="L4" s="6" t="s">
        <v>52</v>
      </c>
      <c r="M4" s="6" t="s">
        <v>53</v>
      </c>
    </row>
    <row r="5" customFormat="false" ht="23.85" hidden="false" customHeight="false" outlineLevel="0" collapsed="false">
      <c r="A5" s="7" t="s">
        <v>54</v>
      </c>
      <c r="B5" s="7" t="s">
        <v>24</v>
      </c>
      <c r="C5" s="7" t="s">
        <v>55</v>
      </c>
      <c r="D5" s="7" t="s">
        <v>56</v>
      </c>
      <c r="E5" s="7" t="s">
        <v>57</v>
      </c>
      <c r="F5" s="7" t="s">
        <v>58</v>
      </c>
      <c r="G5" s="7" t="s">
        <v>29</v>
      </c>
      <c r="H5" s="7" t="s">
        <v>30</v>
      </c>
      <c r="I5" s="7" t="s">
        <v>49</v>
      </c>
      <c r="J5" s="7" t="s">
        <v>49</v>
      </c>
      <c r="K5" s="7" t="s">
        <v>51</v>
      </c>
      <c r="L5" s="7" t="s">
        <v>59</v>
      </c>
      <c r="M5" s="7" t="s">
        <v>53</v>
      </c>
    </row>
    <row r="6" customFormat="false" ht="23.85" hidden="false" customHeight="false" outlineLevel="0" collapsed="false">
      <c r="A6" s="6" t="s">
        <v>60</v>
      </c>
      <c r="B6" s="6" t="s">
        <v>24</v>
      </c>
      <c r="C6" s="6" t="s">
        <v>61</v>
      </c>
      <c r="D6" s="6" t="s">
        <v>62</v>
      </c>
      <c r="E6" s="6" t="s">
        <v>58</v>
      </c>
      <c r="F6" s="6" t="s">
        <v>49</v>
      </c>
      <c r="G6" s="6" t="s">
        <v>29</v>
      </c>
      <c r="H6" s="6" t="s">
        <v>30</v>
      </c>
      <c r="I6" s="6" t="s">
        <v>49</v>
      </c>
      <c r="J6" s="6" t="s">
        <v>63</v>
      </c>
      <c r="K6" s="6" t="s">
        <v>64</v>
      </c>
      <c r="L6" s="6" t="s">
        <v>59</v>
      </c>
      <c r="M6" s="6" t="s">
        <v>53</v>
      </c>
    </row>
    <row r="7" customFormat="false" ht="23.85" hidden="false" customHeight="false" outlineLevel="0" collapsed="false">
      <c r="A7" s="7" t="s">
        <v>65</v>
      </c>
      <c r="B7" s="7" t="s">
        <v>24</v>
      </c>
      <c r="C7" s="7" t="s">
        <v>66</v>
      </c>
      <c r="D7" s="7" t="s">
        <v>67</v>
      </c>
      <c r="E7" s="7" t="s">
        <v>68</v>
      </c>
      <c r="F7" s="7" t="s">
        <v>69</v>
      </c>
      <c r="G7" s="7" t="s">
        <v>29</v>
      </c>
      <c r="H7" s="7" t="s">
        <v>30</v>
      </c>
      <c r="I7" s="7" t="s">
        <v>70</v>
      </c>
      <c r="J7" s="7" t="s">
        <v>71</v>
      </c>
      <c r="K7" s="7" t="s">
        <v>72</v>
      </c>
      <c r="L7" s="7" t="s">
        <v>34</v>
      </c>
      <c r="M7" s="7" t="s">
        <v>73</v>
      </c>
    </row>
    <row r="8" customFormat="false" ht="23.85" hidden="false" customHeight="false" outlineLevel="0" collapsed="false">
      <c r="A8" s="6" t="s">
        <v>74</v>
      </c>
      <c r="B8" s="6" t="s">
        <v>24</v>
      </c>
      <c r="C8" s="6" t="s">
        <v>75</v>
      </c>
      <c r="D8" s="6" t="s">
        <v>76</v>
      </c>
      <c r="E8" s="6" t="s">
        <v>77</v>
      </c>
      <c r="F8" s="6" t="s">
        <v>78</v>
      </c>
      <c r="G8" s="6" t="s">
        <v>29</v>
      </c>
      <c r="H8" s="6" t="s">
        <v>30</v>
      </c>
      <c r="I8" s="6" t="s">
        <v>79</v>
      </c>
      <c r="J8" s="6" t="s">
        <v>49</v>
      </c>
      <c r="K8" s="6" t="s">
        <v>80</v>
      </c>
      <c r="L8" s="6" t="s">
        <v>59</v>
      </c>
      <c r="M8" s="6" t="s">
        <v>53</v>
      </c>
    </row>
    <row r="9" customFormat="false" ht="23.85" hidden="false" customHeight="false" outlineLevel="0" collapsed="false">
      <c r="A9" s="7" t="s">
        <v>81</v>
      </c>
      <c r="B9" s="7" t="s">
        <v>24</v>
      </c>
      <c r="C9" s="7" t="s">
        <v>82</v>
      </c>
      <c r="D9" s="7" t="s">
        <v>83</v>
      </c>
      <c r="E9" s="7" t="s">
        <v>49</v>
      </c>
      <c r="F9" s="7" t="s">
        <v>84</v>
      </c>
      <c r="G9" s="7" t="s">
        <v>41</v>
      </c>
      <c r="H9" s="7" t="s">
        <v>30</v>
      </c>
      <c r="I9" s="7" t="s">
        <v>49</v>
      </c>
      <c r="J9" s="7" t="s">
        <v>49</v>
      </c>
      <c r="K9" s="7" t="s">
        <v>44</v>
      </c>
      <c r="L9" s="7" t="s">
        <v>52</v>
      </c>
      <c r="M9" s="7" t="s">
        <v>73</v>
      </c>
    </row>
    <row r="10" customFormat="false" ht="23.85" hidden="false" customHeight="false" outlineLevel="0" collapsed="false">
      <c r="A10" s="6" t="s">
        <v>85</v>
      </c>
      <c r="B10" s="6" t="s">
        <v>24</v>
      </c>
      <c r="C10" s="6" t="s">
        <v>86</v>
      </c>
      <c r="D10" s="6" t="s">
        <v>87</v>
      </c>
      <c r="E10" s="6" t="s">
        <v>88</v>
      </c>
      <c r="F10" s="6" t="s">
        <v>89</v>
      </c>
      <c r="G10" s="6" t="s">
        <v>90</v>
      </c>
      <c r="H10" s="6" t="s">
        <v>30</v>
      </c>
      <c r="I10" s="6" t="s">
        <v>49</v>
      </c>
      <c r="J10" s="6" t="s">
        <v>49</v>
      </c>
      <c r="K10" s="6" t="s">
        <v>91</v>
      </c>
      <c r="L10" s="6" t="s">
        <v>52</v>
      </c>
      <c r="M10" s="6" t="s">
        <v>53</v>
      </c>
    </row>
    <row r="11" customFormat="false" ht="23.85" hidden="false" customHeight="false" outlineLevel="0" collapsed="false">
      <c r="A11" s="7" t="s">
        <v>92</v>
      </c>
      <c r="B11" s="7" t="s">
        <v>93</v>
      </c>
      <c r="C11" s="7" t="s">
        <v>94</v>
      </c>
      <c r="D11" s="7" t="s">
        <v>95</v>
      </c>
      <c r="E11" s="7" t="s">
        <v>96</v>
      </c>
      <c r="F11" s="7" t="s">
        <v>97</v>
      </c>
      <c r="G11" s="7" t="s">
        <v>41</v>
      </c>
      <c r="H11" s="7" t="s">
        <v>30</v>
      </c>
      <c r="I11" s="7" t="s">
        <v>49</v>
      </c>
      <c r="J11" s="7" t="s">
        <v>49</v>
      </c>
      <c r="K11" s="7" t="s">
        <v>98</v>
      </c>
      <c r="L11" s="7" t="s">
        <v>52</v>
      </c>
      <c r="M11" s="7" t="s">
        <v>99</v>
      </c>
    </row>
    <row r="12" customFormat="false" ht="23.85" hidden="false" customHeight="false" outlineLevel="0" collapsed="false">
      <c r="A12" s="6" t="s">
        <v>100</v>
      </c>
      <c r="B12" s="6" t="s">
        <v>93</v>
      </c>
      <c r="C12" s="6" t="s">
        <v>101</v>
      </c>
      <c r="D12" s="6" t="s">
        <v>102</v>
      </c>
      <c r="E12" s="6" t="s">
        <v>103</v>
      </c>
      <c r="F12" s="6" t="s">
        <v>104</v>
      </c>
      <c r="G12" s="6" t="s">
        <v>41</v>
      </c>
      <c r="H12" s="6" t="s">
        <v>30</v>
      </c>
      <c r="I12" s="6" t="s">
        <v>49</v>
      </c>
      <c r="J12" s="6" t="s">
        <v>49</v>
      </c>
      <c r="K12" s="6" t="s">
        <v>98</v>
      </c>
      <c r="L12" s="6" t="s">
        <v>52</v>
      </c>
      <c r="M12" s="6" t="s">
        <v>53</v>
      </c>
    </row>
    <row r="13" customFormat="false" ht="23.85" hidden="false" customHeight="false" outlineLevel="0" collapsed="false">
      <c r="A13" s="7" t="s">
        <v>105</v>
      </c>
      <c r="B13" s="7" t="s">
        <v>93</v>
      </c>
      <c r="C13" s="7" t="s">
        <v>106</v>
      </c>
      <c r="D13" s="7" t="s">
        <v>107</v>
      </c>
      <c r="E13" s="7" t="s">
        <v>108</v>
      </c>
      <c r="F13" s="7" t="s">
        <v>109</v>
      </c>
      <c r="G13" s="7" t="s">
        <v>41</v>
      </c>
      <c r="H13" s="7" t="s">
        <v>30</v>
      </c>
      <c r="I13" s="7" t="s">
        <v>49</v>
      </c>
      <c r="J13" s="7" t="s">
        <v>49</v>
      </c>
      <c r="K13" s="7" t="s">
        <v>110</v>
      </c>
      <c r="L13" s="7" t="s">
        <v>59</v>
      </c>
      <c r="M13" s="7" t="s">
        <v>111</v>
      </c>
    </row>
    <row r="14" customFormat="false" ht="23.85" hidden="false" customHeight="false" outlineLevel="0" collapsed="false">
      <c r="A14" s="6" t="s">
        <v>112</v>
      </c>
      <c r="B14" s="6" t="s">
        <v>93</v>
      </c>
      <c r="C14" s="6" t="s">
        <v>113</v>
      </c>
      <c r="D14" s="6" t="s">
        <v>114</v>
      </c>
      <c r="E14" s="6" t="s">
        <v>115</v>
      </c>
      <c r="F14" s="6" t="s">
        <v>116</v>
      </c>
      <c r="G14" s="6" t="s">
        <v>90</v>
      </c>
      <c r="H14" s="6" t="s">
        <v>30</v>
      </c>
      <c r="I14" s="6" t="s">
        <v>49</v>
      </c>
      <c r="J14" s="6" t="s">
        <v>49</v>
      </c>
      <c r="K14" s="6" t="s">
        <v>117</v>
      </c>
      <c r="L14" s="6" t="s">
        <v>52</v>
      </c>
      <c r="M14" s="6" t="s">
        <v>53</v>
      </c>
    </row>
    <row r="15" customFormat="false" ht="23.85" hidden="false" customHeight="false" outlineLevel="0" collapsed="false">
      <c r="A15" s="7" t="s">
        <v>118</v>
      </c>
      <c r="B15" s="7" t="s">
        <v>93</v>
      </c>
      <c r="C15" s="7" t="s">
        <v>119</v>
      </c>
      <c r="D15" s="7" t="s">
        <v>120</v>
      </c>
      <c r="E15" s="7" t="s">
        <v>121</v>
      </c>
      <c r="F15" s="7" t="s">
        <v>49</v>
      </c>
      <c r="G15" s="7" t="s">
        <v>90</v>
      </c>
      <c r="H15" s="7" t="s">
        <v>30</v>
      </c>
      <c r="I15" s="7" t="s">
        <v>49</v>
      </c>
      <c r="J15" s="7" t="s">
        <v>49</v>
      </c>
      <c r="K15" s="7" t="s">
        <v>122</v>
      </c>
      <c r="L15" s="7" t="s">
        <v>34</v>
      </c>
      <c r="M15" s="7" t="s">
        <v>45</v>
      </c>
    </row>
    <row r="16" customFormat="false" ht="23.85" hidden="false" customHeight="false" outlineLevel="0" collapsed="false">
      <c r="A16" s="6" t="s">
        <v>123</v>
      </c>
      <c r="B16" s="6" t="s">
        <v>93</v>
      </c>
      <c r="C16" s="6" t="s">
        <v>124</v>
      </c>
      <c r="D16" s="6" t="s">
        <v>125</v>
      </c>
      <c r="E16" s="6" t="s">
        <v>126</v>
      </c>
      <c r="F16" s="6" t="s">
        <v>49</v>
      </c>
      <c r="G16" s="6" t="s">
        <v>90</v>
      </c>
      <c r="H16" s="6" t="s">
        <v>30</v>
      </c>
      <c r="I16" s="6" t="s">
        <v>49</v>
      </c>
      <c r="J16" s="6" t="s">
        <v>49</v>
      </c>
      <c r="K16" s="6" t="s">
        <v>127</v>
      </c>
      <c r="L16" s="6" t="s">
        <v>59</v>
      </c>
      <c r="M16" s="6" t="s">
        <v>53</v>
      </c>
    </row>
    <row r="17" customFormat="false" ht="23.85" hidden="false" customHeight="false" outlineLevel="0" collapsed="false">
      <c r="A17" s="7" t="s">
        <v>128</v>
      </c>
      <c r="B17" s="7" t="s">
        <v>93</v>
      </c>
      <c r="C17" s="7" t="s">
        <v>129</v>
      </c>
      <c r="D17" s="7" t="s">
        <v>130</v>
      </c>
      <c r="E17" s="7" t="s">
        <v>131</v>
      </c>
      <c r="F17" s="7" t="s">
        <v>49</v>
      </c>
      <c r="G17" s="7" t="s">
        <v>90</v>
      </c>
      <c r="H17" s="7" t="s">
        <v>30</v>
      </c>
      <c r="I17" s="7" t="s">
        <v>49</v>
      </c>
      <c r="J17" s="7" t="s">
        <v>132</v>
      </c>
      <c r="K17" s="7" t="s">
        <v>133</v>
      </c>
      <c r="L17" s="7" t="s">
        <v>59</v>
      </c>
      <c r="M17" s="7" t="s">
        <v>53</v>
      </c>
    </row>
    <row r="18" customFormat="false" ht="23.85" hidden="false" customHeight="false" outlineLevel="0" collapsed="false">
      <c r="A18" s="6" t="s">
        <v>134</v>
      </c>
      <c r="B18" s="6" t="s">
        <v>93</v>
      </c>
      <c r="C18" s="6" t="s">
        <v>135</v>
      </c>
      <c r="D18" s="6" t="s">
        <v>136</v>
      </c>
      <c r="E18" s="6" t="s">
        <v>49</v>
      </c>
      <c r="F18" s="6" t="s">
        <v>137</v>
      </c>
      <c r="G18" s="6" t="s">
        <v>41</v>
      </c>
      <c r="H18" s="6" t="s">
        <v>30</v>
      </c>
      <c r="I18" s="6" t="s">
        <v>49</v>
      </c>
      <c r="J18" s="6" t="s">
        <v>49</v>
      </c>
      <c r="K18" s="6" t="s">
        <v>44</v>
      </c>
      <c r="L18" s="6" t="s">
        <v>52</v>
      </c>
      <c r="M18" s="6" t="s">
        <v>53</v>
      </c>
    </row>
    <row r="19" customFormat="false" ht="23.85" hidden="false" customHeight="false" outlineLevel="0" collapsed="false">
      <c r="A19" s="7" t="s">
        <v>138</v>
      </c>
      <c r="B19" s="7" t="s">
        <v>139</v>
      </c>
      <c r="C19" s="7" t="s">
        <v>140</v>
      </c>
      <c r="D19" s="7" t="s">
        <v>141</v>
      </c>
      <c r="E19" s="7" t="s">
        <v>142</v>
      </c>
      <c r="F19" s="7" t="s">
        <v>143</v>
      </c>
      <c r="G19" s="7" t="s">
        <v>41</v>
      </c>
      <c r="H19" s="7" t="s">
        <v>30</v>
      </c>
      <c r="I19" s="7" t="s">
        <v>49</v>
      </c>
      <c r="J19" s="7" t="s">
        <v>49</v>
      </c>
      <c r="K19" s="7" t="s">
        <v>144</v>
      </c>
      <c r="L19" s="7" t="s">
        <v>34</v>
      </c>
      <c r="M19" s="7" t="s">
        <v>145</v>
      </c>
    </row>
    <row r="20" customFormat="false" ht="23.85" hidden="false" customHeight="false" outlineLevel="0" collapsed="false">
      <c r="A20" s="6" t="s">
        <v>146</v>
      </c>
      <c r="B20" s="6" t="s">
        <v>139</v>
      </c>
      <c r="C20" s="6" t="s">
        <v>147</v>
      </c>
      <c r="D20" s="6" t="s">
        <v>148</v>
      </c>
      <c r="E20" s="6" t="s">
        <v>149</v>
      </c>
      <c r="F20" s="6" t="s">
        <v>150</v>
      </c>
      <c r="G20" s="6" t="s">
        <v>90</v>
      </c>
      <c r="H20" s="6" t="s">
        <v>30</v>
      </c>
      <c r="I20" s="6" t="s">
        <v>49</v>
      </c>
      <c r="J20" s="6" t="s">
        <v>151</v>
      </c>
      <c r="K20" s="6" t="s">
        <v>144</v>
      </c>
      <c r="L20" s="6" t="s">
        <v>34</v>
      </c>
      <c r="M20" s="6" t="s">
        <v>152</v>
      </c>
    </row>
    <row r="21" customFormat="false" ht="23.85" hidden="false" customHeight="false" outlineLevel="0" collapsed="false">
      <c r="A21" s="7" t="s">
        <v>153</v>
      </c>
      <c r="B21" s="7" t="s">
        <v>139</v>
      </c>
      <c r="C21" s="7" t="s">
        <v>154</v>
      </c>
      <c r="D21" s="7" t="s">
        <v>155</v>
      </c>
      <c r="E21" s="7" t="s">
        <v>156</v>
      </c>
      <c r="F21" s="7" t="s">
        <v>157</v>
      </c>
      <c r="G21" s="7" t="s">
        <v>41</v>
      </c>
      <c r="H21" s="7" t="s">
        <v>30</v>
      </c>
      <c r="I21" s="7" t="s">
        <v>49</v>
      </c>
      <c r="J21" s="7" t="s">
        <v>49</v>
      </c>
      <c r="K21" s="7" t="s">
        <v>144</v>
      </c>
      <c r="L21" s="7" t="s">
        <v>52</v>
      </c>
      <c r="M21" s="7" t="s">
        <v>53</v>
      </c>
    </row>
    <row r="22" customFormat="false" ht="23.85" hidden="false" customHeight="false" outlineLevel="0" collapsed="false">
      <c r="A22" s="6" t="s">
        <v>158</v>
      </c>
      <c r="B22" s="6" t="s">
        <v>139</v>
      </c>
      <c r="C22" s="6" t="s">
        <v>159</v>
      </c>
      <c r="D22" s="6" t="s">
        <v>160</v>
      </c>
      <c r="E22" s="6" t="s">
        <v>161</v>
      </c>
      <c r="F22" s="6" t="s">
        <v>162</v>
      </c>
      <c r="G22" s="6" t="s">
        <v>41</v>
      </c>
      <c r="H22" s="6" t="s">
        <v>30</v>
      </c>
      <c r="I22" s="6" t="s">
        <v>49</v>
      </c>
      <c r="J22" s="6" t="s">
        <v>49</v>
      </c>
      <c r="K22" s="6" t="s">
        <v>144</v>
      </c>
      <c r="L22" s="6" t="s">
        <v>52</v>
      </c>
      <c r="M22" s="6" t="s">
        <v>53</v>
      </c>
    </row>
    <row r="23" customFormat="false" ht="23.85" hidden="false" customHeight="false" outlineLevel="0" collapsed="false">
      <c r="A23" s="7" t="s">
        <v>163</v>
      </c>
      <c r="B23" s="7" t="s">
        <v>139</v>
      </c>
      <c r="C23" s="7" t="s">
        <v>164</v>
      </c>
      <c r="D23" s="7" t="s">
        <v>165</v>
      </c>
      <c r="E23" s="7" t="s">
        <v>150</v>
      </c>
      <c r="F23" s="7" t="s">
        <v>166</v>
      </c>
      <c r="G23" s="7" t="s">
        <v>41</v>
      </c>
      <c r="H23" s="7" t="s">
        <v>30</v>
      </c>
      <c r="I23" s="7" t="s">
        <v>49</v>
      </c>
      <c r="J23" s="7" t="s">
        <v>49</v>
      </c>
      <c r="K23" s="7" t="s">
        <v>144</v>
      </c>
      <c r="L23" s="7" t="s">
        <v>34</v>
      </c>
      <c r="M23" s="7" t="s">
        <v>45</v>
      </c>
    </row>
    <row r="24" customFormat="false" ht="23.85" hidden="false" customHeight="false" outlineLevel="0" collapsed="false">
      <c r="A24" s="6" t="s">
        <v>167</v>
      </c>
      <c r="B24" s="6" t="s">
        <v>139</v>
      </c>
      <c r="C24" s="6" t="s">
        <v>168</v>
      </c>
      <c r="D24" s="6" t="s">
        <v>169</v>
      </c>
      <c r="E24" s="6" t="s">
        <v>150</v>
      </c>
      <c r="F24" s="6" t="s">
        <v>170</v>
      </c>
      <c r="G24" s="6" t="s">
        <v>41</v>
      </c>
      <c r="H24" s="6" t="s">
        <v>30</v>
      </c>
      <c r="I24" s="6" t="s">
        <v>49</v>
      </c>
      <c r="J24" s="6" t="s">
        <v>49</v>
      </c>
      <c r="K24" s="6" t="s">
        <v>144</v>
      </c>
      <c r="L24" s="6" t="s">
        <v>34</v>
      </c>
      <c r="M24" s="6" t="s">
        <v>45</v>
      </c>
    </row>
    <row r="25" customFormat="false" ht="23.85" hidden="false" customHeight="false" outlineLevel="0" collapsed="false">
      <c r="A25" s="7" t="s">
        <v>171</v>
      </c>
      <c r="B25" s="7" t="s">
        <v>139</v>
      </c>
      <c r="C25" s="7" t="s">
        <v>172</v>
      </c>
      <c r="D25" s="7" t="s">
        <v>173</v>
      </c>
      <c r="E25" s="7" t="s">
        <v>150</v>
      </c>
      <c r="F25" s="7" t="s">
        <v>174</v>
      </c>
      <c r="G25" s="7" t="s">
        <v>90</v>
      </c>
      <c r="H25" s="7" t="s">
        <v>30</v>
      </c>
      <c r="I25" s="7" t="s">
        <v>49</v>
      </c>
      <c r="J25" s="7" t="s">
        <v>49</v>
      </c>
      <c r="K25" s="7" t="s">
        <v>144</v>
      </c>
      <c r="L25" s="7" t="s">
        <v>52</v>
      </c>
      <c r="M25" s="7" t="s">
        <v>53</v>
      </c>
    </row>
    <row r="26" customFormat="false" ht="15" hidden="false" customHeight="false" outlineLevel="0" collapsed="false">
      <c r="A26" s="6" t="s">
        <v>175</v>
      </c>
      <c r="B26" s="6" t="s">
        <v>176</v>
      </c>
      <c r="C26" s="6" t="s">
        <v>177</v>
      </c>
      <c r="D26" s="6" t="s">
        <v>178</v>
      </c>
      <c r="E26" s="6" t="s">
        <v>179</v>
      </c>
      <c r="F26" s="6" t="s">
        <v>180</v>
      </c>
      <c r="G26" s="6" t="s">
        <v>41</v>
      </c>
      <c r="H26" s="6" t="s">
        <v>30</v>
      </c>
      <c r="I26" s="6" t="s">
        <v>49</v>
      </c>
      <c r="J26" s="6" t="s">
        <v>49</v>
      </c>
      <c r="K26" s="6" t="s">
        <v>181</v>
      </c>
      <c r="L26" s="6" t="s">
        <v>182</v>
      </c>
      <c r="M26" s="6" t="s">
        <v>53</v>
      </c>
    </row>
    <row r="27" customFormat="false" ht="23.85" hidden="false" customHeight="false" outlineLevel="0" collapsed="false">
      <c r="A27" s="7" t="s">
        <v>183</v>
      </c>
      <c r="B27" s="7" t="s">
        <v>176</v>
      </c>
      <c r="C27" s="7" t="s">
        <v>184</v>
      </c>
      <c r="D27" s="7" t="s">
        <v>185</v>
      </c>
      <c r="E27" s="7" t="s">
        <v>186</v>
      </c>
      <c r="F27" s="7" t="s">
        <v>180</v>
      </c>
      <c r="G27" s="7" t="s">
        <v>41</v>
      </c>
      <c r="H27" s="7" t="s">
        <v>30</v>
      </c>
      <c r="I27" s="7" t="s">
        <v>49</v>
      </c>
      <c r="J27" s="7" t="s">
        <v>49</v>
      </c>
      <c r="K27" s="7" t="s">
        <v>181</v>
      </c>
      <c r="L27" s="7" t="s">
        <v>52</v>
      </c>
      <c r="M27" s="7" t="s">
        <v>53</v>
      </c>
    </row>
    <row r="28" customFormat="false" ht="23.85" hidden="false" customHeight="false" outlineLevel="0" collapsed="false">
      <c r="A28" s="6" t="s">
        <v>187</v>
      </c>
      <c r="B28" s="6" t="s">
        <v>176</v>
      </c>
      <c r="C28" s="6" t="s">
        <v>188</v>
      </c>
      <c r="D28" s="6" t="s">
        <v>189</v>
      </c>
      <c r="E28" s="6" t="s">
        <v>190</v>
      </c>
      <c r="F28" s="6" t="s">
        <v>191</v>
      </c>
      <c r="G28" s="6" t="s">
        <v>41</v>
      </c>
      <c r="H28" s="6" t="s">
        <v>30</v>
      </c>
      <c r="I28" s="6" t="s">
        <v>49</v>
      </c>
      <c r="J28" s="6" t="s">
        <v>49</v>
      </c>
      <c r="K28" s="6" t="s">
        <v>181</v>
      </c>
      <c r="L28" s="6" t="s">
        <v>59</v>
      </c>
      <c r="M28" s="6" t="s">
        <v>53</v>
      </c>
    </row>
    <row r="29" customFormat="false" ht="23.85" hidden="false" customHeight="false" outlineLevel="0" collapsed="false">
      <c r="A29" s="7" t="s">
        <v>192</v>
      </c>
      <c r="B29" s="7" t="s">
        <v>176</v>
      </c>
      <c r="C29" s="7" t="s">
        <v>193</v>
      </c>
      <c r="D29" s="7" t="s">
        <v>194</v>
      </c>
      <c r="E29" s="7" t="s">
        <v>195</v>
      </c>
      <c r="F29" s="7" t="s">
        <v>180</v>
      </c>
      <c r="G29" s="7" t="s">
        <v>41</v>
      </c>
      <c r="H29" s="7" t="s">
        <v>30</v>
      </c>
      <c r="I29" s="7" t="s">
        <v>196</v>
      </c>
      <c r="J29" s="7" t="s">
        <v>49</v>
      </c>
      <c r="K29" s="7" t="s">
        <v>181</v>
      </c>
      <c r="L29" s="7" t="s">
        <v>52</v>
      </c>
      <c r="M29" s="7" t="s">
        <v>53</v>
      </c>
    </row>
    <row r="30" customFormat="false" ht="23.85" hidden="false" customHeight="false" outlineLevel="0" collapsed="false">
      <c r="A30" s="6" t="s">
        <v>197</v>
      </c>
      <c r="B30" s="6" t="s">
        <v>176</v>
      </c>
      <c r="C30" s="6" t="s">
        <v>198</v>
      </c>
      <c r="D30" s="6" t="s">
        <v>199</v>
      </c>
      <c r="E30" s="6" t="s">
        <v>180</v>
      </c>
      <c r="F30" s="6" t="s">
        <v>200</v>
      </c>
      <c r="G30" s="6" t="s">
        <v>41</v>
      </c>
      <c r="H30" s="6" t="s">
        <v>30</v>
      </c>
      <c r="I30" s="6" t="s">
        <v>49</v>
      </c>
      <c r="J30" s="6" t="s">
        <v>49</v>
      </c>
      <c r="K30" s="6" t="s">
        <v>181</v>
      </c>
      <c r="L30" s="6" t="s">
        <v>52</v>
      </c>
      <c r="M30" s="6" t="s">
        <v>53</v>
      </c>
    </row>
    <row r="31" customFormat="false" ht="23.85" hidden="false" customHeight="false" outlineLevel="0" collapsed="false">
      <c r="A31" s="7" t="s">
        <v>201</v>
      </c>
      <c r="B31" s="7" t="s">
        <v>176</v>
      </c>
      <c r="C31" s="7" t="s">
        <v>202</v>
      </c>
      <c r="D31" s="7" t="s">
        <v>203</v>
      </c>
      <c r="E31" s="7" t="s">
        <v>204</v>
      </c>
      <c r="F31" s="7" t="s">
        <v>205</v>
      </c>
      <c r="G31" s="7" t="s">
        <v>90</v>
      </c>
      <c r="H31" s="7" t="s">
        <v>30</v>
      </c>
      <c r="I31" s="7" t="s">
        <v>206</v>
      </c>
      <c r="J31" s="7" t="s">
        <v>207</v>
      </c>
      <c r="K31" s="7" t="s">
        <v>208</v>
      </c>
      <c r="L31" s="7" t="s">
        <v>52</v>
      </c>
      <c r="M31" s="7" t="s">
        <v>53</v>
      </c>
    </row>
    <row r="32" customFormat="false" ht="23.85" hidden="false" customHeight="false" outlineLevel="0" collapsed="false">
      <c r="A32" s="6" t="s">
        <v>209</v>
      </c>
      <c r="B32" s="6" t="s">
        <v>176</v>
      </c>
      <c r="C32" s="6" t="s">
        <v>210</v>
      </c>
      <c r="D32" s="6" t="s">
        <v>211</v>
      </c>
      <c r="E32" s="6" t="s">
        <v>212</v>
      </c>
      <c r="F32" s="6" t="s">
        <v>213</v>
      </c>
      <c r="G32" s="6" t="s">
        <v>41</v>
      </c>
      <c r="H32" s="6" t="s">
        <v>30</v>
      </c>
      <c r="I32" s="6" t="s">
        <v>49</v>
      </c>
      <c r="J32" s="6" t="s">
        <v>214</v>
      </c>
      <c r="K32" s="6" t="s">
        <v>208</v>
      </c>
      <c r="L32" s="6" t="s">
        <v>52</v>
      </c>
      <c r="M32" s="6" t="s">
        <v>53</v>
      </c>
    </row>
    <row r="33" customFormat="false" ht="23.85" hidden="false" customHeight="false" outlineLevel="0" collapsed="false">
      <c r="A33" s="7" t="s">
        <v>215</v>
      </c>
      <c r="B33" s="7" t="s">
        <v>176</v>
      </c>
      <c r="C33" s="7" t="s">
        <v>216</v>
      </c>
      <c r="D33" s="7" t="s">
        <v>217</v>
      </c>
      <c r="E33" s="7" t="s">
        <v>218</v>
      </c>
      <c r="F33" s="7" t="s">
        <v>219</v>
      </c>
      <c r="G33" s="7" t="s">
        <v>90</v>
      </c>
      <c r="H33" s="7" t="s">
        <v>30</v>
      </c>
      <c r="I33" s="7" t="s">
        <v>49</v>
      </c>
      <c r="J33" s="7" t="s">
        <v>49</v>
      </c>
      <c r="K33" s="7" t="s">
        <v>220</v>
      </c>
      <c r="L33" s="7" t="s">
        <v>52</v>
      </c>
      <c r="M33" s="7" t="s">
        <v>53</v>
      </c>
    </row>
    <row r="34" customFormat="false" ht="23.85" hidden="false" customHeight="false" outlineLevel="0" collapsed="false">
      <c r="A34" s="6" t="s">
        <v>221</v>
      </c>
      <c r="B34" s="6" t="s">
        <v>176</v>
      </c>
      <c r="C34" s="6" t="s">
        <v>222</v>
      </c>
      <c r="D34" s="6" t="s">
        <v>223</v>
      </c>
      <c r="E34" s="6" t="s">
        <v>224</v>
      </c>
      <c r="F34" s="6" t="s">
        <v>225</v>
      </c>
      <c r="G34" s="6" t="s">
        <v>41</v>
      </c>
      <c r="H34" s="6" t="s">
        <v>30</v>
      </c>
      <c r="I34" s="6" t="s">
        <v>49</v>
      </c>
      <c r="J34" s="6" t="s">
        <v>49</v>
      </c>
      <c r="K34" s="6" t="s">
        <v>226</v>
      </c>
      <c r="L34" s="6" t="s">
        <v>182</v>
      </c>
      <c r="M34" s="6" t="s">
        <v>53</v>
      </c>
    </row>
    <row r="35" customFormat="false" ht="23.85" hidden="false" customHeight="false" outlineLevel="0" collapsed="false">
      <c r="A35" s="7" t="s">
        <v>227</v>
      </c>
      <c r="B35" s="7" t="s">
        <v>228</v>
      </c>
      <c r="C35" s="7" t="s">
        <v>229</v>
      </c>
      <c r="D35" s="7" t="s">
        <v>230</v>
      </c>
      <c r="E35" s="7" t="s">
        <v>157</v>
      </c>
      <c r="F35" s="7" t="s">
        <v>231</v>
      </c>
      <c r="G35" s="7" t="s">
        <v>90</v>
      </c>
      <c r="H35" s="7" t="s">
        <v>30</v>
      </c>
      <c r="I35" s="7" t="s">
        <v>49</v>
      </c>
      <c r="J35" s="7" t="s">
        <v>49</v>
      </c>
      <c r="K35" s="7" t="s">
        <v>232</v>
      </c>
      <c r="L35" s="7" t="s">
        <v>34</v>
      </c>
      <c r="M35" s="7" t="s">
        <v>45</v>
      </c>
    </row>
    <row r="36" customFormat="false" ht="23.85" hidden="false" customHeight="false" outlineLevel="0" collapsed="false">
      <c r="A36" s="6" t="s">
        <v>233</v>
      </c>
      <c r="B36" s="6" t="s">
        <v>228</v>
      </c>
      <c r="C36" s="6" t="s">
        <v>234</v>
      </c>
      <c r="D36" s="6" t="s">
        <v>235</v>
      </c>
      <c r="E36" s="6" t="s">
        <v>157</v>
      </c>
      <c r="F36" s="6" t="s">
        <v>231</v>
      </c>
      <c r="G36" s="6" t="s">
        <v>90</v>
      </c>
      <c r="H36" s="6" t="s">
        <v>30</v>
      </c>
      <c r="I36" s="6" t="s">
        <v>49</v>
      </c>
      <c r="J36" s="6" t="s">
        <v>49</v>
      </c>
      <c r="K36" s="6" t="s">
        <v>232</v>
      </c>
      <c r="L36" s="6" t="s">
        <v>34</v>
      </c>
      <c r="M36" s="6" t="s">
        <v>45</v>
      </c>
    </row>
    <row r="37" customFormat="false" ht="23.85" hidden="false" customHeight="false" outlineLevel="0" collapsed="false">
      <c r="A37" s="7" t="s">
        <v>236</v>
      </c>
      <c r="B37" s="7" t="s">
        <v>228</v>
      </c>
      <c r="C37" s="7" t="s">
        <v>237</v>
      </c>
      <c r="D37" s="7" t="s">
        <v>238</v>
      </c>
      <c r="E37" s="7" t="s">
        <v>157</v>
      </c>
      <c r="F37" s="7" t="s">
        <v>231</v>
      </c>
      <c r="G37" s="7" t="s">
        <v>90</v>
      </c>
      <c r="H37" s="7" t="s">
        <v>30</v>
      </c>
      <c r="I37" s="7" t="s">
        <v>49</v>
      </c>
      <c r="J37" s="7" t="s">
        <v>49</v>
      </c>
      <c r="K37" s="7" t="s">
        <v>232</v>
      </c>
      <c r="L37" s="7" t="s">
        <v>52</v>
      </c>
      <c r="M37" s="7" t="s">
        <v>53</v>
      </c>
    </row>
    <row r="38" customFormat="false" ht="23.85" hidden="false" customHeight="false" outlineLevel="0" collapsed="false">
      <c r="A38" s="6" t="s">
        <v>239</v>
      </c>
      <c r="B38" s="6" t="s">
        <v>228</v>
      </c>
      <c r="C38" s="6" t="s">
        <v>240</v>
      </c>
      <c r="D38" s="6" t="s">
        <v>241</v>
      </c>
      <c r="E38" s="6" t="s">
        <v>157</v>
      </c>
      <c r="F38" s="6" t="s">
        <v>231</v>
      </c>
      <c r="G38" s="6" t="s">
        <v>90</v>
      </c>
      <c r="H38" s="6" t="s">
        <v>30</v>
      </c>
      <c r="I38" s="6" t="s">
        <v>49</v>
      </c>
      <c r="J38" s="6" t="s">
        <v>49</v>
      </c>
      <c r="K38" s="6" t="s">
        <v>232</v>
      </c>
      <c r="L38" s="6" t="s">
        <v>52</v>
      </c>
      <c r="M38" s="6" t="s">
        <v>53</v>
      </c>
    </row>
    <row r="39" customFormat="false" ht="23.85" hidden="false" customHeight="false" outlineLevel="0" collapsed="false">
      <c r="A39" s="7" t="s">
        <v>242</v>
      </c>
      <c r="B39" s="7" t="s">
        <v>228</v>
      </c>
      <c r="C39" s="7" t="s">
        <v>243</v>
      </c>
      <c r="D39" s="7" t="s">
        <v>244</v>
      </c>
      <c r="E39" s="7" t="s">
        <v>157</v>
      </c>
      <c r="F39" s="7" t="s">
        <v>231</v>
      </c>
      <c r="G39" s="7" t="s">
        <v>90</v>
      </c>
      <c r="H39" s="7" t="s">
        <v>30</v>
      </c>
      <c r="I39" s="7" t="s">
        <v>49</v>
      </c>
      <c r="J39" s="7" t="s">
        <v>49</v>
      </c>
      <c r="K39" s="7" t="s">
        <v>232</v>
      </c>
      <c r="L39" s="7" t="s">
        <v>59</v>
      </c>
      <c r="M39" s="7" t="s">
        <v>53</v>
      </c>
    </row>
    <row r="40" customFormat="false" ht="23.85" hidden="false" customHeight="false" outlineLevel="0" collapsed="false">
      <c r="A40" s="6" t="s">
        <v>245</v>
      </c>
      <c r="B40" s="6" t="s">
        <v>228</v>
      </c>
      <c r="C40" s="6" t="s">
        <v>246</v>
      </c>
      <c r="D40" s="6" t="s">
        <v>247</v>
      </c>
      <c r="E40" s="6" t="s">
        <v>248</v>
      </c>
      <c r="F40" s="6" t="s">
        <v>249</v>
      </c>
      <c r="G40" s="6" t="s">
        <v>90</v>
      </c>
      <c r="H40" s="6" t="s">
        <v>30</v>
      </c>
      <c r="I40" s="6" t="s">
        <v>49</v>
      </c>
      <c r="J40" s="6" t="s">
        <v>49</v>
      </c>
      <c r="K40" s="6" t="s">
        <v>250</v>
      </c>
      <c r="L40" s="6" t="s">
        <v>52</v>
      </c>
      <c r="M40" s="6" t="s">
        <v>53</v>
      </c>
    </row>
    <row r="41" customFormat="false" ht="23.85" hidden="false" customHeight="false" outlineLevel="0" collapsed="false">
      <c r="A41" s="7" t="s">
        <v>251</v>
      </c>
      <c r="B41" s="7" t="s">
        <v>228</v>
      </c>
      <c r="C41" s="7" t="s">
        <v>252</v>
      </c>
      <c r="D41" s="7" t="s">
        <v>253</v>
      </c>
      <c r="E41" s="7" t="s">
        <v>254</v>
      </c>
      <c r="F41" s="7" t="s">
        <v>231</v>
      </c>
      <c r="G41" s="7" t="s">
        <v>90</v>
      </c>
      <c r="H41" s="7" t="s">
        <v>30</v>
      </c>
      <c r="I41" s="7" t="s">
        <v>49</v>
      </c>
      <c r="J41" s="7" t="s">
        <v>255</v>
      </c>
      <c r="K41" s="7" t="s">
        <v>250</v>
      </c>
      <c r="L41" s="7" t="s">
        <v>52</v>
      </c>
      <c r="M41" s="7" t="s">
        <v>53</v>
      </c>
    </row>
    <row r="42" customFormat="false" ht="23.85" hidden="false" customHeight="false" outlineLevel="0" collapsed="false">
      <c r="A42" s="6" t="s">
        <v>256</v>
      </c>
      <c r="B42" s="6" t="s">
        <v>228</v>
      </c>
      <c r="C42" s="6" t="s">
        <v>257</v>
      </c>
      <c r="D42" s="6" t="s">
        <v>258</v>
      </c>
      <c r="E42" s="6" t="s">
        <v>248</v>
      </c>
      <c r="F42" s="6" t="s">
        <v>231</v>
      </c>
      <c r="G42" s="6" t="s">
        <v>90</v>
      </c>
      <c r="H42" s="6" t="s">
        <v>259</v>
      </c>
      <c r="I42" s="6" t="s">
        <v>49</v>
      </c>
      <c r="J42" s="6" t="s">
        <v>260</v>
      </c>
      <c r="K42" s="6" t="s">
        <v>250</v>
      </c>
      <c r="L42" s="6" t="s">
        <v>52</v>
      </c>
      <c r="M42" s="6" t="s">
        <v>53</v>
      </c>
    </row>
    <row r="43" customFormat="false" ht="23.85" hidden="false" customHeight="false" outlineLevel="0" collapsed="false">
      <c r="A43" s="7" t="s">
        <v>261</v>
      </c>
      <c r="B43" s="7" t="s">
        <v>228</v>
      </c>
      <c r="C43" s="7" t="s">
        <v>262</v>
      </c>
      <c r="D43" s="7" t="s">
        <v>263</v>
      </c>
      <c r="E43" s="7" t="s">
        <v>248</v>
      </c>
      <c r="F43" s="7" t="s">
        <v>231</v>
      </c>
      <c r="G43" s="7" t="s">
        <v>90</v>
      </c>
      <c r="H43" s="7" t="s">
        <v>30</v>
      </c>
      <c r="I43" s="7" t="s">
        <v>49</v>
      </c>
      <c r="J43" s="7" t="s">
        <v>264</v>
      </c>
      <c r="K43" s="7" t="s">
        <v>250</v>
      </c>
      <c r="L43" s="7" t="s">
        <v>59</v>
      </c>
      <c r="M43" s="7" t="s">
        <v>53</v>
      </c>
    </row>
    <row r="44" customFormat="false" ht="23.85" hidden="false" customHeight="false" outlineLevel="0" collapsed="false">
      <c r="A44" s="6" t="s">
        <v>265</v>
      </c>
      <c r="B44" s="6" t="s">
        <v>228</v>
      </c>
      <c r="C44" s="6" t="s">
        <v>266</v>
      </c>
      <c r="D44" s="6" t="s">
        <v>267</v>
      </c>
      <c r="E44" s="6" t="s">
        <v>248</v>
      </c>
      <c r="F44" s="6" t="s">
        <v>231</v>
      </c>
      <c r="G44" s="6" t="s">
        <v>90</v>
      </c>
      <c r="H44" s="6" t="s">
        <v>259</v>
      </c>
      <c r="I44" s="6" t="s">
        <v>49</v>
      </c>
      <c r="J44" s="6" t="s">
        <v>268</v>
      </c>
      <c r="K44" s="6" t="s">
        <v>250</v>
      </c>
      <c r="L44" s="6" t="s">
        <v>59</v>
      </c>
      <c r="M44" s="6" t="s">
        <v>53</v>
      </c>
    </row>
    <row r="45" customFormat="false" ht="23.85" hidden="false" customHeight="false" outlineLevel="0" collapsed="false">
      <c r="A45" s="7" t="s">
        <v>269</v>
      </c>
      <c r="B45" s="7" t="s">
        <v>228</v>
      </c>
      <c r="C45" s="7" t="s">
        <v>270</v>
      </c>
      <c r="D45" s="7" t="s">
        <v>271</v>
      </c>
      <c r="E45" s="7" t="s">
        <v>272</v>
      </c>
      <c r="F45" s="7" t="s">
        <v>273</v>
      </c>
      <c r="G45" s="7" t="s">
        <v>90</v>
      </c>
      <c r="H45" s="7" t="s">
        <v>30</v>
      </c>
      <c r="I45" s="7" t="s">
        <v>49</v>
      </c>
      <c r="J45" s="7" t="s">
        <v>49</v>
      </c>
      <c r="K45" s="7" t="s">
        <v>250</v>
      </c>
      <c r="L45" s="7" t="s">
        <v>59</v>
      </c>
      <c r="M45" s="7" t="s">
        <v>53</v>
      </c>
    </row>
    <row r="46" customFormat="false" ht="23.85" hidden="false" customHeight="false" outlineLevel="0" collapsed="false">
      <c r="A46" s="6" t="s">
        <v>274</v>
      </c>
      <c r="B46" s="6" t="s">
        <v>228</v>
      </c>
      <c r="C46" s="6" t="s">
        <v>275</v>
      </c>
      <c r="D46" s="6" t="s">
        <v>276</v>
      </c>
      <c r="E46" s="6" t="s">
        <v>157</v>
      </c>
      <c r="F46" s="6" t="s">
        <v>277</v>
      </c>
      <c r="G46" s="6" t="s">
        <v>90</v>
      </c>
      <c r="H46" s="6" t="s">
        <v>30</v>
      </c>
      <c r="I46" s="6" t="s">
        <v>49</v>
      </c>
      <c r="J46" s="6" t="s">
        <v>49</v>
      </c>
      <c r="K46" s="6" t="s">
        <v>250</v>
      </c>
      <c r="L46" s="6" t="s">
        <v>59</v>
      </c>
      <c r="M46" s="6" t="s">
        <v>53</v>
      </c>
    </row>
    <row r="47" customFormat="false" ht="23.85" hidden="false" customHeight="false" outlineLevel="0" collapsed="false">
      <c r="A47" s="7" t="s">
        <v>278</v>
      </c>
      <c r="B47" s="7" t="s">
        <v>228</v>
      </c>
      <c r="C47" s="7" t="s">
        <v>279</v>
      </c>
      <c r="D47" s="7" t="s">
        <v>280</v>
      </c>
      <c r="E47" s="7" t="s">
        <v>281</v>
      </c>
      <c r="F47" s="7" t="s">
        <v>282</v>
      </c>
      <c r="G47" s="7" t="s">
        <v>90</v>
      </c>
      <c r="H47" s="7" t="s">
        <v>259</v>
      </c>
      <c r="I47" s="7" t="s">
        <v>283</v>
      </c>
      <c r="J47" s="7" t="s">
        <v>284</v>
      </c>
      <c r="K47" s="7" t="s">
        <v>285</v>
      </c>
      <c r="L47" s="7" t="s">
        <v>59</v>
      </c>
      <c r="M47" s="7" t="s">
        <v>53</v>
      </c>
    </row>
    <row r="48" customFormat="false" ht="23.85" hidden="false" customHeight="false" outlineLevel="0" collapsed="false">
      <c r="A48" s="6" t="s">
        <v>286</v>
      </c>
      <c r="B48" s="6" t="s">
        <v>228</v>
      </c>
      <c r="C48" s="6" t="s">
        <v>287</v>
      </c>
      <c r="D48" s="6" t="s">
        <v>288</v>
      </c>
      <c r="E48" s="6" t="s">
        <v>281</v>
      </c>
      <c r="F48" s="6" t="s">
        <v>289</v>
      </c>
      <c r="G48" s="6" t="s">
        <v>90</v>
      </c>
      <c r="H48" s="6" t="s">
        <v>259</v>
      </c>
      <c r="I48" s="6" t="s">
        <v>49</v>
      </c>
      <c r="J48" s="6" t="s">
        <v>268</v>
      </c>
      <c r="K48" s="6" t="s">
        <v>290</v>
      </c>
      <c r="L48" s="6" t="s">
        <v>59</v>
      </c>
      <c r="M48" s="6" t="s">
        <v>53</v>
      </c>
    </row>
    <row r="49" customFormat="false" ht="23.85" hidden="false" customHeight="false" outlineLevel="0" collapsed="false">
      <c r="A49" s="7" t="s">
        <v>291</v>
      </c>
      <c r="B49" s="7" t="s">
        <v>228</v>
      </c>
      <c r="C49" s="7" t="s">
        <v>292</v>
      </c>
      <c r="D49" s="7" t="s">
        <v>293</v>
      </c>
      <c r="E49" s="7" t="s">
        <v>281</v>
      </c>
      <c r="F49" s="7" t="s">
        <v>294</v>
      </c>
      <c r="G49" s="7" t="s">
        <v>90</v>
      </c>
      <c r="H49" s="7" t="s">
        <v>259</v>
      </c>
      <c r="I49" s="7" t="s">
        <v>49</v>
      </c>
      <c r="J49" s="7" t="s">
        <v>268</v>
      </c>
      <c r="K49" s="7" t="s">
        <v>295</v>
      </c>
      <c r="L49" s="7" t="s">
        <v>296</v>
      </c>
      <c r="M49" s="7" t="s">
        <v>53</v>
      </c>
    </row>
    <row r="50" customFormat="false" ht="23.85" hidden="false" customHeight="false" outlineLevel="0" collapsed="false">
      <c r="A50" s="6" t="s">
        <v>297</v>
      </c>
      <c r="B50" s="6" t="s">
        <v>228</v>
      </c>
      <c r="C50" s="6" t="s">
        <v>298</v>
      </c>
      <c r="D50" s="6" t="s">
        <v>299</v>
      </c>
      <c r="E50" s="6" t="s">
        <v>157</v>
      </c>
      <c r="F50" s="6" t="s">
        <v>300</v>
      </c>
      <c r="G50" s="6" t="s">
        <v>90</v>
      </c>
      <c r="H50" s="6" t="s">
        <v>30</v>
      </c>
      <c r="I50" s="6" t="s">
        <v>301</v>
      </c>
      <c r="J50" s="6" t="s">
        <v>49</v>
      </c>
      <c r="K50" s="6" t="s">
        <v>302</v>
      </c>
      <c r="L50" s="6" t="s">
        <v>59</v>
      </c>
      <c r="M50" s="6" t="s">
        <v>53</v>
      </c>
    </row>
    <row r="51" customFormat="false" ht="23.85" hidden="false" customHeight="false" outlineLevel="0" collapsed="false">
      <c r="A51" s="7" t="s">
        <v>303</v>
      </c>
      <c r="B51" s="7" t="s">
        <v>228</v>
      </c>
      <c r="C51" s="7" t="s">
        <v>304</v>
      </c>
      <c r="D51" s="7" t="s">
        <v>305</v>
      </c>
      <c r="E51" s="7" t="s">
        <v>306</v>
      </c>
      <c r="F51" s="7" t="s">
        <v>307</v>
      </c>
      <c r="G51" s="7" t="s">
        <v>90</v>
      </c>
      <c r="H51" s="7" t="s">
        <v>30</v>
      </c>
      <c r="I51" s="7" t="s">
        <v>49</v>
      </c>
      <c r="J51" s="7" t="s">
        <v>308</v>
      </c>
      <c r="K51" s="7" t="s">
        <v>309</v>
      </c>
      <c r="L51" s="7" t="s">
        <v>59</v>
      </c>
      <c r="M51" s="7" t="s">
        <v>53</v>
      </c>
    </row>
    <row r="52" customFormat="false" ht="23.85" hidden="false" customHeight="false" outlineLevel="0" collapsed="false">
      <c r="A52" s="6" t="s">
        <v>310</v>
      </c>
      <c r="B52" s="6" t="s">
        <v>228</v>
      </c>
      <c r="C52" s="6" t="s">
        <v>311</v>
      </c>
      <c r="D52" s="6" t="s">
        <v>312</v>
      </c>
      <c r="E52" s="6" t="s">
        <v>313</v>
      </c>
      <c r="F52" s="6" t="s">
        <v>314</v>
      </c>
      <c r="G52" s="6" t="s">
        <v>90</v>
      </c>
      <c r="H52" s="6" t="s">
        <v>30</v>
      </c>
      <c r="I52" s="6" t="s">
        <v>49</v>
      </c>
      <c r="J52" s="6" t="s">
        <v>315</v>
      </c>
      <c r="K52" s="6" t="s">
        <v>181</v>
      </c>
      <c r="L52" s="6" t="s">
        <v>59</v>
      </c>
      <c r="M52" s="6" t="s">
        <v>53</v>
      </c>
    </row>
    <row r="53" customFormat="false" ht="23.85" hidden="false" customHeight="false" outlineLevel="0" collapsed="false">
      <c r="A53" s="7" t="s">
        <v>316</v>
      </c>
      <c r="B53" s="7" t="s">
        <v>228</v>
      </c>
      <c r="C53" s="7" t="s">
        <v>317</v>
      </c>
      <c r="D53" s="7" t="s">
        <v>318</v>
      </c>
      <c r="E53" s="7" t="s">
        <v>157</v>
      </c>
      <c r="F53" s="7" t="s">
        <v>319</v>
      </c>
      <c r="G53" s="7" t="s">
        <v>90</v>
      </c>
      <c r="H53" s="7" t="s">
        <v>30</v>
      </c>
      <c r="I53" s="7" t="s">
        <v>49</v>
      </c>
      <c r="J53" s="7" t="s">
        <v>49</v>
      </c>
      <c r="K53" s="7" t="s">
        <v>144</v>
      </c>
      <c r="L53" s="7" t="s">
        <v>52</v>
      </c>
      <c r="M53" s="7" t="s">
        <v>53</v>
      </c>
    </row>
    <row r="54" customFormat="false" ht="23.85" hidden="false" customHeight="false" outlineLevel="0" collapsed="false">
      <c r="A54" s="6" t="s">
        <v>320</v>
      </c>
      <c r="B54" s="6" t="s">
        <v>228</v>
      </c>
      <c r="C54" s="6" t="s">
        <v>321</v>
      </c>
      <c r="D54" s="6" t="s">
        <v>322</v>
      </c>
      <c r="E54" s="6" t="s">
        <v>323</v>
      </c>
      <c r="F54" s="6" t="s">
        <v>324</v>
      </c>
      <c r="G54" s="6" t="s">
        <v>41</v>
      </c>
      <c r="H54" s="6" t="s">
        <v>30</v>
      </c>
      <c r="I54" s="6" t="s">
        <v>49</v>
      </c>
      <c r="J54" s="6" t="s">
        <v>49</v>
      </c>
      <c r="K54" s="6" t="s">
        <v>325</v>
      </c>
      <c r="L54" s="6" t="s">
        <v>59</v>
      </c>
      <c r="M54" s="6" t="s">
        <v>53</v>
      </c>
    </row>
    <row r="55" customFormat="false" ht="23.85" hidden="false" customHeight="false" outlineLevel="0" collapsed="false">
      <c r="A55" s="7" t="s">
        <v>326</v>
      </c>
      <c r="B55" s="7" t="s">
        <v>228</v>
      </c>
      <c r="C55" s="7" t="s">
        <v>327</v>
      </c>
      <c r="D55" s="7" t="s">
        <v>328</v>
      </c>
      <c r="E55" s="7" t="s">
        <v>329</v>
      </c>
      <c r="F55" s="7" t="s">
        <v>330</v>
      </c>
      <c r="G55" s="7" t="s">
        <v>90</v>
      </c>
      <c r="H55" s="7" t="s">
        <v>30</v>
      </c>
      <c r="I55" s="7" t="s">
        <v>49</v>
      </c>
      <c r="J55" s="7" t="s">
        <v>49</v>
      </c>
      <c r="K55" s="7" t="s">
        <v>331</v>
      </c>
      <c r="L55" s="7" t="s">
        <v>52</v>
      </c>
      <c r="M55" s="7" t="s">
        <v>53</v>
      </c>
    </row>
    <row r="56" customFormat="false" ht="23.85" hidden="false" customHeight="false" outlineLevel="0" collapsed="false">
      <c r="A56" s="6" t="s">
        <v>332</v>
      </c>
      <c r="B56" s="6" t="s">
        <v>333</v>
      </c>
      <c r="C56" s="6" t="s">
        <v>334</v>
      </c>
      <c r="D56" s="6" t="s">
        <v>335</v>
      </c>
      <c r="E56" s="6" t="s">
        <v>336</v>
      </c>
      <c r="F56" s="6" t="s">
        <v>337</v>
      </c>
      <c r="G56" s="6" t="s">
        <v>90</v>
      </c>
      <c r="H56" s="6" t="s">
        <v>30</v>
      </c>
      <c r="I56" s="6" t="s">
        <v>49</v>
      </c>
      <c r="J56" s="6" t="s">
        <v>49</v>
      </c>
      <c r="K56" s="6" t="s">
        <v>232</v>
      </c>
      <c r="L56" s="6" t="s">
        <v>34</v>
      </c>
      <c r="M56" s="6" t="s">
        <v>45</v>
      </c>
    </row>
    <row r="57" customFormat="false" ht="23.85" hidden="false" customHeight="false" outlineLevel="0" collapsed="false">
      <c r="A57" s="7" t="s">
        <v>338</v>
      </c>
      <c r="B57" s="7" t="s">
        <v>333</v>
      </c>
      <c r="C57" s="7" t="s">
        <v>339</v>
      </c>
      <c r="D57" s="7" t="s">
        <v>340</v>
      </c>
      <c r="E57" s="7" t="s">
        <v>341</v>
      </c>
      <c r="F57" s="7" t="s">
        <v>342</v>
      </c>
      <c r="G57" s="7" t="s">
        <v>41</v>
      </c>
      <c r="H57" s="7" t="s">
        <v>30</v>
      </c>
      <c r="I57" s="7" t="s">
        <v>49</v>
      </c>
      <c r="J57" s="7" t="s">
        <v>49</v>
      </c>
      <c r="K57" s="7" t="s">
        <v>343</v>
      </c>
      <c r="L57" s="7" t="s">
        <v>34</v>
      </c>
      <c r="M57" s="7" t="s">
        <v>45</v>
      </c>
    </row>
    <row r="58" customFormat="false" ht="23.85" hidden="false" customHeight="false" outlineLevel="0" collapsed="false">
      <c r="A58" s="6" t="s">
        <v>344</v>
      </c>
      <c r="B58" s="6" t="s">
        <v>333</v>
      </c>
      <c r="C58" s="6" t="s">
        <v>345</v>
      </c>
      <c r="D58" s="6" t="s">
        <v>346</v>
      </c>
      <c r="E58" s="6" t="s">
        <v>347</v>
      </c>
      <c r="F58" s="6" t="s">
        <v>348</v>
      </c>
      <c r="G58" s="6" t="s">
        <v>41</v>
      </c>
      <c r="H58" s="6" t="s">
        <v>30</v>
      </c>
      <c r="I58" s="6" t="s">
        <v>49</v>
      </c>
      <c r="J58" s="6" t="s">
        <v>49</v>
      </c>
      <c r="K58" s="6" t="s">
        <v>49</v>
      </c>
      <c r="L58" s="6" t="s">
        <v>34</v>
      </c>
      <c r="M58" s="6" t="s">
        <v>45</v>
      </c>
    </row>
    <row r="59" customFormat="false" ht="23.85" hidden="false" customHeight="false" outlineLevel="0" collapsed="false">
      <c r="A59" s="7" t="s">
        <v>349</v>
      </c>
      <c r="B59" s="7" t="s">
        <v>333</v>
      </c>
      <c r="C59" s="7" t="s">
        <v>350</v>
      </c>
      <c r="D59" s="7" t="s">
        <v>351</v>
      </c>
      <c r="E59" s="7" t="s">
        <v>352</v>
      </c>
      <c r="F59" s="7" t="s">
        <v>353</v>
      </c>
      <c r="G59" s="7" t="s">
        <v>41</v>
      </c>
      <c r="H59" s="7" t="s">
        <v>30</v>
      </c>
      <c r="I59" s="7" t="s">
        <v>49</v>
      </c>
      <c r="J59" s="7" t="s">
        <v>49</v>
      </c>
      <c r="K59" s="7" t="s">
        <v>354</v>
      </c>
      <c r="L59" s="7" t="s">
        <v>59</v>
      </c>
      <c r="M59" s="7" t="s">
        <v>53</v>
      </c>
    </row>
    <row r="60" customFormat="false" ht="23.85" hidden="false" customHeight="false" outlineLevel="0" collapsed="false">
      <c r="A60" s="6" t="s">
        <v>355</v>
      </c>
      <c r="B60" s="6" t="s">
        <v>333</v>
      </c>
      <c r="C60" s="6" t="s">
        <v>356</v>
      </c>
      <c r="D60" s="6" t="s">
        <v>357</v>
      </c>
      <c r="E60" s="6" t="s">
        <v>358</v>
      </c>
      <c r="F60" s="6" t="s">
        <v>359</v>
      </c>
      <c r="G60" s="6" t="s">
        <v>29</v>
      </c>
      <c r="H60" s="6" t="s">
        <v>259</v>
      </c>
      <c r="I60" s="6" t="s">
        <v>49</v>
      </c>
      <c r="J60" s="6" t="s">
        <v>360</v>
      </c>
      <c r="K60" s="6" t="s">
        <v>354</v>
      </c>
      <c r="L60" s="6" t="s">
        <v>59</v>
      </c>
      <c r="M60" s="6" t="s">
        <v>53</v>
      </c>
    </row>
    <row r="61" customFormat="false" ht="23.85" hidden="false" customHeight="false" outlineLevel="0" collapsed="false">
      <c r="A61" s="7" t="s">
        <v>361</v>
      </c>
      <c r="B61" s="7" t="s">
        <v>333</v>
      </c>
      <c r="C61" s="7" t="s">
        <v>362</v>
      </c>
      <c r="D61" s="7" t="s">
        <v>363</v>
      </c>
      <c r="E61" s="7" t="s">
        <v>364</v>
      </c>
      <c r="F61" s="7" t="s">
        <v>365</v>
      </c>
      <c r="G61" s="7" t="s">
        <v>366</v>
      </c>
      <c r="H61" s="7" t="s">
        <v>30</v>
      </c>
      <c r="I61" s="7" t="s">
        <v>367</v>
      </c>
      <c r="J61" s="7" t="s">
        <v>368</v>
      </c>
      <c r="K61" s="7" t="s">
        <v>369</v>
      </c>
      <c r="L61" s="7" t="s">
        <v>52</v>
      </c>
      <c r="M61" s="7" t="s">
        <v>53</v>
      </c>
    </row>
    <row r="62" customFormat="false" ht="23.85" hidden="false" customHeight="false" outlineLevel="0" collapsed="false">
      <c r="A62" s="6" t="s">
        <v>370</v>
      </c>
      <c r="B62" s="6" t="s">
        <v>333</v>
      </c>
      <c r="C62" s="6" t="s">
        <v>371</v>
      </c>
      <c r="D62" s="6" t="s">
        <v>372</v>
      </c>
      <c r="E62" s="6" t="s">
        <v>373</v>
      </c>
      <c r="F62" s="6" t="s">
        <v>157</v>
      </c>
      <c r="G62" s="6" t="s">
        <v>41</v>
      </c>
      <c r="H62" s="6" t="s">
        <v>30</v>
      </c>
      <c r="I62" s="6" t="s">
        <v>49</v>
      </c>
      <c r="J62" s="6" t="s">
        <v>49</v>
      </c>
      <c r="K62" s="6" t="s">
        <v>374</v>
      </c>
      <c r="L62" s="6" t="s">
        <v>52</v>
      </c>
      <c r="M62" s="6" t="s">
        <v>53</v>
      </c>
    </row>
    <row r="63" customFormat="false" ht="23.85" hidden="false" customHeight="false" outlineLevel="0" collapsed="false">
      <c r="A63" s="7" t="s">
        <v>375</v>
      </c>
      <c r="B63" s="7" t="s">
        <v>333</v>
      </c>
      <c r="C63" s="7" t="s">
        <v>376</v>
      </c>
      <c r="D63" s="7" t="s">
        <v>377</v>
      </c>
      <c r="E63" s="7" t="s">
        <v>378</v>
      </c>
      <c r="F63" s="7" t="s">
        <v>379</v>
      </c>
      <c r="G63" s="7" t="s">
        <v>41</v>
      </c>
      <c r="H63" s="7" t="s">
        <v>30</v>
      </c>
      <c r="I63" s="7" t="s">
        <v>49</v>
      </c>
      <c r="J63" s="7" t="s">
        <v>49</v>
      </c>
      <c r="K63" s="7" t="s">
        <v>380</v>
      </c>
      <c r="L63" s="7" t="s">
        <v>381</v>
      </c>
      <c r="M63" s="7" t="s">
        <v>53</v>
      </c>
    </row>
    <row r="64" customFormat="false" ht="15" hidden="false" customHeight="false" outlineLevel="0" collapsed="false">
      <c r="A64" s="6" t="s">
        <v>382</v>
      </c>
      <c r="B64" s="6" t="s">
        <v>383</v>
      </c>
      <c r="C64" s="6" t="s">
        <v>384</v>
      </c>
      <c r="D64" s="6" t="s">
        <v>385</v>
      </c>
      <c r="E64" s="6" t="s">
        <v>386</v>
      </c>
      <c r="F64" s="6" t="s">
        <v>387</v>
      </c>
      <c r="G64" s="6" t="s">
        <v>41</v>
      </c>
      <c r="H64" s="6" t="s">
        <v>30</v>
      </c>
      <c r="I64" s="6" t="s">
        <v>49</v>
      </c>
      <c r="J64" s="6" t="s">
        <v>49</v>
      </c>
      <c r="K64" s="6" t="s">
        <v>49</v>
      </c>
      <c r="L64" s="6" t="s">
        <v>34</v>
      </c>
      <c r="M64" s="6" t="s">
        <v>45</v>
      </c>
    </row>
    <row r="65" customFormat="false" ht="15" hidden="false" customHeight="false" outlineLevel="0" collapsed="false">
      <c r="A65" s="7" t="s">
        <v>388</v>
      </c>
      <c r="B65" s="7" t="s">
        <v>383</v>
      </c>
      <c r="C65" s="7" t="s">
        <v>389</v>
      </c>
      <c r="D65" s="7" t="s">
        <v>390</v>
      </c>
      <c r="E65" s="7" t="s">
        <v>24</v>
      </c>
      <c r="F65" s="7" t="s">
        <v>391</v>
      </c>
      <c r="G65" s="7" t="s">
        <v>41</v>
      </c>
      <c r="H65" s="7" t="s">
        <v>30</v>
      </c>
      <c r="I65" s="7" t="s">
        <v>49</v>
      </c>
      <c r="J65" s="7" t="s">
        <v>49</v>
      </c>
      <c r="K65" s="7" t="s">
        <v>392</v>
      </c>
      <c r="L65" s="7" t="s">
        <v>34</v>
      </c>
      <c r="M65" s="7" t="s">
        <v>45</v>
      </c>
    </row>
    <row r="66" customFormat="false" ht="15" hidden="false" customHeight="false" outlineLevel="0" collapsed="false">
      <c r="A66" s="6" t="s">
        <v>393</v>
      </c>
      <c r="B66" s="6" t="s">
        <v>383</v>
      </c>
      <c r="C66" s="6" t="s">
        <v>394</v>
      </c>
      <c r="D66" s="6" t="s">
        <v>395</v>
      </c>
      <c r="E66" s="6" t="s">
        <v>396</v>
      </c>
      <c r="F66" s="6" t="s">
        <v>359</v>
      </c>
      <c r="G66" s="6" t="s">
        <v>41</v>
      </c>
      <c r="H66" s="6" t="s">
        <v>30</v>
      </c>
      <c r="I66" s="6" t="s">
        <v>49</v>
      </c>
      <c r="J66" s="6" t="s">
        <v>49</v>
      </c>
      <c r="K66" s="6" t="s">
        <v>354</v>
      </c>
      <c r="L66" s="6" t="s">
        <v>34</v>
      </c>
      <c r="M66" s="6" t="s">
        <v>45</v>
      </c>
    </row>
    <row r="67" customFormat="false" ht="15" hidden="false" customHeight="false" outlineLevel="0" collapsed="false">
      <c r="A67" s="7" t="s">
        <v>397</v>
      </c>
      <c r="B67" s="7" t="s">
        <v>383</v>
      </c>
      <c r="C67" s="7" t="s">
        <v>398</v>
      </c>
      <c r="D67" s="7" t="s">
        <v>399</v>
      </c>
      <c r="E67" s="7" t="s">
        <v>400</v>
      </c>
      <c r="F67" s="7" t="s">
        <v>401</v>
      </c>
      <c r="G67" s="7" t="s">
        <v>41</v>
      </c>
      <c r="H67" s="7" t="s">
        <v>30</v>
      </c>
      <c r="I67" s="7" t="s">
        <v>49</v>
      </c>
      <c r="J67" s="7" t="s">
        <v>49</v>
      </c>
      <c r="K67" s="7" t="s">
        <v>402</v>
      </c>
      <c r="L67" s="7" t="s">
        <v>34</v>
      </c>
      <c r="M67" s="7" t="s">
        <v>45</v>
      </c>
    </row>
    <row r="68" customFormat="false" ht="15" hidden="false" customHeight="false" outlineLevel="0" collapsed="false">
      <c r="A68" s="6" t="s">
        <v>403</v>
      </c>
      <c r="B68" s="6" t="s">
        <v>383</v>
      </c>
      <c r="C68" s="6" t="s">
        <v>404</v>
      </c>
      <c r="D68" s="6" t="s">
        <v>405</v>
      </c>
      <c r="E68" s="6" t="s">
        <v>406</v>
      </c>
      <c r="F68" s="6" t="s">
        <v>49</v>
      </c>
      <c r="G68" s="6" t="s">
        <v>90</v>
      </c>
      <c r="H68" s="6" t="s">
        <v>407</v>
      </c>
      <c r="I68" s="6" t="s">
        <v>49</v>
      </c>
      <c r="J68" s="6" t="s">
        <v>408</v>
      </c>
      <c r="K68" s="6" t="s">
        <v>409</v>
      </c>
      <c r="L68" s="6" t="s">
        <v>52</v>
      </c>
      <c r="M68" s="6" t="s">
        <v>53</v>
      </c>
    </row>
    <row r="69" customFormat="false" ht="15" hidden="false" customHeight="false" outlineLevel="0" collapsed="false">
      <c r="A69" s="7" t="s">
        <v>410</v>
      </c>
      <c r="B69" s="7" t="s">
        <v>383</v>
      </c>
      <c r="C69" s="7" t="s">
        <v>411</v>
      </c>
      <c r="D69" s="7" t="s">
        <v>412</v>
      </c>
      <c r="E69" s="7" t="s">
        <v>413</v>
      </c>
      <c r="F69" s="7" t="s">
        <v>49</v>
      </c>
      <c r="G69" s="7" t="s">
        <v>90</v>
      </c>
      <c r="H69" s="7" t="s">
        <v>259</v>
      </c>
      <c r="I69" s="7" t="s">
        <v>49</v>
      </c>
      <c r="J69" s="7" t="s">
        <v>268</v>
      </c>
      <c r="K69" s="7" t="s">
        <v>414</v>
      </c>
      <c r="L69" s="7" t="s">
        <v>52</v>
      </c>
      <c r="M69" s="7" t="s">
        <v>53</v>
      </c>
    </row>
    <row r="70" customFormat="false" ht="15" hidden="false" customHeight="false" outlineLevel="0" collapsed="false">
      <c r="A70" s="6" t="s">
        <v>415</v>
      </c>
      <c r="B70" s="6" t="s">
        <v>383</v>
      </c>
      <c r="C70" s="6" t="s">
        <v>416</v>
      </c>
      <c r="D70" s="6" t="s">
        <v>417</v>
      </c>
      <c r="E70" s="6" t="s">
        <v>418</v>
      </c>
      <c r="F70" s="6" t="s">
        <v>49</v>
      </c>
      <c r="G70" s="6" t="s">
        <v>90</v>
      </c>
      <c r="H70" s="6" t="s">
        <v>30</v>
      </c>
      <c r="I70" s="6" t="s">
        <v>49</v>
      </c>
      <c r="J70" s="6" t="s">
        <v>49</v>
      </c>
      <c r="K70" s="6" t="s">
        <v>409</v>
      </c>
      <c r="L70" s="6" t="s">
        <v>34</v>
      </c>
      <c r="M70" s="6" t="s">
        <v>45</v>
      </c>
    </row>
    <row r="71" customFormat="false" ht="15" hidden="false" customHeight="false" outlineLevel="0" collapsed="false">
      <c r="A71" s="7" t="s">
        <v>419</v>
      </c>
      <c r="B71" s="7" t="s">
        <v>383</v>
      </c>
      <c r="C71" s="7" t="s">
        <v>420</v>
      </c>
      <c r="D71" s="7" t="s">
        <v>421</v>
      </c>
      <c r="E71" s="7" t="s">
        <v>422</v>
      </c>
      <c r="F71" s="7" t="s">
        <v>423</v>
      </c>
      <c r="G71" s="7" t="s">
        <v>90</v>
      </c>
      <c r="H71" s="7" t="s">
        <v>30</v>
      </c>
      <c r="I71" s="7" t="s">
        <v>49</v>
      </c>
      <c r="J71" s="7" t="s">
        <v>49</v>
      </c>
      <c r="K71" s="7" t="s">
        <v>424</v>
      </c>
      <c r="L71" s="7" t="s">
        <v>52</v>
      </c>
      <c r="M71" s="7" t="s">
        <v>53</v>
      </c>
    </row>
    <row r="72" customFormat="false" ht="15" hidden="false" customHeight="false" outlineLevel="0" collapsed="false">
      <c r="A72" s="6" t="s">
        <v>425</v>
      </c>
      <c r="B72" s="6" t="s">
        <v>383</v>
      </c>
      <c r="C72" s="6" t="s">
        <v>426</v>
      </c>
      <c r="D72" s="6" t="s">
        <v>427</v>
      </c>
      <c r="E72" s="6" t="s">
        <v>373</v>
      </c>
      <c r="F72" s="6" t="s">
        <v>428</v>
      </c>
      <c r="G72" s="6" t="s">
        <v>41</v>
      </c>
      <c r="H72" s="6" t="s">
        <v>30</v>
      </c>
      <c r="I72" s="6" t="s">
        <v>49</v>
      </c>
      <c r="J72" s="6" t="s">
        <v>49</v>
      </c>
      <c r="K72" s="6" t="s">
        <v>429</v>
      </c>
      <c r="L72" s="6" t="s">
        <v>59</v>
      </c>
      <c r="M72" s="6" t="s">
        <v>53</v>
      </c>
    </row>
    <row r="73" customFormat="false" ht="23.85" hidden="false" customHeight="false" outlineLevel="0" collapsed="false">
      <c r="A73" s="7" t="s">
        <v>430</v>
      </c>
      <c r="B73" s="7" t="s">
        <v>431</v>
      </c>
      <c r="C73" s="7" t="s">
        <v>432</v>
      </c>
      <c r="D73" s="7" t="s">
        <v>433</v>
      </c>
      <c r="E73" s="7" t="s">
        <v>434</v>
      </c>
      <c r="F73" s="7" t="s">
        <v>300</v>
      </c>
      <c r="G73" s="7" t="s">
        <v>90</v>
      </c>
      <c r="H73" s="7" t="s">
        <v>30</v>
      </c>
      <c r="I73" s="7" t="s">
        <v>49</v>
      </c>
      <c r="J73" s="7" t="s">
        <v>435</v>
      </c>
      <c r="K73" s="7" t="s">
        <v>302</v>
      </c>
      <c r="L73" s="7" t="s">
        <v>59</v>
      </c>
      <c r="M73" s="7" t="s">
        <v>53</v>
      </c>
    </row>
    <row r="74" customFormat="false" ht="15" hidden="false" customHeight="false" outlineLevel="0" collapsed="false">
      <c r="A74" s="6" t="s">
        <v>436</v>
      </c>
      <c r="B74" s="6" t="s">
        <v>431</v>
      </c>
      <c r="C74" s="6" t="s">
        <v>437</v>
      </c>
      <c r="D74" s="6" t="s">
        <v>438</v>
      </c>
      <c r="E74" s="6" t="s">
        <v>439</v>
      </c>
      <c r="F74" s="6" t="s">
        <v>391</v>
      </c>
      <c r="G74" s="6" t="s">
        <v>41</v>
      </c>
      <c r="H74" s="6" t="s">
        <v>30</v>
      </c>
      <c r="I74" s="6" t="s">
        <v>49</v>
      </c>
      <c r="J74" s="6" t="s">
        <v>49</v>
      </c>
      <c r="K74" s="6" t="s">
        <v>392</v>
      </c>
      <c r="L74" s="6" t="s">
        <v>59</v>
      </c>
      <c r="M74" s="6" t="s">
        <v>53</v>
      </c>
    </row>
    <row r="75" customFormat="false" ht="15" hidden="false" customHeight="false" outlineLevel="0" collapsed="false">
      <c r="A75" s="7" t="s">
        <v>440</v>
      </c>
      <c r="B75" s="7" t="s">
        <v>431</v>
      </c>
      <c r="C75" s="7" t="s">
        <v>441</v>
      </c>
      <c r="D75" s="7" t="s">
        <v>442</v>
      </c>
      <c r="E75" s="7" t="s">
        <v>431</v>
      </c>
      <c r="F75" s="7" t="s">
        <v>443</v>
      </c>
      <c r="G75" s="7" t="s">
        <v>90</v>
      </c>
      <c r="H75" s="7" t="s">
        <v>30</v>
      </c>
      <c r="I75" s="7" t="s">
        <v>49</v>
      </c>
      <c r="J75" s="7" t="s">
        <v>49</v>
      </c>
      <c r="K75" s="7" t="s">
        <v>302</v>
      </c>
      <c r="L75" s="7" t="s">
        <v>59</v>
      </c>
      <c r="M75" s="7" t="s">
        <v>53</v>
      </c>
    </row>
    <row r="76" customFormat="false" ht="15" hidden="false" customHeight="false" outlineLevel="0" collapsed="false">
      <c r="A76" s="6" t="s">
        <v>444</v>
      </c>
      <c r="B76" s="6" t="s">
        <v>431</v>
      </c>
      <c r="C76" s="6" t="s">
        <v>445</v>
      </c>
      <c r="D76" s="6" t="s">
        <v>446</v>
      </c>
      <c r="E76" s="6" t="s">
        <v>447</v>
      </c>
      <c r="F76" s="6" t="s">
        <v>448</v>
      </c>
      <c r="G76" s="6" t="s">
        <v>41</v>
      </c>
      <c r="H76" s="6" t="s">
        <v>30</v>
      </c>
      <c r="I76" s="6" t="s">
        <v>49</v>
      </c>
      <c r="J76" s="6" t="s">
        <v>449</v>
      </c>
      <c r="K76" s="6" t="s">
        <v>392</v>
      </c>
      <c r="L76" s="6" t="s">
        <v>59</v>
      </c>
      <c r="M76" s="6" t="s">
        <v>53</v>
      </c>
    </row>
    <row r="77" customFormat="false" ht="15" hidden="false" customHeight="false" outlineLevel="0" collapsed="false">
      <c r="A77" s="7" t="s">
        <v>450</v>
      </c>
      <c r="B77" s="7" t="s">
        <v>431</v>
      </c>
      <c r="C77" s="7" t="s">
        <v>451</v>
      </c>
      <c r="D77" s="7" t="s">
        <v>452</v>
      </c>
      <c r="E77" s="7" t="s">
        <v>431</v>
      </c>
      <c r="F77" s="7" t="s">
        <v>49</v>
      </c>
      <c r="G77" s="7" t="s">
        <v>90</v>
      </c>
      <c r="H77" s="7" t="s">
        <v>259</v>
      </c>
      <c r="I77" s="7" t="s">
        <v>49</v>
      </c>
      <c r="J77" s="7" t="s">
        <v>453</v>
      </c>
      <c r="K77" s="7" t="s">
        <v>454</v>
      </c>
      <c r="L77" s="7" t="s">
        <v>59</v>
      </c>
      <c r="M77" s="7" t="s">
        <v>53</v>
      </c>
    </row>
    <row r="78" customFormat="false" ht="23.85" hidden="false" customHeight="false" outlineLevel="0" collapsed="false">
      <c r="A78" s="6" t="s">
        <v>455</v>
      </c>
      <c r="B78" s="6" t="s">
        <v>456</v>
      </c>
      <c r="C78" s="6" t="s">
        <v>457</v>
      </c>
      <c r="D78" s="6" t="s">
        <v>458</v>
      </c>
      <c r="E78" s="6" t="s">
        <v>49</v>
      </c>
      <c r="F78" s="6" t="s">
        <v>459</v>
      </c>
      <c r="G78" s="6" t="s">
        <v>41</v>
      </c>
      <c r="H78" s="6" t="s">
        <v>30</v>
      </c>
      <c r="I78" s="6" t="s">
        <v>49</v>
      </c>
      <c r="J78" s="6" t="s">
        <v>49</v>
      </c>
      <c r="K78" s="6" t="s">
        <v>460</v>
      </c>
      <c r="L78" s="6" t="s">
        <v>34</v>
      </c>
      <c r="M78" s="6" t="s">
        <v>461</v>
      </c>
    </row>
    <row r="79" customFormat="false" ht="15" hidden="false" customHeight="false" outlineLevel="0" collapsed="false">
      <c r="A79" s="7" t="s">
        <v>462</v>
      </c>
      <c r="B79" s="7" t="s">
        <v>456</v>
      </c>
      <c r="C79" s="7" t="s">
        <v>463</v>
      </c>
      <c r="D79" s="7" t="s">
        <v>464</v>
      </c>
      <c r="E79" s="7" t="s">
        <v>465</v>
      </c>
      <c r="F79" s="7" t="s">
        <v>84</v>
      </c>
      <c r="G79" s="7" t="s">
        <v>41</v>
      </c>
      <c r="H79" s="7" t="s">
        <v>30</v>
      </c>
      <c r="I79" s="7" t="s">
        <v>49</v>
      </c>
      <c r="J79" s="7" t="s">
        <v>49</v>
      </c>
      <c r="K79" s="7" t="s">
        <v>460</v>
      </c>
      <c r="L79" s="7" t="s">
        <v>34</v>
      </c>
      <c r="M79" s="7" t="s">
        <v>45</v>
      </c>
    </row>
    <row r="80" customFormat="false" ht="35.05" hidden="false" customHeight="false" outlineLevel="0" collapsed="false">
      <c r="A80" s="6" t="s">
        <v>466</v>
      </c>
      <c r="B80" s="6" t="s">
        <v>456</v>
      </c>
      <c r="C80" s="6" t="s">
        <v>467</v>
      </c>
      <c r="D80" s="6" t="s">
        <v>468</v>
      </c>
      <c r="E80" s="6" t="s">
        <v>469</v>
      </c>
      <c r="F80" s="6" t="s">
        <v>470</v>
      </c>
      <c r="G80" s="6" t="s">
        <v>471</v>
      </c>
      <c r="H80" s="6" t="s">
        <v>30</v>
      </c>
      <c r="I80" s="6" t="s">
        <v>472</v>
      </c>
      <c r="J80" s="6" t="s">
        <v>473</v>
      </c>
      <c r="K80" s="6" t="s">
        <v>460</v>
      </c>
      <c r="L80" s="6" t="s">
        <v>52</v>
      </c>
      <c r="M80" s="6" t="s">
        <v>53</v>
      </c>
    </row>
    <row r="81" customFormat="false" ht="15" hidden="false" customHeight="false" outlineLevel="0" collapsed="false">
      <c r="A81" s="7" t="s">
        <v>474</v>
      </c>
      <c r="B81" s="7" t="s">
        <v>456</v>
      </c>
      <c r="C81" s="7" t="s">
        <v>475</v>
      </c>
      <c r="D81" s="7" t="s">
        <v>476</v>
      </c>
      <c r="E81" s="7" t="s">
        <v>469</v>
      </c>
      <c r="F81" s="7" t="s">
        <v>477</v>
      </c>
      <c r="G81" s="7" t="s">
        <v>41</v>
      </c>
      <c r="H81" s="7" t="s">
        <v>478</v>
      </c>
      <c r="I81" s="7" t="s">
        <v>49</v>
      </c>
      <c r="J81" s="7" t="s">
        <v>49</v>
      </c>
      <c r="K81" s="7" t="s">
        <v>460</v>
      </c>
      <c r="L81" s="7" t="s">
        <v>52</v>
      </c>
      <c r="M81" s="7" t="s">
        <v>53</v>
      </c>
    </row>
    <row r="82" customFormat="false" ht="15" hidden="false" customHeight="false" outlineLevel="0" collapsed="false">
      <c r="A82" s="6" t="s">
        <v>479</v>
      </c>
      <c r="B82" s="6" t="s">
        <v>456</v>
      </c>
      <c r="C82" s="6" t="s">
        <v>480</v>
      </c>
      <c r="D82" s="6" t="s">
        <v>481</v>
      </c>
      <c r="E82" s="6" t="s">
        <v>49</v>
      </c>
      <c r="F82" s="6" t="s">
        <v>482</v>
      </c>
      <c r="G82" s="6" t="s">
        <v>90</v>
      </c>
      <c r="H82" s="6" t="s">
        <v>30</v>
      </c>
      <c r="I82" s="6" t="s">
        <v>49</v>
      </c>
      <c r="J82" s="6" t="s">
        <v>483</v>
      </c>
      <c r="K82" s="6" t="s">
        <v>460</v>
      </c>
      <c r="L82" s="6" t="s">
        <v>52</v>
      </c>
      <c r="M82" s="6" t="s">
        <v>53</v>
      </c>
    </row>
    <row r="83" customFormat="false" ht="15" hidden="false" customHeight="false" outlineLevel="0" collapsed="false">
      <c r="A83" s="7" t="s">
        <v>484</v>
      </c>
      <c r="B83" s="7" t="s">
        <v>456</v>
      </c>
      <c r="C83" s="7" t="s">
        <v>485</v>
      </c>
      <c r="D83" s="7" t="s">
        <v>486</v>
      </c>
      <c r="E83" s="7" t="s">
        <v>465</v>
      </c>
      <c r="F83" s="7" t="s">
        <v>49</v>
      </c>
      <c r="G83" s="7" t="s">
        <v>90</v>
      </c>
      <c r="H83" s="7" t="s">
        <v>30</v>
      </c>
      <c r="I83" s="7" t="s">
        <v>49</v>
      </c>
      <c r="J83" s="7" t="s">
        <v>49</v>
      </c>
      <c r="K83" s="7" t="s">
        <v>460</v>
      </c>
      <c r="L83" s="7" t="s">
        <v>59</v>
      </c>
      <c r="M83" s="7" t="s">
        <v>53</v>
      </c>
    </row>
    <row r="84" customFormat="false" ht="23.85" hidden="false" customHeight="false" outlineLevel="0" collapsed="false">
      <c r="A84" s="6" t="s">
        <v>487</v>
      </c>
      <c r="B84" s="6" t="s">
        <v>456</v>
      </c>
      <c r="C84" s="6" t="s">
        <v>488</v>
      </c>
      <c r="D84" s="6" t="s">
        <v>489</v>
      </c>
      <c r="E84" s="6" t="s">
        <v>490</v>
      </c>
      <c r="F84" s="6" t="s">
        <v>491</v>
      </c>
      <c r="G84" s="6" t="s">
        <v>90</v>
      </c>
      <c r="H84" s="6" t="s">
        <v>30</v>
      </c>
      <c r="I84" s="6" t="s">
        <v>49</v>
      </c>
      <c r="J84" s="6" t="s">
        <v>49</v>
      </c>
      <c r="K84" s="6" t="s">
        <v>492</v>
      </c>
      <c r="L84" s="6" t="s">
        <v>52</v>
      </c>
      <c r="M84" s="6" t="s">
        <v>53</v>
      </c>
    </row>
    <row r="85" customFormat="false" ht="23.85" hidden="false" customHeight="false" outlineLevel="0" collapsed="false">
      <c r="A85" s="7" t="s">
        <v>493</v>
      </c>
      <c r="B85" s="7" t="s">
        <v>494</v>
      </c>
      <c r="C85" s="7" t="s">
        <v>495</v>
      </c>
      <c r="D85" s="7" t="s">
        <v>496</v>
      </c>
      <c r="E85" s="7" t="s">
        <v>323</v>
      </c>
      <c r="F85" s="7" t="s">
        <v>497</v>
      </c>
      <c r="G85" s="7" t="s">
        <v>90</v>
      </c>
      <c r="H85" s="7" t="s">
        <v>30</v>
      </c>
      <c r="I85" s="7" t="s">
        <v>49</v>
      </c>
      <c r="J85" s="7" t="s">
        <v>498</v>
      </c>
      <c r="K85" s="7" t="s">
        <v>499</v>
      </c>
      <c r="L85" s="7" t="s">
        <v>59</v>
      </c>
      <c r="M85" s="7" t="s">
        <v>53</v>
      </c>
    </row>
    <row r="86" customFormat="false" ht="23.85" hidden="false" customHeight="false" outlineLevel="0" collapsed="false">
      <c r="A86" s="6" t="s">
        <v>500</v>
      </c>
      <c r="B86" s="6" t="s">
        <v>494</v>
      </c>
      <c r="C86" s="6" t="s">
        <v>501</v>
      </c>
      <c r="D86" s="6" t="s">
        <v>502</v>
      </c>
      <c r="E86" s="6" t="s">
        <v>503</v>
      </c>
      <c r="F86" s="6" t="s">
        <v>504</v>
      </c>
      <c r="G86" s="6" t="s">
        <v>90</v>
      </c>
      <c r="H86" s="6" t="s">
        <v>30</v>
      </c>
      <c r="I86" s="6" t="s">
        <v>49</v>
      </c>
      <c r="J86" s="6" t="s">
        <v>49</v>
      </c>
      <c r="K86" s="6" t="s">
        <v>325</v>
      </c>
      <c r="L86" s="6" t="s">
        <v>59</v>
      </c>
      <c r="M86" s="6" t="s">
        <v>53</v>
      </c>
    </row>
    <row r="87" customFormat="false" ht="15" hidden="false" customHeight="false" outlineLevel="0" collapsed="false">
      <c r="A87" s="7" t="s">
        <v>505</v>
      </c>
      <c r="B87" s="7" t="s">
        <v>494</v>
      </c>
      <c r="C87" s="7" t="s">
        <v>506</v>
      </c>
      <c r="D87" s="7" t="s">
        <v>507</v>
      </c>
      <c r="E87" s="7" t="s">
        <v>508</v>
      </c>
      <c r="F87" s="7" t="s">
        <v>509</v>
      </c>
      <c r="G87" s="7" t="s">
        <v>90</v>
      </c>
      <c r="H87" s="7" t="s">
        <v>407</v>
      </c>
      <c r="I87" s="7" t="s">
        <v>510</v>
      </c>
      <c r="J87" s="7" t="s">
        <v>511</v>
      </c>
      <c r="K87" s="7" t="s">
        <v>512</v>
      </c>
      <c r="L87" s="7" t="s">
        <v>59</v>
      </c>
      <c r="M87" s="7" t="s">
        <v>53</v>
      </c>
    </row>
    <row r="88" customFormat="false" ht="23.85" hidden="false" customHeight="false" outlineLevel="0" collapsed="false">
      <c r="A88" s="6" t="s">
        <v>513</v>
      </c>
      <c r="B88" s="6" t="s">
        <v>494</v>
      </c>
      <c r="C88" s="6" t="s">
        <v>514</v>
      </c>
      <c r="D88" s="6" t="s">
        <v>515</v>
      </c>
      <c r="E88" s="6" t="s">
        <v>504</v>
      </c>
      <c r="F88" s="6" t="s">
        <v>516</v>
      </c>
      <c r="G88" s="6" t="s">
        <v>41</v>
      </c>
      <c r="H88" s="6" t="s">
        <v>30</v>
      </c>
      <c r="I88" s="6" t="s">
        <v>49</v>
      </c>
      <c r="J88" s="6" t="s">
        <v>49</v>
      </c>
      <c r="K88" s="6" t="s">
        <v>512</v>
      </c>
      <c r="L88" s="6" t="s">
        <v>59</v>
      </c>
      <c r="M88" s="6" t="s">
        <v>53</v>
      </c>
    </row>
    <row r="89" customFormat="false" ht="15" hidden="false" customHeight="false" outlineLevel="0" collapsed="false">
      <c r="A89" s="7" t="s">
        <v>517</v>
      </c>
      <c r="B89" s="7" t="s">
        <v>494</v>
      </c>
      <c r="C89" s="7" t="s">
        <v>518</v>
      </c>
      <c r="D89" s="7" t="s">
        <v>519</v>
      </c>
      <c r="E89" s="7" t="s">
        <v>494</v>
      </c>
      <c r="F89" s="7" t="s">
        <v>520</v>
      </c>
      <c r="G89" s="7" t="s">
        <v>41</v>
      </c>
      <c r="H89" s="7" t="s">
        <v>30</v>
      </c>
      <c r="I89" s="7" t="s">
        <v>49</v>
      </c>
      <c r="J89" s="7" t="s">
        <v>521</v>
      </c>
      <c r="K89" s="7" t="s">
        <v>522</v>
      </c>
      <c r="L89" s="7" t="s">
        <v>59</v>
      </c>
      <c r="M89" s="7" t="s">
        <v>53</v>
      </c>
    </row>
    <row r="90" customFormat="false" ht="15" hidden="false" customHeight="false" outlineLevel="0" collapsed="false">
      <c r="A90" s="6" t="s">
        <v>523</v>
      </c>
      <c r="B90" s="6" t="s">
        <v>494</v>
      </c>
      <c r="C90" s="6" t="s">
        <v>524</v>
      </c>
      <c r="D90" s="6" t="s">
        <v>525</v>
      </c>
      <c r="E90" s="6" t="s">
        <v>526</v>
      </c>
      <c r="F90" s="6" t="s">
        <v>527</v>
      </c>
      <c r="G90" s="6" t="s">
        <v>90</v>
      </c>
      <c r="H90" s="6" t="s">
        <v>30</v>
      </c>
      <c r="I90" s="6" t="s">
        <v>49</v>
      </c>
      <c r="J90" s="6" t="s">
        <v>528</v>
      </c>
      <c r="K90" s="6" t="s">
        <v>529</v>
      </c>
      <c r="L90" s="6" t="s">
        <v>59</v>
      </c>
      <c r="M90" s="6" t="s">
        <v>53</v>
      </c>
    </row>
    <row r="91" customFormat="false" ht="15" hidden="false" customHeight="false" outlineLevel="0" collapsed="false">
      <c r="A91" s="7" t="s">
        <v>530</v>
      </c>
      <c r="B91" s="7" t="s">
        <v>494</v>
      </c>
      <c r="C91" s="7" t="s">
        <v>531</v>
      </c>
      <c r="D91" s="7" t="s">
        <v>532</v>
      </c>
      <c r="E91" s="7" t="s">
        <v>218</v>
      </c>
      <c r="F91" s="7" t="s">
        <v>533</v>
      </c>
      <c r="G91" s="7" t="s">
        <v>41</v>
      </c>
      <c r="H91" s="7" t="s">
        <v>30</v>
      </c>
      <c r="I91" s="7" t="s">
        <v>49</v>
      </c>
      <c r="J91" s="7" t="s">
        <v>49</v>
      </c>
      <c r="K91" s="7" t="s">
        <v>534</v>
      </c>
      <c r="L91" s="7" t="s">
        <v>52</v>
      </c>
      <c r="M91" s="7" t="s">
        <v>53</v>
      </c>
    </row>
    <row r="92" customFormat="false" ht="15" hidden="false" customHeight="false" outlineLevel="0" collapsed="false">
      <c r="A92" s="6" t="s">
        <v>535</v>
      </c>
      <c r="B92" s="6" t="s">
        <v>536</v>
      </c>
      <c r="C92" s="6" t="s">
        <v>537</v>
      </c>
      <c r="D92" s="6" t="s">
        <v>538</v>
      </c>
      <c r="E92" s="6" t="s">
        <v>539</v>
      </c>
      <c r="F92" s="6" t="s">
        <v>540</v>
      </c>
      <c r="G92" s="6" t="s">
        <v>29</v>
      </c>
      <c r="H92" s="6" t="s">
        <v>30</v>
      </c>
      <c r="I92" s="6" t="s">
        <v>541</v>
      </c>
      <c r="J92" s="6" t="s">
        <v>49</v>
      </c>
      <c r="K92" s="6" t="s">
        <v>529</v>
      </c>
      <c r="L92" s="6" t="s">
        <v>59</v>
      </c>
      <c r="M92" s="6" t="s">
        <v>53</v>
      </c>
    </row>
    <row r="93" customFormat="false" ht="15" hidden="false" customHeight="false" outlineLevel="0" collapsed="false">
      <c r="A93" s="7" t="s">
        <v>542</v>
      </c>
      <c r="B93" s="7" t="s">
        <v>536</v>
      </c>
      <c r="C93" s="7" t="s">
        <v>543</v>
      </c>
      <c r="D93" s="7" t="s">
        <v>544</v>
      </c>
      <c r="E93" s="7" t="s">
        <v>545</v>
      </c>
      <c r="F93" s="7" t="s">
        <v>540</v>
      </c>
      <c r="G93" s="7" t="s">
        <v>29</v>
      </c>
      <c r="H93" s="7" t="s">
        <v>30</v>
      </c>
      <c r="I93" s="7" t="s">
        <v>49</v>
      </c>
      <c r="J93" s="7" t="s">
        <v>546</v>
      </c>
      <c r="K93" s="7" t="s">
        <v>529</v>
      </c>
      <c r="L93" s="7" t="s">
        <v>59</v>
      </c>
      <c r="M93" s="7" t="s">
        <v>53</v>
      </c>
    </row>
    <row r="94" customFormat="false" ht="23.85" hidden="false" customHeight="false" outlineLevel="0" collapsed="false">
      <c r="A94" s="6" t="s">
        <v>547</v>
      </c>
      <c r="B94" s="6" t="s">
        <v>536</v>
      </c>
      <c r="C94" s="6" t="s">
        <v>548</v>
      </c>
      <c r="D94" s="6" t="s">
        <v>549</v>
      </c>
      <c r="E94" s="6" t="s">
        <v>550</v>
      </c>
      <c r="F94" s="6" t="s">
        <v>540</v>
      </c>
      <c r="G94" s="6" t="s">
        <v>29</v>
      </c>
      <c r="H94" s="6" t="s">
        <v>30</v>
      </c>
      <c r="I94" s="6" t="s">
        <v>49</v>
      </c>
      <c r="J94" s="6" t="s">
        <v>551</v>
      </c>
      <c r="K94" s="6" t="s">
        <v>529</v>
      </c>
      <c r="L94" s="6" t="s">
        <v>59</v>
      </c>
      <c r="M94" s="6" t="s">
        <v>53</v>
      </c>
    </row>
    <row r="95" customFormat="false" ht="15" hidden="false" customHeight="false" outlineLevel="0" collapsed="false">
      <c r="A95" s="7" t="s">
        <v>552</v>
      </c>
      <c r="B95" s="7" t="s">
        <v>536</v>
      </c>
      <c r="C95" s="7" t="s">
        <v>553</v>
      </c>
      <c r="D95" s="7" t="s">
        <v>554</v>
      </c>
      <c r="E95" s="7" t="s">
        <v>555</v>
      </c>
      <c r="F95" s="7" t="s">
        <v>556</v>
      </c>
      <c r="G95" s="7" t="s">
        <v>41</v>
      </c>
      <c r="H95" s="7" t="s">
        <v>30</v>
      </c>
      <c r="I95" s="7" t="s">
        <v>49</v>
      </c>
      <c r="J95" s="7" t="s">
        <v>49</v>
      </c>
      <c r="K95" s="7" t="s">
        <v>529</v>
      </c>
      <c r="L95" s="7" t="s">
        <v>52</v>
      </c>
      <c r="M95" s="7" t="s">
        <v>53</v>
      </c>
    </row>
    <row r="96" customFormat="false" ht="15" hidden="false" customHeight="false" outlineLevel="0" collapsed="false">
      <c r="A96" s="6" t="s">
        <v>557</v>
      </c>
      <c r="B96" s="6" t="s">
        <v>536</v>
      </c>
      <c r="C96" s="6" t="s">
        <v>558</v>
      </c>
      <c r="D96" s="6" t="s">
        <v>559</v>
      </c>
      <c r="E96" s="6" t="s">
        <v>24</v>
      </c>
      <c r="F96" s="6" t="s">
        <v>470</v>
      </c>
      <c r="G96" s="6" t="s">
        <v>41</v>
      </c>
      <c r="H96" s="6" t="s">
        <v>30</v>
      </c>
      <c r="I96" s="6" t="s">
        <v>560</v>
      </c>
      <c r="J96" s="6" t="s">
        <v>49</v>
      </c>
      <c r="K96" s="6" t="s">
        <v>529</v>
      </c>
      <c r="L96" s="6" t="s">
        <v>59</v>
      </c>
      <c r="M96" s="6" t="s">
        <v>53</v>
      </c>
    </row>
    <row r="97" customFormat="false" ht="15" hidden="false" customHeight="false" outlineLevel="0" collapsed="false">
      <c r="A97" s="7" t="s">
        <v>561</v>
      </c>
      <c r="B97" s="7" t="s">
        <v>536</v>
      </c>
      <c r="C97" s="7" t="s">
        <v>562</v>
      </c>
      <c r="D97" s="7" t="s">
        <v>563</v>
      </c>
      <c r="E97" s="7" t="s">
        <v>564</v>
      </c>
      <c r="F97" s="7" t="s">
        <v>470</v>
      </c>
      <c r="G97" s="7" t="s">
        <v>41</v>
      </c>
      <c r="H97" s="7" t="s">
        <v>30</v>
      </c>
      <c r="I97" s="7" t="s">
        <v>49</v>
      </c>
      <c r="J97" s="7" t="s">
        <v>49</v>
      </c>
      <c r="K97" s="7" t="s">
        <v>529</v>
      </c>
      <c r="L97" s="7" t="s">
        <v>59</v>
      </c>
      <c r="M97" s="7" t="s">
        <v>53</v>
      </c>
    </row>
    <row r="98" customFormat="false" ht="23.85" hidden="false" customHeight="false" outlineLevel="0" collapsed="false">
      <c r="A98" s="6" t="s">
        <v>565</v>
      </c>
      <c r="B98" s="6" t="s">
        <v>536</v>
      </c>
      <c r="C98" s="6" t="s">
        <v>566</v>
      </c>
      <c r="D98" s="6" t="s">
        <v>567</v>
      </c>
      <c r="E98" s="6" t="s">
        <v>24</v>
      </c>
      <c r="F98" s="6" t="s">
        <v>470</v>
      </c>
      <c r="G98" s="6" t="s">
        <v>41</v>
      </c>
      <c r="H98" s="6" t="s">
        <v>30</v>
      </c>
      <c r="I98" s="6" t="s">
        <v>49</v>
      </c>
      <c r="J98" s="6" t="s">
        <v>49</v>
      </c>
      <c r="K98" s="6" t="s">
        <v>529</v>
      </c>
      <c r="L98" s="6" t="s">
        <v>59</v>
      </c>
      <c r="M98" s="6" t="s">
        <v>53</v>
      </c>
    </row>
    <row r="99" customFormat="false" ht="15" hidden="false" customHeight="false" outlineLevel="0" collapsed="false">
      <c r="A99" s="7" t="s">
        <v>568</v>
      </c>
      <c r="B99" s="7" t="s">
        <v>536</v>
      </c>
      <c r="C99" s="7" t="s">
        <v>569</v>
      </c>
      <c r="D99" s="7" t="s">
        <v>570</v>
      </c>
      <c r="E99" s="7" t="s">
        <v>24</v>
      </c>
      <c r="F99" s="7" t="s">
        <v>470</v>
      </c>
      <c r="G99" s="7" t="s">
        <v>41</v>
      </c>
      <c r="H99" s="7" t="s">
        <v>30</v>
      </c>
      <c r="I99" s="7" t="s">
        <v>49</v>
      </c>
      <c r="J99" s="7" t="s">
        <v>49</v>
      </c>
      <c r="K99" s="7" t="s">
        <v>529</v>
      </c>
      <c r="L99" s="7" t="s">
        <v>59</v>
      </c>
      <c r="M99" s="7" t="s">
        <v>53</v>
      </c>
    </row>
    <row r="100" customFormat="false" ht="15" hidden="false" customHeight="false" outlineLevel="0" collapsed="false">
      <c r="A100" s="6" t="s">
        <v>571</v>
      </c>
      <c r="B100" s="6" t="s">
        <v>536</v>
      </c>
      <c r="C100" s="6" t="s">
        <v>572</v>
      </c>
      <c r="D100" s="6" t="s">
        <v>573</v>
      </c>
      <c r="E100" s="6" t="s">
        <v>508</v>
      </c>
      <c r="F100" s="6" t="s">
        <v>574</v>
      </c>
      <c r="G100" s="6" t="s">
        <v>29</v>
      </c>
      <c r="H100" s="6" t="s">
        <v>30</v>
      </c>
      <c r="I100" s="6" t="s">
        <v>49</v>
      </c>
      <c r="J100" s="6" t="s">
        <v>49</v>
      </c>
      <c r="K100" s="6" t="s">
        <v>529</v>
      </c>
      <c r="L100" s="6" t="s">
        <v>59</v>
      </c>
      <c r="M100" s="6" t="s">
        <v>53</v>
      </c>
    </row>
    <row r="101" customFormat="false" ht="15" hidden="false" customHeight="false" outlineLevel="0" collapsed="false">
      <c r="A101" s="7" t="s">
        <v>575</v>
      </c>
      <c r="B101" s="7" t="s">
        <v>536</v>
      </c>
      <c r="C101" s="7" t="s">
        <v>576</v>
      </c>
      <c r="D101" s="7" t="s">
        <v>577</v>
      </c>
      <c r="E101" s="7" t="s">
        <v>84</v>
      </c>
      <c r="F101" s="7" t="s">
        <v>578</v>
      </c>
      <c r="G101" s="7" t="s">
        <v>29</v>
      </c>
      <c r="H101" s="7" t="s">
        <v>30</v>
      </c>
      <c r="I101" s="7" t="s">
        <v>49</v>
      </c>
      <c r="J101" s="7" t="s">
        <v>528</v>
      </c>
      <c r="K101" s="7" t="s">
        <v>529</v>
      </c>
      <c r="L101" s="7" t="s">
        <v>59</v>
      </c>
      <c r="M101" s="7" t="s">
        <v>53</v>
      </c>
    </row>
    <row r="102" customFormat="false" ht="15" hidden="false" customHeight="false" outlineLevel="0" collapsed="false">
      <c r="A102" s="6" t="s">
        <v>579</v>
      </c>
      <c r="B102" s="6" t="s">
        <v>536</v>
      </c>
      <c r="C102" s="6" t="s">
        <v>580</v>
      </c>
      <c r="D102" s="6" t="s">
        <v>581</v>
      </c>
      <c r="E102" s="6" t="s">
        <v>555</v>
      </c>
      <c r="F102" s="6" t="s">
        <v>582</v>
      </c>
      <c r="G102" s="6" t="s">
        <v>41</v>
      </c>
      <c r="H102" s="6" t="s">
        <v>30</v>
      </c>
      <c r="I102" s="6" t="s">
        <v>583</v>
      </c>
      <c r="J102" s="6" t="s">
        <v>49</v>
      </c>
      <c r="K102" s="6" t="s">
        <v>584</v>
      </c>
      <c r="L102" s="6" t="s">
        <v>59</v>
      </c>
      <c r="M102" s="6" t="s">
        <v>53</v>
      </c>
    </row>
    <row r="103" customFormat="false" ht="23.85" hidden="false" customHeight="false" outlineLevel="0" collapsed="false">
      <c r="A103" s="7" t="s">
        <v>585</v>
      </c>
      <c r="B103" s="7" t="s">
        <v>536</v>
      </c>
      <c r="C103" s="7" t="s">
        <v>586</v>
      </c>
      <c r="D103" s="7" t="s">
        <v>587</v>
      </c>
      <c r="E103" s="7" t="s">
        <v>555</v>
      </c>
      <c r="F103" s="7" t="s">
        <v>588</v>
      </c>
      <c r="G103" s="7" t="s">
        <v>29</v>
      </c>
      <c r="H103" s="7" t="s">
        <v>407</v>
      </c>
      <c r="I103" s="7" t="s">
        <v>589</v>
      </c>
      <c r="J103" s="7" t="s">
        <v>590</v>
      </c>
      <c r="K103" s="7" t="s">
        <v>584</v>
      </c>
      <c r="L103" s="7" t="s">
        <v>59</v>
      </c>
      <c r="M103" s="7" t="s">
        <v>53</v>
      </c>
    </row>
    <row r="104" customFormat="false" ht="15" hidden="false" customHeight="false" outlineLevel="0" collapsed="false">
      <c r="A104" s="6" t="s">
        <v>591</v>
      </c>
      <c r="B104" s="6" t="s">
        <v>536</v>
      </c>
      <c r="C104" s="6" t="s">
        <v>592</v>
      </c>
      <c r="D104" s="6" t="s">
        <v>593</v>
      </c>
      <c r="E104" s="6" t="s">
        <v>588</v>
      </c>
      <c r="F104" s="6" t="s">
        <v>49</v>
      </c>
      <c r="G104" s="6" t="s">
        <v>29</v>
      </c>
      <c r="H104" s="6" t="s">
        <v>30</v>
      </c>
      <c r="I104" s="6" t="s">
        <v>49</v>
      </c>
      <c r="J104" s="6" t="s">
        <v>49</v>
      </c>
      <c r="K104" s="6" t="s">
        <v>584</v>
      </c>
      <c r="L104" s="6" t="s">
        <v>59</v>
      </c>
      <c r="M104" s="6" t="s">
        <v>53</v>
      </c>
    </row>
    <row r="105" customFormat="false" ht="15" hidden="false" customHeight="false" outlineLevel="0" collapsed="false">
      <c r="A105" s="7" t="s">
        <v>594</v>
      </c>
      <c r="B105" s="7" t="s">
        <v>536</v>
      </c>
      <c r="C105" s="7" t="s">
        <v>595</v>
      </c>
      <c r="D105" s="7" t="s">
        <v>596</v>
      </c>
      <c r="E105" s="7" t="s">
        <v>157</v>
      </c>
      <c r="F105" s="7" t="s">
        <v>597</v>
      </c>
      <c r="G105" s="7" t="s">
        <v>29</v>
      </c>
      <c r="H105" s="7" t="s">
        <v>30</v>
      </c>
      <c r="I105" s="7" t="s">
        <v>49</v>
      </c>
      <c r="J105" s="7" t="s">
        <v>49</v>
      </c>
      <c r="K105" s="7" t="s">
        <v>380</v>
      </c>
      <c r="L105" s="7" t="s">
        <v>381</v>
      </c>
      <c r="M105" s="7" t="s">
        <v>53</v>
      </c>
    </row>
    <row r="106" customFormat="false" ht="15" hidden="false" customHeight="false" outlineLevel="0" collapsed="false">
      <c r="A106" s="6" t="s">
        <v>598</v>
      </c>
      <c r="B106" s="6" t="s">
        <v>536</v>
      </c>
      <c r="C106" s="6" t="s">
        <v>599</v>
      </c>
      <c r="D106" s="6" t="s">
        <v>600</v>
      </c>
      <c r="E106" s="6" t="s">
        <v>601</v>
      </c>
      <c r="F106" s="6" t="s">
        <v>602</v>
      </c>
      <c r="G106" s="6" t="s">
        <v>29</v>
      </c>
      <c r="H106" s="6" t="s">
        <v>30</v>
      </c>
      <c r="I106" s="6" t="s">
        <v>49</v>
      </c>
      <c r="J106" s="6" t="s">
        <v>49</v>
      </c>
      <c r="K106" s="6" t="s">
        <v>374</v>
      </c>
      <c r="L106" s="6" t="s">
        <v>381</v>
      </c>
      <c r="M106" s="6" t="s">
        <v>53</v>
      </c>
    </row>
    <row r="107" customFormat="false" ht="23.85" hidden="false" customHeight="false" outlineLevel="0" collapsed="false">
      <c r="A107" s="7" t="s">
        <v>603</v>
      </c>
      <c r="B107" s="7" t="s">
        <v>536</v>
      </c>
      <c r="C107" s="7" t="s">
        <v>604</v>
      </c>
      <c r="D107" s="7" t="s">
        <v>605</v>
      </c>
      <c r="E107" s="7" t="s">
        <v>131</v>
      </c>
      <c r="F107" s="7" t="s">
        <v>540</v>
      </c>
      <c r="G107" s="7" t="s">
        <v>29</v>
      </c>
      <c r="H107" s="7" t="s">
        <v>30</v>
      </c>
      <c r="I107" s="7" t="s">
        <v>49</v>
      </c>
      <c r="J107" s="7" t="s">
        <v>49</v>
      </c>
      <c r="K107" s="7" t="s">
        <v>331</v>
      </c>
      <c r="L107" s="7" t="s">
        <v>381</v>
      </c>
      <c r="M107" s="7" t="s">
        <v>53</v>
      </c>
    </row>
    <row r="108" customFormat="false" ht="15" hidden="false" customHeight="false" outlineLevel="0" collapsed="false">
      <c r="A108" s="6" t="s">
        <v>606</v>
      </c>
      <c r="B108" s="6" t="s">
        <v>607</v>
      </c>
      <c r="C108" s="6" t="s">
        <v>608</v>
      </c>
      <c r="D108" s="6" t="s">
        <v>609</v>
      </c>
      <c r="E108" s="6" t="s">
        <v>610</v>
      </c>
      <c r="F108" s="6" t="s">
        <v>611</v>
      </c>
      <c r="G108" s="6" t="s">
        <v>90</v>
      </c>
      <c r="H108" s="6" t="s">
        <v>30</v>
      </c>
      <c r="I108" s="6" t="s">
        <v>612</v>
      </c>
      <c r="J108" s="6" t="s">
        <v>613</v>
      </c>
      <c r="K108" s="6" t="s">
        <v>614</v>
      </c>
      <c r="L108" s="6" t="s">
        <v>381</v>
      </c>
      <c r="M108" s="6" t="s">
        <v>53</v>
      </c>
    </row>
    <row r="109" customFormat="false" ht="15" hidden="false" customHeight="false" outlineLevel="0" collapsed="false">
      <c r="A109" s="7" t="s">
        <v>615</v>
      </c>
      <c r="B109" s="7" t="s">
        <v>607</v>
      </c>
      <c r="C109" s="7" t="s">
        <v>616</v>
      </c>
      <c r="D109" s="7" t="s">
        <v>617</v>
      </c>
      <c r="E109" s="7" t="s">
        <v>186</v>
      </c>
      <c r="F109" s="7" t="s">
        <v>618</v>
      </c>
      <c r="G109" s="7" t="s">
        <v>90</v>
      </c>
      <c r="H109" s="7" t="s">
        <v>407</v>
      </c>
      <c r="I109" s="7" t="s">
        <v>49</v>
      </c>
      <c r="J109" s="7" t="s">
        <v>619</v>
      </c>
      <c r="K109" s="7" t="s">
        <v>614</v>
      </c>
      <c r="L109" s="7" t="s">
        <v>381</v>
      </c>
      <c r="M109" s="7" t="s">
        <v>53</v>
      </c>
    </row>
    <row r="110" customFormat="false" ht="15" hidden="false" customHeight="false" outlineLevel="0" collapsed="false">
      <c r="A110" s="6" t="s">
        <v>620</v>
      </c>
      <c r="B110" s="6" t="s">
        <v>607</v>
      </c>
      <c r="C110" s="6" t="s">
        <v>621</v>
      </c>
      <c r="D110" s="6" t="s">
        <v>622</v>
      </c>
      <c r="E110" s="6" t="s">
        <v>623</v>
      </c>
      <c r="F110" s="6" t="s">
        <v>624</v>
      </c>
      <c r="G110" s="6" t="s">
        <v>90</v>
      </c>
      <c r="H110" s="6" t="s">
        <v>259</v>
      </c>
      <c r="I110" s="6" t="s">
        <v>49</v>
      </c>
      <c r="J110" s="6" t="s">
        <v>625</v>
      </c>
      <c r="K110" s="6" t="s">
        <v>626</v>
      </c>
      <c r="L110" s="6" t="s">
        <v>381</v>
      </c>
      <c r="M110" s="6" t="s">
        <v>53</v>
      </c>
    </row>
    <row r="111" customFormat="false" ht="15" hidden="false" customHeight="false" outlineLevel="0" collapsed="false">
      <c r="A111" s="7" t="s">
        <v>627</v>
      </c>
      <c r="B111" s="7" t="s">
        <v>607</v>
      </c>
      <c r="C111" s="7" t="s">
        <v>628</v>
      </c>
      <c r="D111" s="7" t="s">
        <v>629</v>
      </c>
      <c r="E111" s="7" t="s">
        <v>508</v>
      </c>
      <c r="F111" s="7" t="s">
        <v>630</v>
      </c>
      <c r="G111" s="7" t="s">
        <v>90</v>
      </c>
      <c r="H111" s="7" t="s">
        <v>30</v>
      </c>
      <c r="I111" s="7" t="s">
        <v>49</v>
      </c>
      <c r="J111" s="7" t="s">
        <v>49</v>
      </c>
      <c r="K111" s="7" t="s">
        <v>631</v>
      </c>
      <c r="L111" s="7" t="s">
        <v>381</v>
      </c>
      <c r="M111" s="7" t="s">
        <v>53</v>
      </c>
    </row>
    <row r="112" customFormat="false" ht="15" hidden="false" customHeight="false" outlineLevel="0" collapsed="false">
      <c r="A112" s="6" t="s">
        <v>632</v>
      </c>
      <c r="B112" s="6" t="s">
        <v>607</v>
      </c>
      <c r="C112" s="6" t="s">
        <v>633</v>
      </c>
      <c r="D112" s="6" t="s">
        <v>634</v>
      </c>
      <c r="E112" s="6" t="s">
        <v>635</v>
      </c>
      <c r="F112" s="6" t="s">
        <v>470</v>
      </c>
      <c r="G112" s="6" t="s">
        <v>41</v>
      </c>
      <c r="H112" s="6" t="s">
        <v>30</v>
      </c>
      <c r="I112" s="6" t="s">
        <v>49</v>
      </c>
      <c r="J112" s="6" t="s">
        <v>49</v>
      </c>
      <c r="K112" s="6" t="s">
        <v>631</v>
      </c>
      <c r="L112" s="6" t="s">
        <v>381</v>
      </c>
      <c r="M112" s="6" t="s">
        <v>53</v>
      </c>
    </row>
    <row r="113" customFormat="false" ht="15" hidden="false" customHeight="false" outlineLevel="0" collapsed="false">
      <c r="A113" s="7" t="s">
        <v>636</v>
      </c>
      <c r="B113" s="7" t="s">
        <v>607</v>
      </c>
      <c r="C113" s="7" t="s">
        <v>637</v>
      </c>
      <c r="D113" s="7" t="s">
        <v>638</v>
      </c>
      <c r="E113" s="7" t="s">
        <v>639</v>
      </c>
      <c r="F113" s="7" t="s">
        <v>640</v>
      </c>
      <c r="G113" s="7" t="s">
        <v>41</v>
      </c>
      <c r="H113" s="7" t="s">
        <v>30</v>
      </c>
      <c r="I113" s="7" t="s">
        <v>49</v>
      </c>
      <c r="J113" s="7" t="s">
        <v>49</v>
      </c>
      <c r="K113" s="7" t="s">
        <v>631</v>
      </c>
      <c r="L113" s="7" t="s">
        <v>381</v>
      </c>
      <c r="M113" s="7" t="s">
        <v>53</v>
      </c>
    </row>
    <row r="114" customFormat="false" ht="15" hidden="false" customHeight="false" outlineLevel="0" collapsed="false">
      <c r="A114" s="6" t="s">
        <v>641</v>
      </c>
      <c r="B114" s="6" t="s">
        <v>607</v>
      </c>
      <c r="C114" s="6" t="s">
        <v>642</v>
      </c>
      <c r="D114" s="6" t="s">
        <v>643</v>
      </c>
      <c r="E114" s="6" t="s">
        <v>644</v>
      </c>
      <c r="F114" s="6" t="s">
        <v>353</v>
      </c>
      <c r="G114" s="6" t="s">
        <v>41</v>
      </c>
      <c r="H114" s="6" t="s">
        <v>30</v>
      </c>
      <c r="I114" s="6" t="s">
        <v>49</v>
      </c>
      <c r="J114" s="6" t="s">
        <v>645</v>
      </c>
      <c r="K114" s="6" t="s">
        <v>646</v>
      </c>
      <c r="L114" s="6" t="s">
        <v>182</v>
      </c>
      <c r="M114" s="6" t="s">
        <v>53</v>
      </c>
    </row>
    <row r="115" customFormat="false" ht="15" hidden="false" customHeight="false" outlineLevel="0" collapsed="false">
      <c r="A115" s="7" t="s">
        <v>647</v>
      </c>
      <c r="B115" s="7" t="s">
        <v>648</v>
      </c>
      <c r="C115" s="7" t="s">
        <v>649</v>
      </c>
      <c r="D115" s="7" t="s">
        <v>650</v>
      </c>
      <c r="E115" s="7" t="s">
        <v>49</v>
      </c>
      <c r="F115" s="7" t="s">
        <v>651</v>
      </c>
      <c r="G115" s="7" t="s">
        <v>41</v>
      </c>
      <c r="H115" s="7" t="s">
        <v>30</v>
      </c>
      <c r="I115" s="7" t="s">
        <v>49</v>
      </c>
      <c r="J115" s="7" t="s">
        <v>49</v>
      </c>
      <c r="K115" s="7" t="s">
        <v>652</v>
      </c>
      <c r="L115" s="7" t="s">
        <v>59</v>
      </c>
      <c r="M115" s="7" t="s">
        <v>53</v>
      </c>
    </row>
    <row r="116" customFormat="false" ht="15" hidden="false" customHeight="false" outlineLevel="0" collapsed="false">
      <c r="A116" s="6" t="s">
        <v>653</v>
      </c>
      <c r="B116" s="6" t="s">
        <v>648</v>
      </c>
      <c r="C116" s="6" t="s">
        <v>654</v>
      </c>
      <c r="D116" s="6" t="s">
        <v>655</v>
      </c>
      <c r="E116" s="6" t="s">
        <v>656</v>
      </c>
      <c r="F116" s="6" t="s">
        <v>470</v>
      </c>
      <c r="G116" s="6" t="s">
        <v>366</v>
      </c>
      <c r="H116" s="6" t="s">
        <v>407</v>
      </c>
      <c r="I116" s="6" t="s">
        <v>657</v>
      </c>
      <c r="J116" s="6" t="s">
        <v>658</v>
      </c>
      <c r="K116" s="6" t="s">
        <v>652</v>
      </c>
      <c r="L116" s="6" t="s">
        <v>59</v>
      </c>
      <c r="M116" s="6" t="s">
        <v>53</v>
      </c>
    </row>
    <row r="117" customFormat="false" ht="15" hidden="false" customHeight="false" outlineLevel="0" collapsed="false">
      <c r="A117" s="7" t="s">
        <v>659</v>
      </c>
      <c r="B117" s="7" t="s">
        <v>648</v>
      </c>
      <c r="C117" s="7" t="s">
        <v>660</v>
      </c>
      <c r="D117" s="7" t="s">
        <v>661</v>
      </c>
      <c r="E117" s="7" t="s">
        <v>648</v>
      </c>
      <c r="F117" s="7" t="s">
        <v>49</v>
      </c>
      <c r="G117" s="7" t="s">
        <v>366</v>
      </c>
      <c r="H117" s="7" t="s">
        <v>30</v>
      </c>
      <c r="I117" s="7" t="s">
        <v>367</v>
      </c>
      <c r="J117" s="7" t="s">
        <v>49</v>
      </c>
      <c r="K117" s="7" t="s">
        <v>652</v>
      </c>
      <c r="L117" s="7" t="s">
        <v>59</v>
      </c>
      <c r="M117" s="7" t="s">
        <v>53</v>
      </c>
    </row>
    <row r="118" customFormat="false" ht="15" hidden="false" customHeight="false" outlineLevel="0" collapsed="false">
      <c r="A118" s="6" t="s">
        <v>662</v>
      </c>
      <c r="B118" s="6" t="s">
        <v>648</v>
      </c>
      <c r="C118" s="6" t="s">
        <v>663</v>
      </c>
      <c r="D118" s="6" t="s">
        <v>664</v>
      </c>
      <c r="E118" s="6" t="s">
        <v>665</v>
      </c>
      <c r="F118" s="6" t="s">
        <v>666</v>
      </c>
      <c r="G118" s="6" t="s">
        <v>41</v>
      </c>
      <c r="H118" s="6" t="s">
        <v>30</v>
      </c>
      <c r="I118" s="6" t="s">
        <v>49</v>
      </c>
      <c r="J118" s="6" t="s">
        <v>49</v>
      </c>
      <c r="K118" s="6" t="s">
        <v>429</v>
      </c>
      <c r="L118" s="6" t="s">
        <v>59</v>
      </c>
      <c r="M118" s="6" t="s">
        <v>53</v>
      </c>
    </row>
    <row r="119" customFormat="false" ht="15" hidden="false" customHeight="false" outlineLevel="0" collapsed="false">
      <c r="A119" s="7" t="s">
        <v>667</v>
      </c>
      <c r="B119" s="7" t="s">
        <v>648</v>
      </c>
      <c r="C119" s="7" t="s">
        <v>668</v>
      </c>
      <c r="D119" s="7" t="s">
        <v>669</v>
      </c>
      <c r="E119" s="7" t="s">
        <v>670</v>
      </c>
      <c r="F119" s="7" t="s">
        <v>671</v>
      </c>
      <c r="G119" s="7" t="s">
        <v>41</v>
      </c>
      <c r="H119" s="7" t="s">
        <v>30</v>
      </c>
      <c r="I119" s="7" t="s">
        <v>672</v>
      </c>
      <c r="J119" s="7" t="s">
        <v>49</v>
      </c>
      <c r="K119" s="7" t="s">
        <v>673</v>
      </c>
      <c r="L119" s="7" t="s">
        <v>381</v>
      </c>
      <c r="M119" s="7" t="s">
        <v>53</v>
      </c>
    </row>
    <row r="120" customFormat="false" ht="15" hidden="false" customHeight="false" outlineLevel="0" collapsed="false">
      <c r="A120" s="6" t="s">
        <v>674</v>
      </c>
      <c r="B120" s="6" t="s">
        <v>648</v>
      </c>
      <c r="C120" s="6" t="s">
        <v>675</v>
      </c>
      <c r="D120" s="6" t="s">
        <v>676</v>
      </c>
      <c r="E120" s="6" t="s">
        <v>670</v>
      </c>
      <c r="F120" s="6" t="s">
        <v>49</v>
      </c>
      <c r="G120" s="6" t="s">
        <v>366</v>
      </c>
      <c r="H120" s="6" t="s">
        <v>407</v>
      </c>
      <c r="I120" s="6" t="s">
        <v>367</v>
      </c>
      <c r="J120" s="6" t="s">
        <v>677</v>
      </c>
      <c r="K120" s="6" t="s">
        <v>673</v>
      </c>
      <c r="L120" s="6" t="s">
        <v>381</v>
      </c>
      <c r="M120" s="6" t="s">
        <v>53</v>
      </c>
    </row>
    <row r="121" customFormat="false" ht="15" hidden="false" customHeight="false" outlineLevel="0" collapsed="false">
      <c r="A121" s="7" t="s">
        <v>678</v>
      </c>
      <c r="B121" s="7" t="s">
        <v>648</v>
      </c>
      <c r="C121" s="7" t="s">
        <v>679</v>
      </c>
      <c r="D121" s="7" t="s">
        <v>680</v>
      </c>
      <c r="E121" s="7" t="s">
        <v>670</v>
      </c>
      <c r="F121" s="7" t="s">
        <v>49</v>
      </c>
      <c r="G121" s="7" t="s">
        <v>681</v>
      </c>
      <c r="H121" s="7" t="s">
        <v>478</v>
      </c>
      <c r="I121" s="7" t="s">
        <v>49</v>
      </c>
      <c r="J121" s="7" t="s">
        <v>268</v>
      </c>
      <c r="K121" s="7" t="s">
        <v>682</v>
      </c>
      <c r="L121" s="7" t="s">
        <v>381</v>
      </c>
      <c r="M121" s="7" t="s">
        <v>53</v>
      </c>
    </row>
    <row r="122" customFormat="false" ht="15" hidden="false" customHeight="false" outlineLevel="0" collapsed="false">
      <c r="A122" s="6" t="s">
        <v>683</v>
      </c>
      <c r="B122" s="6" t="s">
        <v>648</v>
      </c>
      <c r="C122" s="6" t="s">
        <v>684</v>
      </c>
      <c r="D122" s="6" t="s">
        <v>685</v>
      </c>
      <c r="E122" s="6" t="s">
        <v>49</v>
      </c>
      <c r="F122" s="6" t="s">
        <v>671</v>
      </c>
      <c r="G122" s="6" t="s">
        <v>41</v>
      </c>
      <c r="H122" s="6" t="s">
        <v>30</v>
      </c>
      <c r="I122" s="6" t="s">
        <v>672</v>
      </c>
      <c r="J122" s="6" t="s">
        <v>49</v>
      </c>
      <c r="K122" s="6" t="s">
        <v>673</v>
      </c>
      <c r="L122" s="6" t="s">
        <v>381</v>
      </c>
      <c r="M122" s="6" t="s">
        <v>53</v>
      </c>
    </row>
    <row r="123" customFormat="false" ht="23.85" hidden="false" customHeight="false" outlineLevel="0" collapsed="false">
      <c r="A123" s="7" t="s">
        <v>686</v>
      </c>
      <c r="B123" s="7" t="s">
        <v>648</v>
      </c>
      <c r="C123" s="7" t="s">
        <v>687</v>
      </c>
      <c r="D123" s="7" t="s">
        <v>688</v>
      </c>
      <c r="E123" s="7" t="s">
        <v>689</v>
      </c>
      <c r="F123" s="7" t="s">
        <v>690</v>
      </c>
      <c r="G123" s="7" t="s">
        <v>41</v>
      </c>
      <c r="H123" s="7" t="s">
        <v>30</v>
      </c>
      <c r="I123" s="7" t="s">
        <v>49</v>
      </c>
      <c r="J123" s="7" t="s">
        <v>691</v>
      </c>
      <c r="K123" s="7" t="s">
        <v>429</v>
      </c>
      <c r="L123" s="7" t="s">
        <v>59</v>
      </c>
      <c r="M123" s="7" t="s">
        <v>53</v>
      </c>
    </row>
    <row r="124" customFormat="false" ht="15" hidden="false" customHeight="false" outlineLevel="0" collapsed="false">
      <c r="A124" s="6" t="s">
        <v>692</v>
      </c>
      <c r="B124" s="6" t="s">
        <v>693</v>
      </c>
      <c r="C124" s="6" t="s">
        <v>694</v>
      </c>
      <c r="D124" s="6" t="s">
        <v>695</v>
      </c>
      <c r="E124" s="6" t="s">
        <v>696</v>
      </c>
      <c r="F124" s="6" t="s">
        <v>697</v>
      </c>
      <c r="G124" s="6" t="s">
        <v>41</v>
      </c>
      <c r="H124" s="6" t="s">
        <v>30</v>
      </c>
      <c r="I124" s="6" t="s">
        <v>49</v>
      </c>
      <c r="J124" s="6" t="s">
        <v>49</v>
      </c>
      <c r="K124" s="6" t="s">
        <v>698</v>
      </c>
      <c r="L124" s="6" t="s">
        <v>381</v>
      </c>
      <c r="M124" s="6" t="s">
        <v>53</v>
      </c>
    </row>
    <row r="125" customFormat="false" ht="23.85" hidden="false" customHeight="false" outlineLevel="0" collapsed="false">
      <c r="A125" s="7" t="s">
        <v>699</v>
      </c>
      <c r="B125" s="7" t="s">
        <v>693</v>
      </c>
      <c r="C125" s="7" t="s">
        <v>700</v>
      </c>
      <c r="D125" s="7" t="s">
        <v>701</v>
      </c>
      <c r="E125" s="7" t="s">
        <v>702</v>
      </c>
      <c r="F125" s="7" t="s">
        <v>703</v>
      </c>
      <c r="G125" s="7" t="s">
        <v>41</v>
      </c>
      <c r="H125" s="7" t="s">
        <v>30</v>
      </c>
      <c r="I125" s="7" t="s">
        <v>49</v>
      </c>
      <c r="J125" s="7" t="s">
        <v>49</v>
      </c>
      <c r="K125" s="7" t="s">
        <v>698</v>
      </c>
      <c r="L125" s="7" t="s">
        <v>381</v>
      </c>
      <c r="M125" s="7" t="s">
        <v>53</v>
      </c>
    </row>
    <row r="126" customFormat="false" ht="15" hidden="false" customHeight="false" outlineLevel="0" collapsed="false">
      <c r="A126" s="6" t="s">
        <v>704</v>
      </c>
      <c r="B126" s="6" t="s">
        <v>693</v>
      </c>
      <c r="C126" s="6" t="s">
        <v>705</v>
      </c>
      <c r="D126" s="6" t="s">
        <v>706</v>
      </c>
      <c r="E126" s="6" t="s">
        <v>690</v>
      </c>
      <c r="F126" s="6" t="s">
        <v>703</v>
      </c>
      <c r="G126" s="6" t="s">
        <v>41</v>
      </c>
      <c r="H126" s="6" t="s">
        <v>30</v>
      </c>
      <c r="I126" s="6" t="s">
        <v>49</v>
      </c>
      <c r="J126" s="6" t="s">
        <v>49</v>
      </c>
      <c r="K126" s="6" t="s">
        <v>673</v>
      </c>
      <c r="L126" s="6" t="s">
        <v>381</v>
      </c>
      <c r="M126" s="6" t="s">
        <v>53</v>
      </c>
    </row>
    <row r="127" customFormat="false" ht="15" hidden="false" customHeight="false" outlineLevel="0" collapsed="false">
      <c r="A127" s="7" t="s">
        <v>707</v>
      </c>
      <c r="B127" s="7" t="s">
        <v>693</v>
      </c>
      <c r="C127" s="7" t="s">
        <v>708</v>
      </c>
      <c r="D127" s="7" t="s">
        <v>709</v>
      </c>
      <c r="E127" s="7" t="s">
        <v>710</v>
      </c>
      <c r="F127" s="7" t="s">
        <v>690</v>
      </c>
      <c r="G127" s="7" t="s">
        <v>366</v>
      </c>
      <c r="H127" s="7" t="s">
        <v>407</v>
      </c>
      <c r="I127" s="7" t="s">
        <v>367</v>
      </c>
      <c r="J127" s="7" t="s">
        <v>677</v>
      </c>
      <c r="K127" s="7" t="s">
        <v>673</v>
      </c>
      <c r="L127" s="7" t="s">
        <v>381</v>
      </c>
      <c r="M127" s="7" t="s">
        <v>53</v>
      </c>
    </row>
    <row r="128" customFormat="false" ht="15" hidden="false" customHeight="false" outlineLevel="0" collapsed="false">
      <c r="A128" s="6" t="s">
        <v>711</v>
      </c>
      <c r="B128" s="6" t="s">
        <v>693</v>
      </c>
      <c r="C128" s="6" t="s">
        <v>712</v>
      </c>
      <c r="D128" s="6" t="s">
        <v>713</v>
      </c>
      <c r="E128" s="6" t="s">
        <v>49</v>
      </c>
      <c r="F128" s="6" t="s">
        <v>373</v>
      </c>
      <c r="G128" s="6" t="s">
        <v>90</v>
      </c>
      <c r="H128" s="6" t="s">
        <v>30</v>
      </c>
      <c r="I128" s="6" t="s">
        <v>49</v>
      </c>
      <c r="J128" s="6" t="s">
        <v>49</v>
      </c>
      <c r="K128" s="6" t="s">
        <v>673</v>
      </c>
      <c r="L128" s="6" t="s">
        <v>381</v>
      </c>
      <c r="M128" s="6" t="s">
        <v>53</v>
      </c>
    </row>
    <row r="129" customFormat="false" ht="23.85" hidden="false" customHeight="false" outlineLevel="0" collapsed="false">
      <c r="A129" s="7" t="s">
        <v>714</v>
      </c>
      <c r="B129" s="7" t="s">
        <v>693</v>
      </c>
      <c r="C129" s="7" t="s">
        <v>715</v>
      </c>
      <c r="D129" s="7" t="s">
        <v>716</v>
      </c>
      <c r="E129" s="7" t="s">
        <v>717</v>
      </c>
      <c r="F129" s="7" t="s">
        <v>718</v>
      </c>
      <c r="G129" s="7" t="s">
        <v>41</v>
      </c>
      <c r="H129" s="7" t="s">
        <v>30</v>
      </c>
      <c r="I129" s="7" t="s">
        <v>49</v>
      </c>
      <c r="J129" s="7" t="s">
        <v>719</v>
      </c>
      <c r="K129" s="7" t="s">
        <v>673</v>
      </c>
      <c r="L129" s="7" t="s">
        <v>381</v>
      </c>
      <c r="M129" s="7" t="s">
        <v>53</v>
      </c>
    </row>
    <row r="130" customFormat="false" ht="23.85" hidden="false" customHeight="false" outlineLevel="0" collapsed="false">
      <c r="A130" s="6" t="s">
        <v>720</v>
      </c>
      <c r="B130" s="6" t="s">
        <v>721</v>
      </c>
      <c r="C130" s="6" t="s">
        <v>722</v>
      </c>
      <c r="D130" s="6" t="s">
        <v>723</v>
      </c>
      <c r="E130" s="6" t="s">
        <v>724</v>
      </c>
      <c r="F130" s="6" t="s">
        <v>725</v>
      </c>
      <c r="G130" s="6" t="s">
        <v>41</v>
      </c>
      <c r="H130" s="6" t="s">
        <v>30</v>
      </c>
      <c r="I130" s="6" t="s">
        <v>726</v>
      </c>
      <c r="J130" s="6" t="s">
        <v>49</v>
      </c>
      <c r="K130" s="6" t="s">
        <v>295</v>
      </c>
      <c r="L130" s="6" t="s">
        <v>296</v>
      </c>
      <c r="M130" s="6" t="s">
        <v>53</v>
      </c>
    </row>
    <row r="131" customFormat="false" ht="23.85" hidden="false" customHeight="false" outlineLevel="0" collapsed="false">
      <c r="A131" s="7" t="s">
        <v>727</v>
      </c>
      <c r="B131" s="7" t="s">
        <v>721</v>
      </c>
      <c r="C131" s="7" t="s">
        <v>728</v>
      </c>
      <c r="D131" s="7" t="s">
        <v>729</v>
      </c>
      <c r="E131" s="7" t="s">
        <v>730</v>
      </c>
      <c r="F131" s="7" t="s">
        <v>725</v>
      </c>
      <c r="G131" s="7" t="s">
        <v>41</v>
      </c>
      <c r="H131" s="7" t="s">
        <v>30</v>
      </c>
      <c r="I131" s="7" t="s">
        <v>49</v>
      </c>
      <c r="J131" s="7" t="s">
        <v>49</v>
      </c>
      <c r="K131" s="7" t="s">
        <v>295</v>
      </c>
      <c r="L131" s="7" t="s">
        <v>296</v>
      </c>
      <c r="M131" s="7" t="s">
        <v>53</v>
      </c>
    </row>
    <row r="132" customFormat="false" ht="23.85" hidden="false" customHeight="false" outlineLevel="0" collapsed="false">
      <c r="A132" s="6" t="s">
        <v>731</v>
      </c>
      <c r="B132" s="6" t="s">
        <v>721</v>
      </c>
      <c r="C132" s="6" t="s">
        <v>732</v>
      </c>
      <c r="D132" s="6" t="s">
        <v>733</v>
      </c>
      <c r="E132" s="6" t="s">
        <v>734</v>
      </c>
      <c r="F132" s="6" t="s">
        <v>735</v>
      </c>
      <c r="G132" s="6" t="s">
        <v>41</v>
      </c>
      <c r="H132" s="6" t="s">
        <v>30</v>
      </c>
      <c r="I132" s="6" t="s">
        <v>49</v>
      </c>
      <c r="J132" s="6" t="s">
        <v>49</v>
      </c>
      <c r="K132" s="6" t="s">
        <v>295</v>
      </c>
      <c r="L132" s="6" t="s">
        <v>296</v>
      </c>
      <c r="M132" s="6" t="s">
        <v>53</v>
      </c>
    </row>
    <row r="133" customFormat="false" ht="15" hidden="false" customHeight="false" outlineLevel="0" collapsed="false">
      <c r="A133" s="7" t="s">
        <v>736</v>
      </c>
      <c r="B133" s="7" t="s">
        <v>737</v>
      </c>
      <c r="C133" s="7" t="s">
        <v>738</v>
      </c>
      <c r="D133" s="7" t="s">
        <v>739</v>
      </c>
      <c r="E133" s="7" t="s">
        <v>740</v>
      </c>
      <c r="F133" s="7" t="s">
        <v>84</v>
      </c>
      <c r="G133" s="7" t="s">
        <v>366</v>
      </c>
      <c r="H133" s="7" t="s">
        <v>30</v>
      </c>
      <c r="I133" s="7" t="s">
        <v>367</v>
      </c>
      <c r="J133" s="7" t="s">
        <v>49</v>
      </c>
      <c r="K133" s="7" t="s">
        <v>741</v>
      </c>
      <c r="L133" s="7" t="s">
        <v>59</v>
      </c>
      <c r="M133" s="7" t="s">
        <v>53</v>
      </c>
    </row>
    <row r="134" customFormat="false" ht="15" hidden="false" customHeight="false" outlineLevel="0" collapsed="false">
      <c r="A134" s="6" t="s">
        <v>742</v>
      </c>
      <c r="B134" s="6" t="s">
        <v>737</v>
      </c>
      <c r="C134" s="6" t="s">
        <v>743</v>
      </c>
      <c r="D134" s="6" t="s">
        <v>744</v>
      </c>
      <c r="E134" s="6" t="s">
        <v>745</v>
      </c>
      <c r="F134" s="6" t="s">
        <v>49</v>
      </c>
      <c r="G134" s="6" t="s">
        <v>90</v>
      </c>
      <c r="H134" s="6" t="s">
        <v>30</v>
      </c>
      <c r="I134" s="6" t="s">
        <v>49</v>
      </c>
      <c r="J134" s="6" t="s">
        <v>49</v>
      </c>
      <c r="K134" s="6" t="s">
        <v>741</v>
      </c>
      <c r="L134" s="6" t="s">
        <v>59</v>
      </c>
      <c r="M134" s="6" t="s">
        <v>53</v>
      </c>
    </row>
    <row r="135" customFormat="false" ht="15" hidden="false" customHeight="false" outlineLevel="0" collapsed="false">
      <c r="A135" s="7" t="s">
        <v>746</v>
      </c>
      <c r="B135" s="7" t="s">
        <v>737</v>
      </c>
      <c r="C135" s="7" t="s">
        <v>747</v>
      </c>
      <c r="D135" s="7" t="s">
        <v>748</v>
      </c>
      <c r="E135" s="7" t="s">
        <v>749</v>
      </c>
      <c r="F135" s="7" t="s">
        <v>718</v>
      </c>
      <c r="G135" s="7" t="s">
        <v>90</v>
      </c>
      <c r="H135" s="7" t="s">
        <v>259</v>
      </c>
      <c r="I135" s="7" t="s">
        <v>49</v>
      </c>
      <c r="J135" s="7" t="s">
        <v>268</v>
      </c>
      <c r="K135" s="7" t="s">
        <v>741</v>
      </c>
      <c r="L135" s="7" t="s">
        <v>59</v>
      </c>
      <c r="M135" s="7" t="s">
        <v>53</v>
      </c>
    </row>
    <row r="136" customFormat="false" ht="23.85" hidden="false" customHeight="false" outlineLevel="0" collapsed="false">
      <c r="A136" s="6" t="s">
        <v>750</v>
      </c>
      <c r="B136" s="6" t="s">
        <v>751</v>
      </c>
      <c r="C136" s="6" t="s">
        <v>752</v>
      </c>
      <c r="D136" s="6" t="s">
        <v>753</v>
      </c>
      <c r="E136" s="6" t="s">
        <v>341</v>
      </c>
      <c r="F136" s="6" t="s">
        <v>754</v>
      </c>
      <c r="G136" s="6" t="s">
        <v>41</v>
      </c>
      <c r="H136" s="6" t="s">
        <v>30</v>
      </c>
      <c r="I136" s="6" t="s">
        <v>49</v>
      </c>
      <c r="J136" s="6" t="s">
        <v>49</v>
      </c>
      <c r="K136" s="6" t="s">
        <v>755</v>
      </c>
      <c r="L136" s="6" t="s">
        <v>182</v>
      </c>
      <c r="M136" s="6" t="s">
        <v>53</v>
      </c>
    </row>
    <row r="137" customFormat="false" ht="23.85" hidden="false" customHeight="false" outlineLevel="0" collapsed="false">
      <c r="A137" s="7" t="s">
        <v>756</v>
      </c>
      <c r="B137" s="7" t="s">
        <v>751</v>
      </c>
      <c r="C137" s="7" t="s">
        <v>757</v>
      </c>
      <c r="D137" s="7" t="s">
        <v>758</v>
      </c>
      <c r="E137" s="7" t="s">
        <v>759</v>
      </c>
      <c r="F137" s="7" t="s">
        <v>49</v>
      </c>
      <c r="G137" s="7" t="s">
        <v>90</v>
      </c>
      <c r="H137" s="7" t="s">
        <v>30</v>
      </c>
      <c r="I137" s="7" t="s">
        <v>760</v>
      </c>
      <c r="J137" s="7" t="s">
        <v>761</v>
      </c>
      <c r="K137" s="7" t="s">
        <v>755</v>
      </c>
      <c r="L137" s="7" t="s">
        <v>182</v>
      </c>
      <c r="M137" s="7" t="s">
        <v>53</v>
      </c>
    </row>
    <row r="138" customFormat="false" ht="23.85" hidden="false" customHeight="false" outlineLevel="0" collapsed="false">
      <c r="A138" s="6" t="s">
        <v>762</v>
      </c>
      <c r="B138" s="6" t="s">
        <v>751</v>
      </c>
      <c r="C138" s="6" t="s">
        <v>763</v>
      </c>
      <c r="D138" s="6" t="s">
        <v>764</v>
      </c>
      <c r="E138" s="6" t="s">
        <v>373</v>
      </c>
      <c r="F138" s="6" t="s">
        <v>157</v>
      </c>
      <c r="G138" s="6" t="s">
        <v>90</v>
      </c>
      <c r="H138" s="6" t="s">
        <v>30</v>
      </c>
      <c r="I138" s="6" t="s">
        <v>49</v>
      </c>
      <c r="J138" s="6" t="s">
        <v>765</v>
      </c>
      <c r="K138" s="6" t="s">
        <v>766</v>
      </c>
      <c r="L138" s="6" t="s">
        <v>182</v>
      </c>
      <c r="M138" s="6" t="s">
        <v>53</v>
      </c>
    </row>
    <row r="139" customFormat="false" ht="23.85" hidden="false" customHeight="false" outlineLevel="0" collapsed="false">
      <c r="A139" s="7" t="s">
        <v>767</v>
      </c>
      <c r="B139" s="7" t="s">
        <v>751</v>
      </c>
      <c r="C139" s="7" t="s">
        <v>768</v>
      </c>
      <c r="D139" s="7" t="s">
        <v>769</v>
      </c>
      <c r="E139" s="7" t="s">
        <v>770</v>
      </c>
      <c r="F139" s="7" t="s">
        <v>49</v>
      </c>
      <c r="G139" s="7" t="s">
        <v>771</v>
      </c>
      <c r="H139" s="7" t="s">
        <v>407</v>
      </c>
      <c r="I139" s="7" t="s">
        <v>49</v>
      </c>
      <c r="J139" s="7" t="s">
        <v>772</v>
      </c>
      <c r="K139" s="7" t="s">
        <v>766</v>
      </c>
      <c r="L139" s="7" t="s">
        <v>182</v>
      </c>
      <c r="M139" s="7" t="s">
        <v>53</v>
      </c>
    </row>
    <row r="140" customFormat="false" ht="23.85" hidden="false" customHeight="false" outlineLevel="0" collapsed="false">
      <c r="A140" s="6" t="s">
        <v>773</v>
      </c>
      <c r="B140" s="6" t="s">
        <v>751</v>
      </c>
      <c r="C140" s="6" t="s">
        <v>774</v>
      </c>
      <c r="D140" s="6" t="s">
        <v>775</v>
      </c>
      <c r="E140" s="6" t="s">
        <v>776</v>
      </c>
      <c r="F140" s="6" t="s">
        <v>84</v>
      </c>
      <c r="G140" s="6" t="s">
        <v>90</v>
      </c>
      <c r="H140" s="6" t="s">
        <v>30</v>
      </c>
      <c r="I140" s="6" t="s">
        <v>49</v>
      </c>
      <c r="J140" s="6" t="s">
        <v>49</v>
      </c>
      <c r="K140" s="6" t="s">
        <v>49</v>
      </c>
      <c r="L140" s="6" t="s">
        <v>34</v>
      </c>
      <c r="M140" s="6" t="s">
        <v>45</v>
      </c>
    </row>
    <row r="141" customFormat="false" ht="15" hidden="false" customHeight="false" outlineLevel="0" collapsed="false">
      <c r="A141" s="7" t="s">
        <v>777</v>
      </c>
      <c r="B141" s="7" t="s">
        <v>84</v>
      </c>
      <c r="C141" s="7" t="s">
        <v>778</v>
      </c>
      <c r="D141" s="7" t="s">
        <v>779</v>
      </c>
      <c r="E141" s="7" t="s">
        <v>49</v>
      </c>
      <c r="F141" s="7" t="s">
        <v>780</v>
      </c>
      <c r="G141" s="7" t="s">
        <v>41</v>
      </c>
      <c r="H141" s="7" t="s">
        <v>30</v>
      </c>
      <c r="I141" s="7" t="s">
        <v>49</v>
      </c>
      <c r="J141" s="7" t="s">
        <v>49</v>
      </c>
      <c r="K141" s="7" t="s">
        <v>781</v>
      </c>
      <c r="L141" s="7" t="s">
        <v>52</v>
      </c>
      <c r="M141" s="7" t="s">
        <v>53</v>
      </c>
    </row>
    <row r="142" customFormat="false" ht="15" hidden="false" customHeight="false" outlineLevel="0" collapsed="false">
      <c r="A142" s="6" t="s">
        <v>782</v>
      </c>
      <c r="B142" s="6" t="s">
        <v>84</v>
      </c>
      <c r="C142" s="6" t="s">
        <v>783</v>
      </c>
      <c r="D142" s="6" t="s">
        <v>784</v>
      </c>
      <c r="E142" s="6" t="s">
        <v>785</v>
      </c>
      <c r="F142" s="6" t="s">
        <v>157</v>
      </c>
      <c r="G142" s="6" t="s">
        <v>90</v>
      </c>
      <c r="H142" s="6" t="s">
        <v>30</v>
      </c>
      <c r="I142" s="6" t="s">
        <v>49</v>
      </c>
      <c r="J142" s="6" t="s">
        <v>49</v>
      </c>
      <c r="K142" s="6" t="s">
        <v>374</v>
      </c>
      <c r="L142" s="6" t="s">
        <v>182</v>
      </c>
      <c r="M142" s="6" t="s">
        <v>53</v>
      </c>
    </row>
    <row r="143" customFormat="false" ht="15" hidden="false" customHeight="false" outlineLevel="0" collapsed="false">
      <c r="A143" s="7" t="s">
        <v>786</v>
      </c>
      <c r="B143" s="7" t="s">
        <v>84</v>
      </c>
      <c r="C143" s="7" t="s">
        <v>787</v>
      </c>
      <c r="D143" s="7" t="s">
        <v>788</v>
      </c>
      <c r="E143" s="7" t="s">
        <v>49</v>
      </c>
      <c r="F143" s="7" t="s">
        <v>789</v>
      </c>
      <c r="G143" s="7" t="s">
        <v>41</v>
      </c>
      <c r="H143" s="7" t="s">
        <v>30</v>
      </c>
      <c r="I143" s="7" t="s">
        <v>49</v>
      </c>
      <c r="J143" s="7" t="s">
        <v>49</v>
      </c>
      <c r="K143" s="7" t="s">
        <v>374</v>
      </c>
      <c r="L143" s="7" t="s">
        <v>182</v>
      </c>
      <c r="M143" s="7" t="s">
        <v>53</v>
      </c>
    </row>
    <row r="144" customFormat="false" ht="15" hidden="false" customHeight="false" outlineLevel="0" collapsed="false">
      <c r="A144" s="6" t="s">
        <v>790</v>
      </c>
      <c r="B144" s="6" t="s">
        <v>84</v>
      </c>
      <c r="C144" s="6" t="s">
        <v>791</v>
      </c>
      <c r="D144" s="6" t="s">
        <v>792</v>
      </c>
      <c r="E144" s="6" t="s">
        <v>373</v>
      </c>
      <c r="F144" s="6" t="s">
        <v>323</v>
      </c>
      <c r="G144" s="6" t="s">
        <v>41</v>
      </c>
      <c r="H144" s="6" t="s">
        <v>30</v>
      </c>
      <c r="I144" s="6" t="s">
        <v>49</v>
      </c>
      <c r="J144" s="6" t="s">
        <v>49</v>
      </c>
      <c r="K144" s="6" t="s">
        <v>793</v>
      </c>
      <c r="L144" s="6" t="s">
        <v>59</v>
      </c>
      <c r="M144" s="6" t="s">
        <v>53</v>
      </c>
    </row>
    <row r="145" customFormat="false" ht="15" hidden="false" customHeight="false" outlineLevel="0" collapsed="false">
      <c r="A145" s="7" t="s">
        <v>794</v>
      </c>
      <c r="B145" s="7" t="s">
        <v>795</v>
      </c>
      <c r="C145" s="7" t="s">
        <v>796</v>
      </c>
      <c r="D145" s="7" t="s">
        <v>797</v>
      </c>
      <c r="E145" s="7" t="s">
        <v>798</v>
      </c>
      <c r="F145" s="7" t="s">
        <v>799</v>
      </c>
      <c r="G145" s="7" t="s">
        <v>41</v>
      </c>
      <c r="H145" s="7" t="s">
        <v>30</v>
      </c>
      <c r="I145" s="7" t="s">
        <v>49</v>
      </c>
      <c r="J145" s="7" t="s">
        <v>49</v>
      </c>
      <c r="K145" s="7" t="s">
        <v>800</v>
      </c>
      <c r="L145" s="7" t="s">
        <v>52</v>
      </c>
      <c r="M145" s="7" t="s">
        <v>53</v>
      </c>
    </row>
    <row r="146" customFormat="false" ht="15" hidden="false" customHeight="false" outlineLevel="0" collapsed="false">
      <c r="A146" s="6" t="s">
        <v>801</v>
      </c>
      <c r="B146" s="6" t="s">
        <v>795</v>
      </c>
      <c r="C146" s="6" t="s">
        <v>802</v>
      </c>
      <c r="D146" s="6" t="s">
        <v>803</v>
      </c>
      <c r="E146" s="6" t="s">
        <v>804</v>
      </c>
      <c r="F146" s="6" t="s">
        <v>805</v>
      </c>
      <c r="G146" s="6" t="s">
        <v>41</v>
      </c>
      <c r="H146" s="6" t="s">
        <v>259</v>
      </c>
      <c r="I146" s="6" t="s">
        <v>49</v>
      </c>
      <c r="J146" s="6" t="s">
        <v>806</v>
      </c>
      <c r="K146" s="6" t="s">
        <v>682</v>
      </c>
      <c r="L146" s="6" t="s">
        <v>52</v>
      </c>
      <c r="M146" s="6" t="s">
        <v>53</v>
      </c>
    </row>
    <row r="147" customFormat="false" ht="15" hidden="false" customHeight="false" outlineLevel="0" collapsed="false">
      <c r="A147" s="7" t="s">
        <v>807</v>
      </c>
      <c r="B147" s="7" t="s">
        <v>795</v>
      </c>
      <c r="C147" s="7" t="s">
        <v>808</v>
      </c>
      <c r="D147" s="7" t="s">
        <v>809</v>
      </c>
      <c r="E147" s="7" t="s">
        <v>49</v>
      </c>
      <c r="F147" s="7" t="s">
        <v>810</v>
      </c>
      <c r="G147" s="7" t="s">
        <v>41</v>
      </c>
      <c r="H147" s="7" t="s">
        <v>30</v>
      </c>
      <c r="I147" s="7" t="s">
        <v>49</v>
      </c>
      <c r="J147" s="7" t="s">
        <v>49</v>
      </c>
      <c r="K147" s="7" t="s">
        <v>781</v>
      </c>
      <c r="L147" s="7" t="s">
        <v>52</v>
      </c>
      <c r="M147" s="7" t="s">
        <v>53</v>
      </c>
    </row>
    <row r="148" customFormat="false" ht="15" hidden="false" customHeight="false" outlineLevel="0" collapsed="false">
      <c r="A148" s="6" t="s">
        <v>811</v>
      </c>
      <c r="B148" s="6" t="s">
        <v>795</v>
      </c>
      <c r="C148" s="6" t="s">
        <v>812</v>
      </c>
      <c r="D148" s="6" t="s">
        <v>813</v>
      </c>
      <c r="E148" s="6" t="s">
        <v>814</v>
      </c>
      <c r="F148" s="6" t="s">
        <v>49</v>
      </c>
      <c r="G148" s="6" t="s">
        <v>41</v>
      </c>
      <c r="H148" s="6" t="s">
        <v>30</v>
      </c>
      <c r="I148" s="6" t="s">
        <v>49</v>
      </c>
      <c r="J148" s="6" t="s">
        <v>49</v>
      </c>
      <c r="K148" s="6" t="s">
        <v>781</v>
      </c>
      <c r="L148" s="6" t="s">
        <v>52</v>
      </c>
      <c r="M148" s="6" t="s">
        <v>53</v>
      </c>
    </row>
    <row r="149" customFormat="false" ht="15" hidden="false" customHeight="false" outlineLevel="0" collapsed="false">
      <c r="A149" s="7" t="s">
        <v>815</v>
      </c>
      <c r="B149" s="7" t="s">
        <v>795</v>
      </c>
      <c r="C149" s="7" t="s">
        <v>816</v>
      </c>
      <c r="D149" s="7" t="s">
        <v>817</v>
      </c>
      <c r="E149" s="7" t="s">
        <v>49</v>
      </c>
      <c r="F149" s="7" t="s">
        <v>49</v>
      </c>
      <c r="G149" s="7" t="s">
        <v>41</v>
      </c>
      <c r="H149" s="7" t="s">
        <v>478</v>
      </c>
      <c r="I149" s="7" t="s">
        <v>49</v>
      </c>
      <c r="J149" s="7" t="s">
        <v>49</v>
      </c>
      <c r="K149" s="7" t="s">
        <v>781</v>
      </c>
      <c r="L149" s="7" t="s">
        <v>52</v>
      </c>
      <c r="M149" s="7" t="s">
        <v>53</v>
      </c>
    </row>
    <row r="150" customFormat="false" ht="15" hidden="false" customHeight="false" outlineLevel="0" collapsed="false">
      <c r="A150" s="6" t="s">
        <v>818</v>
      </c>
      <c r="B150" s="6" t="s">
        <v>795</v>
      </c>
      <c r="C150" s="6" t="s">
        <v>819</v>
      </c>
      <c r="D150" s="6" t="s">
        <v>820</v>
      </c>
      <c r="E150" s="6" t="s">
        <v>49</v>
      </c>
      <c r="F150" s="6" t="s">
        <v>718</v>
      </c>
      <c r="G150" s="6" t="s">
        <v>41</v>
      </c>
      <c r="H150" s="6" t="s">
        <v>259</v>
      </c>
      <c r="I150" s="6" t="s">
        <v>49</v>
      </c>
      <c r="J150" s="6" t="s">
        <v>268</v>
      </c>
      <c r="K150" s="6" t="s">
        <v>821</v>
      </c>
      <c r="L150" s="6" t="s">
        <v>59</v>
      </c>
      <c r="M150" s="6" t="s">
        <v>53</v>
      </c>
    </row>
    <row r="151" customFormat="false" ht="15" hidden="false" customHeight="false" outlineLevel="0" collapsed="false">
      <c r="A151" s="7" t="s">
        <v>822</v>
      </c>
      <c r="B151" s="7" t="s">
        <v>795</v>
      </c>
      <c r="C151" s="7" t="s">
        <v>823</v>
      </c>
      <c r="D151" s="7" t="s">
        <v>824</v>
      </c>
      <c r="E151" s="7" t="s">
        <v>825</v>
      </c>
      <c r="F151" s="7" t="s">
        <v>49</v>
      </c>
      <c r="G151" s="7" t="s">
        <v>90</v>
      </c>
      <c r="H151" s="7" t="s">
        <v>259</v>
      </c>
      <c r="I151" s="7" t="s">
        <v>49</v>
      </c>
      <c r="J151" s="7" t="s">
        <v>826</v>
      </c>
      <c r="K151" s="7" t="s">
        <v>827</v>
      </c>
      <c r="L151" s="7" t="s">
        <v>52</v>
      </c>
      <c r="M151" s="7" t="s">
        <v>53</v>
      </c>
    </row>
    <row r="152" customFormat="false" ht="15" hidden="false" customHeight="false" outlineLevel="0" collapsed="false">
      <c r="A152" s="6" t="s">
        <v>828</v>
      </c>
      <c r="B152" s="6" t="s">
        <v>829</v>
      </c>
      <c r="C152" s="6" t="s">
        <v>830</v>
      </c>
      <c r="D152" s="6" t="s">
        <v>831</v>
      </c>
      <c r="E152" s="6" t="s">
        <v>323</v>
      </c>
      <c r="F152" s="6" t="s">
        <v>832</v>
      </c>
      <c r="G152" s="6" t="s">
        <v>41</v>
      </c>
      <c r="H152" s="6" t="s">
        <v>30</v>
      </c>
      <c r="I152" s="6" t="s">
        <v>49</v>
      </c>
      <c r="J152" s="6" t="s">
        <v>49</v>
      </c>
      <c r="K152" s="6" t="s">
        <v>833</v>
      </c>
      <c r="L152" s="6" t="s">
        <v>52</v>
      </c>
      <c r="M152" s="6" t="s">
        <v>53</v>
      </c>
    </row>
    <row r="153" customFormat="false" ht="15" hidden="false" customHeight="false" outlineLevel="0" collapsed="false">
      <c r="A153" s="7" t="s">
        <v>834</v>
      </c>
      <c r="B153" s="7" t="s">
        <v>829</v>
      </c>
      <c r="C153" s="7" t="s">
        <v>835</v>
      </c>
      <c r="D153" s="7" t="s">
        <v>836</v>
      </c>
      <c r="E153" s="7" t="s">
        <v>832</v>
      </c>
      <c r="F153" s="7" t="s">
        <v>837</v>
      </c>
      <c r="G153" s="7" t="s">
        <v>41</v>
      </c>
      <c r="H153" s="7" t="s">
        <v>30</v>
      </c>
      <c r="I153" s="7" t="s">
        <v>49</v>
      </c>
      <c r="J153" s="7" t="s">
        <v>49</v>
      </c>
      <c r="K153" s="7" t="s">
        <v>838</v>
      </c>
      <c r="L153" s="7" t="s">
        <v>52</v>
      </c>
      <c r="M153" s="7" t="s">
        <v>53</v>
      </c>
    </row>
    <row r="154" customFormat="false" ht="15" hidden="false" customHeight="false" outlineLevel="0" collapsed="false">
      <c r="A154" s="6" t="s">
        <v>839</v>
      </c>
      <c r="B154" s="6" t="s">
        <v>829</v>
      </c>
      <c r="C154" s="6" t="s">
        <v>840</v>
      </c>
      <c r="D154" s="6" t="s">
        <v>841</v>
      </c>
      <c r="E154" s="6" t="s">
        <v>832</v>
      </c>
      <c r="F154" s="6" t="s">
        <v>842</v>
      </c>
      <c r="G154" s="6" t="s">
        <v>41</v>
      </c>
      <c r="H154" s="6" t="s">
        <v>30</v>
      </c>
      <c r="I154" s="6" t="s">
        <v>49</v>
      </c>
      <c r="J154" s="6" t="s">
        <v>49</v>
      </c>
      <c r="K154" s="6" t="s">
        <v>843</v>
      </c>
      <c r="L154" s="6" t="s">
        <v>52</v>
      </c>
      <c r="M154" s="6" t="s">
        <v>53</v>
      </c>
    </row>
    <row r="155" customFormat="false" ht="15" hidden="false" customHeight="false" outlineLevel="0" collapsed="false">
      <c r="A155" s="7" t="s">
        <v>844</v>
      </c>
      <c r="B155" s="7" t="s">
        <v>829</v>
      </c>
      <c r="C155" s="7" t="s">
        <v>845</v>
      </c>
      <c r="D155" s="7" t="s">
        <v>846</v>
      </c>
      <c r="E155" s="7" t="s">
        <v>847</v>
      </c>
      <c r="F155" s="7" t="s">
        <v>848</v>
      </c>
      <c r="G155" s="7" t="s">
        <v>41</v>
      </c>
      <c r="H155" s="7" t="s">
        <v>259</v>
      </c>
      <c r="I155" s="7" t="s">
        <v>49</v>
      </c>
      <c r="J155" s="7" t="s">
        <v>849</v>
      </c>
      <c r="K155" s="7" t="s">
        <v>850</v>
      </c>
      <c r="L155" s="7" t="s">
        <v>52</v>
      </c>
      <c r="M155" s="7" t="s">
        <v>53</v>
      </c>
    </row>
    <row r="156" customFormat="false" ht="15" hidden="false" customHeight="false" outlineLevel="0" collapsed="false">
      <c r="A156" s="6" t="s">
        <v>851</v>
      </c>
      <c r="B156" s="6" t="s">
        <v>829</v>
      </c>
      <c r="C156" s="6" t="s">
        <v>852</v>
      </c>
      <c r="D156" s="6" t="s">
        <v>853</v>
      </c>
      <c r="E156" s="6" t="s">
        <v>494</v>
      </c>
      <c r="F156" s="6" t="s">
        <v>323</v>
      </c>
      <c r="G156" s="6" t="s">
        <v>41</v>
      </c>
      <c r="H156" s="6" t="s">
        <v>30</v>
      </c>
      <c r="I156" s="6" t="s">
        <v>49</v>
      </c>
      <c r="J156" s="6" t="s">
        <v>49</v>
      </c>
      <c r="K156" s="6" t="s">
        <v>854</v>
      </c>
      <c r="L156" s="6" t="s">
        <v>52</v>
      </c>
      <c r="M156" s="6" t="s">
        <v>53</v>
      </c>
    </row>
    <row r="157" customFormat="false" ht="23.85" hidden="false" customHeight="false" outlineLevel="0" collapsed="false">
      <c r="A157" s="7" t="s">
        <v>855</v>
      </c>
      <c r="B157" s="7" t="s">
        <v>829</v>
      </c>
      <c r="C157" s="7" t="s">
        <v>856</v>
      </c>
      <c r="D157" s="7" t="s">
        <v>857</v>
      </c>
      <c r="E157" s="7" t="s">
        <v>832</v>
      </c>
      <c r="F157" s="7" t="s">
        <v>858</v>
      </c>
      <c r="G157" s="7" t="s">
        <v>41</v>
      </c>
      <c r="H157" s="7" t="s">
        <v>30</v>
      </c>
      <c r="I157" s="7" t="s">
        <v>49</v>
      </c>
      <c r="J157" s="7" t="s">
        <v>49</v>
      </c>
      <c r="K157" s="7" t="s">
        <v>859</v>
      </c>
      <c r="L157" s="7" t="s">
        <v>59</v>
      </c>
      <c r="M157" s="7" t="s">
        <v>53</v>
      </c>
    </row>
    <row r="158" customFormat="false" ht="15" hidden="false" customHeight="false" outlineLevel="0" collapsed="false">
      <c r="A158" s="6" t="s">
        <v>860</v>
      </c>
      <c r="B158" s="6" t="s">
        <v>829</v>
      </c>
      <c r="C158" s="6" t="s">
        <v>861</v>
      </c>
      <c r="D158" s="6" t="s">
        <v>862</v>
      </c>
      <c r="E158" s="6" t="s">
        <v>858</v>
      </c>
      <c r="F158" s="6" t="s">
        <v>323</v>
      </c>
      <c r="G158" s="6" t="s">
        <v>41</v>
      </c>
      <c r="H158" s="6" t="s">
        <v>30</v>
      </c>
      <c r="I158" s="6" t="s">
        <v>49</v>
      </c>
      <c r="J158" s="6" t="s">
        <v>49</v>
      </c>
      <c r="K158" s="6" t="s">
        <v>781</v>
      </c>
      <c r="L158" s="6" t="s">
        <v>52</v>
      </c>
      <c r="M158" s="6" t="s">
        <v>53</v>
      </c>
    </row>
    <row r="159" customFormat="false" ht="23.85" hidden="false" customHeight="false" outlineLevel="0" collapsed="false">
      <c r="A159" s="7" t="s">
        <v>863</v>
      </c>
      <c r="B159" s="7" t="s">
        <v>829</v>
      </c>
      <c r="C159" s="7" t="s">
        <v>864</v>
      </c>
      <c r="D159" s="7" t="s">
        <v>865</v>
      </c>
      <c r="E159" s="7" t="s">
        <v>814</v>
      </c>
      <c r="F159" s="7" t="s">
        <v>323</v>
      </c>
      <c r="G159" s="7" t="s">
        <v>41</v>
      </c>
      <c r="H159" s="7" t="s">
        <v>30</v>
      </c>
      <c r="I159" s="7" t="s">
        <v>49</v>
      </c>
      <c r="J159" s="7" t="s">
        <v>49</v>
      </c>
      <c r="K159" s="7" t="s">
        <v>866</v>
      </c>
      <c r="L159" s="7" t="s">
        <v>34</v>
      </c>
      <c r="M159" s="7" t="s">
        <v>73</v>
      </c>
    </row>
    <row r="160" customFormat="false" ht="23.85" hidden="false" customHeight="false" outlineLevel="0" collapsed="false">
      <c r="A160" s="6" t="s">
        <v>867</v>
      </c>
      <c r="B160" s="6" t="s">
        <v>868</v>
      </c>
      <c r="C160" s="6" t="s">
        <v>869</v>
      </c>
      <c r="D160" s="6" t="s">
        <v>870</v>
      </c>
      <c r="E160" s="6" t="s">
        <v>871</v>
      </c>
      <c r="F160" s="6" t="s">
        <v>872</v>
      </c>
      <c r="G160" s="6" t="s">
        <v>41</v>
      </c>
      <c r="H160" s="6" t="s">
        <v>30</v>
      </c>
      <c r="I160" s="6" t="s">
        <v>49</v>
      </c>
      <c r="J160" s="6" t="s">
        <v>873</v>
      </c>
      <c r="K160" s="6" t="s">
        <v>874</v>
      </c>
      <c r="L160" s="6" t="s">
        <v>52</v>
      </c>
      <c r="M160" s="6" t="s">
        <v>53</v>
      </c>
    </row>
    <row r="161" customFormat="false" ht="23.85" hidden="false" customHeight="false" outlineLevel="0" collapsed="false">
      <c r="A161" s="7" t="s">
        <v>875</v>
      </c>
      <c r="B161" s="7" t="s">
        <v>868</v>
      </c>
      <c r="C161" s="7" t="s">
        <v>876</v>
      </c>
      <c r="D161" s="7" t="s">
        <v>877</v>
      </c>
      <c r="E161" s="7" t="s">
        <v>872</v>
      </c>
      <c r="F161" s="7" t="s">
        <v>878</v>
      </c>
      <c r="G161" s="7" t="s">
        <v>41</v>
      </c>
      <c r="H161" s="7" t="s">
        <v>30</v>
      </c>
      <c r="I161" s="7" t="s">
        <v>49</v>
      </c>
      <c r="J161" s="7" t="s">
        <v>49</v>
      </c>
      <c r="K161" s="7" t="s">
        <v>879</v>
      </c>
      <c r="L161" s="7" t="s">
        <v>52</v>
      </c>
      <c r="M161" s="7" t="s">
        <v>53</v>
      </c>
    </row>
    <row r="162" customFormat="false" ht="23.85" hidden="false" customHeight="false" outlineLevel="0" collapsed="false">
      <c r="A162" s="6" t="s">
        <v>880</v>
      </c>
      <c r="B162" s="6" t="s">
        <v>868</v>
      </c>
      <c r="C162" s="6" t="s">
        <v>881</v>
      </c>
      <c r="D162" s="6" t="s">
        <v>882</v>
      </c>
      <c r="E162" s="6" t="s">
        <v>883</v>
      </c>
      <c r="F162" s="6" t="s">
        <v>884</v>
      </c>
      <c r="G162" s="6" t="s">
        <v>41</v>
      </c>
      <c r="H162" s="6" t="s">
        <v>30</v>
      </c>
      <c r="I162" s="6" t="s">
        <v>885</v>
      </c>
      <c r="J162" s="6" t="s">
        <v>886</v>
      </c>
      <c r="K162" s="6" t="s">
        <v>887</v>
      </c>
      <c r="L162" s="6" t="s">
        <v>52</v>
      </c>
      <c r="M162" s="6" t="s">
        <v>53</v>
      </c>
    </row>
    <row r="163" customFormat="false" ht="23.85" hidden="false" customHeight="false" outlineLevel="0" collapsed="false">
      <c r="A163" s="7" t="s">
        <v>888</v>
      </c>
      <c r="B163" s="7" t="s">
        <v>868</v>
      </c>
      <c r="C163" s="7" t="s">
        <v>889</v>
      </c>
      <c r="D163" s="7" t="s">
        <v>890</v>
      </c>
      <c r="E163" s="7" t="s">
        <v>878</v>
      </c>
      <c r="F163" s="7" t="s">
        <v>891</v>
      </c>
      <c r="G163" s="7" t="s">
        <v>41</v>
      </c>
      <c r="H163" s="7" t="s">
        <v>30</v>
      </c>
      <c r="I163" s="7" t="s">
        <v>49</v>
      </c>
      <c r="J163" s="7" t="s">
        <v>892</v>
      </c>
      <c r="K163" s="7" t="s">
        <v>893</v>
      </c>
      <c r="L163" s="7" t="s">
        <v>52</v>
      </c>
      <c r="M163" s="7" t="s">
        <v>53</v>
      </c>
    </row>
    <row r="164" customFormat="false" ht="15" hidden="false" customHeight="false" outlineLevel="0" collapsed="false">
      <c r="A164" s="6" t="s">
        <v>894</v>
      </c>
      <c r="B164" s="6" t="s">
        <v>868</v>
      </c>
      <c r="C164" s="6" t="s">
        <v>895</v>
      </c>
      <c r="D164" s="6" t="s">
        <v>896</v>
      </c>
      <c r="E164" s="6" t="s">
        <v>878</v>
      </c>
      <c r="F164" s="6" t="s">
        <v>897</v>
      </c>
      <c r="G164" s="6" t="s">
        <v>41</v>
      </c>
      <c r="H164" s="6" t="s">
        <v>407</v>
      </c>
      <c r="I164" s="6" t="s">
        <v>49</v>
      </c>
      <c r="J164" s="6" t="s">
        <v>898</v>
      </c>
      <c r="K164" s="6" t="s">
        <v>893</v>
      </c>
      <c r="L164" s="6" t="s">
        <v>52</v>
      </c>
      <c r="M164" s="6" t="s">
        <v>53</v>
      </c>
    </row>
    <row r="165" customFormat="false" ht="15" hidden="false" customHeight="false" outlineLevel="0" collapsed="false">
      <c r="A165" s="7" t="s">
        <v>899</v>
      </c>
      <c r="B165" s="7" t="s">
        <v>868</v>
      </c>
      <c r="C165" s="7" t="s">
        <v>900</v>
      </c>
      <c r="D165" s="7" t="s">
        <v>901</v>
      </c>
      <c r="E165" s="7" t="s">
        <v>24</v>
      </c>
      <c r="F165" s="7" t="s">
        <v>902</v>
      </c>
      <c r="G165" s="7" t="s">
        <v>41</v>
      </c>
      <c r="H165" s="7" t="s">
        <v>30</v>
      </c>
      <c r="I165" s="7" t="s">
        <v>49</v>
      </c>
      <c r="J165" s="7" t="s">
        <v>49</v>
      </c>
      <c r="K165" s="7" t="s">
        <v>903</v>
      </c>
      <c r="L165" s="7" t="s">
        <v>59</v>
      </c>
      <c r="M165" s="7" t="s">
        <v>53</v>
      </c>
    </row>
    <row r="166" customFormat="false" ht="23.85" hidden="false" customHeight="false" outlineLevel="0" collapsed="false">
      <c r="A166" s="6" t="s">
        <v>904</v>
      </c>
      <c r="B166" s="6" t="s">
        <v>868</v>
      </c>
      <c r="C166" s="6" t="s">
        <v>905</v>
      </c>
      <c r="D166" s="6" t="s">
        <v>906</v>
      </c>
      <c r="E166" s="6" t="s">
        <v>878</v>
      </c>
      <c r="F166" s="6" t="s">
        <v>907</v>
      </c>
      <c r="G166" s="6" t="s">
        <v>41</v>
      </c>
      <c r="H166" s="6" t="s">
        <v>30</v>
      </c>
      <c r="I166" s="6" t="s">
        <v>49</v>
      </c>
      <c r="J166" s="6" t="s">
        <v>49</v>
      </c>
      <c r="K166" s="6" t="s">
        <v>903</v>
      </c>
      <c r="L166" s="6" t="s">
        <v>59</v>
      </c>
      <c r="M166" s="6" t="s">
        <v>53</v>
      </c>
    </row>
    <row r="167" customFormat="false" ht="23.85" hidden="false" customHeight="false" outlineLevel="0" collapsed="false">
      <c r="A167" s="7" t="s">
        <v>908</v>
      </c>
      <c r="B167" s="7" t="s">
        <v>868</v>
      </c>
      <c r="C167" s="7" t="s">
        <v>909</v>
      </c>
      <c r="D167" s="7" t="s">
        <v>910</v>
      </c>
      <c r="E167" s="7" t="s">
        <v>911</v>
      </c>
      <c r="F167" s="7" t="s">
        <v>912</v>
      </c>
      <c r="G167" s="7" t="s">
        <v>41</v>
      </c>
      <c r="H167" s="7" t="s">
        <v>30</v>
      </c>
      <c r="I167" s="7" t="s">
        <v>913</v>
      </c>
      <c r="J167" s="7" t="s">
        <v>914</v>
      </c>
      <c r="K167" s="7" t="s">
        <v>394</v>
      </c>
      <c r="L167" s="7" t="s">
        <v>59</v>
      </c>
      <c r="M167" s="7" t="s">
        <v>53</v>
      </c>
    </row>
    <row r="168" customFormat="false" ht="23.85" hidden="false" customHeight="false" outlineLevel="0" collapsed="false">
      <c r="A168" s="6" t="s">
        <v>915</v>
      </c>
      <c r="B168" s="6" t="s">
        <v>916</v>
      </c>
      <c r="C168" s="6" t="s">
        <v>917</v>
      </c>
      <c r="D168" s="6" t="s">
        <v>918</v>
      </c>
      <c r="E168" s="6" t="s">
        <v>883</v>
      </c>
      <c r="F168" s="6" t="s">
        <v>919</v>
      </c>
      <c r="G168" s="6" t="s">
        <v>90</v>
      </c>
      <c r="H168" s="6" t="s">
        <v>407</v>
      </c>
      <c r="I168" s="6" t="s">
        <v>920</v>
      </c>
      <c r="J168" s="6" t="s">
        <v>921</v>
      </c>
      <c r="K168" s="6" t="s">
        <v>922</v>
      </c>
      <c r="L168" s="6" t="s">
        <v>59</v>
      </c>
      <c r="M168" s="6" t="s">
        <v>53</v>
      </c>
    </row>
    <row r="169" customFormat="false" ht="23.85" hidden="false" customHeight="false" outlineLevel="0" collapsed="false">
      <c r="A169" s="7" t="s">
        <v>923</v>
      </c>
      <c r="B169" s="7" t="s">
        <v>916</v>
      </c>
      <c r="C169" s="7" t="s">
        <v>924</v>
      </c>
      <c r="D169" s="7" t="s">
        <v>925</v>
      </c>
      <c r="E169" s="7" t="s">
        <v>926</v>
      </c>
      <c r="F169" s="7" t="s">
        <v>927</v>
      </c>
      <c r="G169" s="7" t="s">
        <v>90</v>
      </c>
      <c r="H169" s="7" t="s">
        <v>30</v>
      </c>
      <c r="I169" s="7" t="s">
        <v>49</v>
      </c>
      <c r="J169" s="7" t="s">
        <v>49</v>
      </c>
      <c r="K169" s="7" t="s">
        <v>922</v>
      </c>
      <c r="L169" s="7" t="s">
        <v>59</v>
      </c>
      <c r="M169" s="7" t="s">
        <v>53</v>
      </c>
    </row>
    <row r="170" customFormat="false" ht="23.85" hidden="false" customHeight="false" outlineLevel="0" collapsed="false">
      <c r="A170" s="6" t="s">
        <v>928</v>
      </c>
      <c r="B170" s="6" t="s">
        <v>916</v>
      </c>
      <c r="C170" s="6" t="s">
        <v>929</v>
      </c>
      <c r="D170" s="6" t="s">
        <v>930</v>
      </c>
      <c r="E170" s="6" t="s">
        <v>931</v>
      </c>
      <c r="F170" s="6" t="s">
        <v>932</v>
      </c>
      <c r="G170" s="6" t="s">
        <v>90</v>
      </c>
      <c r="H170" s="6" t="s">
        <v>30</v>
      </c>
      <c r="I170" s="6" t="s">
        <v>933</v>
      </c>
      <c r="J170" s="6" t="s">
        <v>934</v>
      </c>
      <c r="K170" s="6" t="s">
        <v>935</v>
      </c>
      <c r="L170" s="6" t="s">
        <v>59</v>
      </c>
      <c r="M170" s="6" t="s">
        <v>53</v>
      </c>
    </row>
    <row r="171" customFormat="false" ht="15" hidden="false" customHeight="false" outlineLevel="0" collapsed="false">
      <c r="A171" s="7" t="s">
        <v>936</v>
      </c>
      <c r="B171" s="7" t="s">
        <v>916</v>
      </c>
      <c r="C171" s="7" t="s">
        <v>937</v>
      </c>
      <c r="D171" s="7" t="s">
        <v>938</v>
      </c>
      <c r="E171" s="7" t="s">
        <v>931</v>
      </c>
      <c r="F171" s="7" t="s">
        <v>939</v>
      </c>
      <c r="G171" s="7" t="s">
        <v>41</v>
      </c>
      <c r="H171" s="7" t="s">
        <v>30</v>
      </c>
      <c r="I171" s="7" t="s">
        <v>49</v>
      </c>
      <c r="J171" s="7" t="s">
        <v>521</v>
      </c>
      <c r="K171" s="7" t="s">
        <v>940</v>
      </c>
      <c r="L171" s="7" t="s">
        <v>59</v>
      </c>
      <c r="M171" s="7" t="s">
        <v>53</v>
      </c>
    </row>
    <row r="172" customFormat="false" ht="23.85" hidden="false" customHeight="false" outlineLevel="0" collapsed="false">
      <c r="A172" s="6" t="s">
        <v>941</v>
      </c>
      <c r="B172" s="6" t="s">
        <v>916</v>
      </c>
      <c r="C172" s="6" t="s">
        <v>942</v>
      </c>
      <c r="D172" s="6" t="s">
        <v>943</v>
      </c>
      <c r="E172" s="6" t="s">
        <v>927</v>
      </c>
      <c r="F172" s="6" t="s">
        <v>944</v>
      </c>
      <c r="G172" s="6" t="s">
        <v>41</v>
      </c>
      <c r="H172" s="6" t="s">
        <v>30</v>
      </c>
      <c r="I172" s="6" t="s">
        <v>49</v>
      </c>
      <c r="J172" s="6" t="s">
        <v>945</v>
      </c>
      <c r="K172" s="6" t="s">
        <v>940</v>
      </c>
      <c r="L172" s="6" t="s">
        <v>59</v>
      </c>
      <c r="M172" s="6" t="s">
        <v>53</v>
      </c>
    </row>
    <row r="173" customFormat="false" ht="23.85" hidden="false" customHeight="false" outlineLevel="0" collapsed="false">
      <c r="A173" s="7" t="s">
        <v>946</v>
      </c>
      <c r="B173" s="7" t="s">
        <v>916</v>
      </c>
      <c r="C173" s="7" t="s">
        <v>947</v>
      </c>
      <c r="D173" s="7" t="s">
        <v>948</v>
      </c>
      <c r="E173" s="7" t="s">
        <v>927</v>
      </c>
      <c r="F173" s="7" t="s">
        <v>949</v>
      </c>
      <c r="G173" s="7" t="s">
        <v>41</v>
      </c>
      <c r="H173" s="7" t="s">
        <v>30</v>
      </c>
      <c r="I173" s="7" t="s">
        <v>49</v>
      </c>
      <c r="J173" s="7" t="s">
        <v>49</v>
      </c>
      <c r="K173" s="7" t="s">
        <v>940</v>
      </c>
      <c r="L173" s="7" t="s">
        <v>59</v>
      </c>
      <c r="M173" s="7" t="s">
        <v>53</v>
      </c>
    </row>
    <row r="174" customFormat="false" ht="23.85" hidden="false" customHeight="false" outlineLevel="0" collapsed="false">
      <c r="A174" s="6" t="s">
        <v>950</v>
      </c>
      <c r="B174" s="6" t="s">
        <v>916</v>
      </c>
      <c r="C174" s="6" t="s">
        <v>951</v>
      </c>
      <c r="D174" s="6" t="s">
        <v>952</v>
      </c>
      <c r="E174" s="6" t="s">
        <v>601</v>
      </c>
      <c r="F174" s="6" t="s">
        <v>953</v>
      </c>
      <c r="G174" s="6" t="s">
        <v>41</v>
      </c>
      <c r="H174" s="6" t="s">
        <v>30</v>
      </c>
      <c r="I174" s="6" t="s">
        <v>49</v>
      </c>
      <c r="J174" s="6" t="s">
        <v>49</v>
      </c>
      <c r="K174" s="6" t="s">
        <v>940</v>
      </c>
      <c r="L174" s="6" t="s">
        <v>59</v>
      </c>
      <c r="M174" s="6" t="s">
        <v>53</v>
      </c>
    </row>
    <row r="175" customFormat="false" ht="23.85" hidden="false" customHeight="false" outlineLevel="0" collapsed="false">
      <c r="A175" s="7" t="s">
        <v>954</v>
      </c>
      <c r="B175" s="7" t="s">
        <v>916</v>
      </c>
      <c r="C175" s="7" t="s">
        <v>955</v>
      </c>
      <c r="D175" s="7" t="s">
        <v>956</v>
      </c>
      <c r="E175" s="7" t="s">
        <v>799</v>
      </c>
      <c r="F175" s="7" t="s">
        <v>957</v>
      </c>
      <c r="G175" s="7" t="s">
        <v>41</v>
      </c>
      <c r="H175" s="7" t="s">
        <v>30</v>
      </c>
      <c r="I175" s="7" t="s">
        <v>49</v>
      </c>
      <c r="J175" s="7" t="s">
        <v>49</v>
      </c>
      <c r="K175" s="7" t="s">
        <v>922</v>
      </c>
      <c r="L175" s="7" t="s">
        <v>59</v>
      </c>
      <c r="M175" s="7" t="s">
        <v>53</v>
      </c>
    </row>
    <row r="176" customFormat="false" ht="23.85" hidden="false" customHeight="false" outlineLevel="0" collapsed="false">
      <c r="A176" s="6" t="s">
        <v>958</v>
      </c>
      <c r="B176" s="6" t="s">
        <v>916</v>
      </c>
      <c r="C176" s="6" t="s">
        <v>959</v>
      </c>
      <c r="D176" s="6" t="s">
        <v>960</v>
      </c>
      <c r="E176" s="6" t="s">
        <v>927</v>
      </c>
      <c r="F176" s="6" t="s">
        <v>961</v>
      </c>
      <c r="G176" s="6" t="s">
        <v>41</v>
      </c>
      <c r="H176" s="6" t="s">
        <v>30</v>
      </c>
      <c r="I176" s="6" t="s">
        <v>49</v>
      </c>
      <c r="J176" s="6" t="s">
        <v>49</v>
      </c>
      <c r="K176" s="6" t="s">
        <v>962</v>
      </c>
      <c r="L176" s="6" t="s">
        <v>59</v>
      </c>
      <c r="M176" s="6" t="s">
        <v>53</v>
      </c>
    </row>
    <row r="177" customFormat="false" ht="23.85" hidden="false" customHeight="false" outlineLevel="0" collapsed="false">
      <c r="A177" s="7" t="s">
        <v>963</v>
      </c>
      <c r="B177" s="7" t="s">
        <v>916</v>
      </c>
      <c r="C177" s="7" t="s">
        <v>964</v>
      </c>
      <c r="D177" s="7" t="s">
        <v>965</v>
      </c>
      <c r="E177" s="7" t="s">
        <v>448</v>
      </c>
      <c r="F177" s="7" t="s">
        <v>966</v>
      </c>
      <c r="G177" s="7" t="s">
        <v>41</v>
      </c>
      <c r="H177" s="7" t="s">
        <v>407</v>
      </c>
      <c r="I177" s="7" t="s">
        <v>49</v>
      </c>
      <c r="J177" s="7" t="s">
        <v>967</v>
      </c>
      <c r="K177" s="7" t="s">
        <v>922</v>
      </c>
      <c r="L177" s="7" t="s">
        <v>59</v>
      </c>
      <c r="M177" s="7" t="s">
        <v>53</v>
      </c>
    </row>
    <row r="178" customFormat="false" ht="23.85" hidden="false" customHeight="false" outlineLevel="0" collapsed="false">
      <c r="A178" s="6" t="s">
        <v>968</v>
      </c>
      <c r="B178" s="6" t="s">
        <v>916</v>
      </c>
      <c r="C178" s="6" t="s">
        <v>969</v>
      </c>
      <c r="D178" s="6" t="s">
        <v>970</v>
      </c>
      <c r="E178" s="6" t="s">
        <v>927</v>
      </c>
      <c r="F178" s="6" t="s">
        <v>509</v>
      </c>
      <c r="G178" s="6" t="s">
        <v>90</v>
      </c>
      <c r="H178" s="6" t="s">
        <v>30</v>
      </c>
      <c r="I178" s="6" t="s">
        <v>49</v>
      </c>
      <c r="J178" s="6" t="s">
        <v>49</v>
      </c>
      <c r="K178" s="6" t="s">
        <v>506</v>
      </c>
      <c r="L178" s="6" t="s">
        <v>59</v>
      </c>
      <c r="M178" s="6" t="s">
        <v>53</v>
      </c>
    </row>
    <row r="179" customFormat="false" ht="23.85" hidden="false" customHeight="false" outlineLevel="0" collapsed="false">
      <c r="A179" s="7" t="s">
        <v>971</v>
      </c>
      <c r="B179" s="7" t="s">
        <v>972</v>
      </c>
      <c r="C179" s="7" t="s">
        <v>973</v>
      </c>
      <c r="D179" s="7" t="s">
        <v>974</v>
      </c>
      <c r="E179" s="7" t="s">
        <v>975</v>
      </c>
      <c r="F179" s="7" t="s">
        <v>976</v>
      </c>
      <c r="G179" s="7" t="s">
        <v>41</v>
      </c>
      <c r="H179" s="7" t="s">
        <v>30</v>
      </c>
      <c r="I179" s="7" t="s">
        <v>49</v>
      </c>
      <c r="J179" s="7" t="s">
        <v>49</v>
      </c>
      <c r="K179" s="7" t="s">
        <v>977</v>
      </c>
      <c r="L179" s="7" t="s">
        <v>52</v>
      </c>
      <c r="M179" s="7" t="s">
        <v>53</v>
      </c>
    </row>
    <row r="180" customFormat="false" ht="23.85" hidden="false" customHeight="false" outlineLevel="0" collapsed="false">
      <c r="A180" s="6" t="s">
        <v>978</v>
      </c>
      <c r="B180" s="6" t="s">
        <v>972</v>
      </c>
      <c r="C180" s="6" t="s">
        <v>979</v>
      </c>
      <c r="D180" s="6" t="s">
        <v>980</v>
      </c>
      <c r="E180" s="6" t="s">
        <v>981</v>
      </c>
      <c r="F180" s="6" t="s">
        <v>982</v>
      </c>
      <c r="G180" s="6" t="s">
        <v>41</v>
      </c>
      <c r="H180" s="6" t="s">
        <v>30</v>
      </c>
      <c r="I180" s="6" t="s">
        <v>983</v>
      </c>
      <c r="J180" s="6" t="s">
        <v>49</v>
      </c>
      <c r="K180" s="6" t="s">
        <v>304</v>
      </c>
      <c r="L180" s="6" t="s">
        <v>52</v>
      </c>
      <c r="M180" s="6" t="s">
        <v>53</v>
      </c>
    </row>
    <row r="181" customFormat="false" ht="23.85" hidden="false" customHeight="false" outlineLevel="0" collapsed="false">
      <c r="A181" s="7" t="s">
        <v>984</v>
      </c>
      <c r="B181" s="7" t="s">
        <v>972</v>
      </c>
      <c r="C181" s="7" t="s">
        <v>985</v>
      </c>
      <c r="D181" s="7" t="s">
        <v>986</v>
      </c>
      <c r="E181" s="7" t="s">
        <v>932</v>
      </c>
      <c r="F181" s="7" t="s">
        <v>987</v>
      </c>
      <c r="G181" s="7" t="s">
        <v>41</v>
      </c>
      <c r="H181" s="7" t="s">
        <v>30</v>
      </c>
      <c r="I181" s="7" t="s">
        <v>933</v>
      </c>
      <c r="J181" s="7" t="s">
        <v>49</v>
      </c>
      <c r="K181" s="7" t="s">
        <v>929</v>
      </c>
      <c r="L181" s="7" t="s">
        <v>59</v>
      </c>
      <c r="M181" s="7" t="s">
        <v>53</v>
      </c>
    </row>
    <row r="182" customFormat="false" ht="23.85" hidden="false" customHeight="false" outlineLevel="0" collapsed="false">
      <c r="A182" s="6" t="s">
        <v>988</v>
      </c>
      <c r="B182" s="6" t="s">
        <v>972</v>
      </c>
      <c r="C182" s="6" t="s">
        <v>989</v>
      </c>
      <c r="D182" s="6" t="s">
        <v>990</v>
      </c>
      <c r="E182" s="6" t="s">
        <v>927</v>
      </c>
      <c r="F182" s="6" t="s">
        <v>991</v>
      </c>
      <c r="G182" s="6" t="s">
        <v>41</v>
      </c>
      <c r="H182" s="6" t="s">
        <v>30</v>
      </c>
      <c r="I182" s="6" t="s">
        <v>49</v>
      </c>
      <c r="J182" s="6" t="s">
        <v>49</v>
      </c>
      <c r="K182" s="6" t="s">
        <v>924</v>
      </c>
      <c r="L182" s="6" t="s">
        <v>59</v>
      </c>
      <c r="M182" s="6" t="s">
        <v>53</v>
      </c>
    </row>
    <row r="183" customFormat="false" ht="23.85" hidden="false" customHeight="false" outlineLevel="0" collapsed="false">
      <c r="A183" s="7" t="s">
        <v>992</v>
      </c>
      <c r="B183" s="7" t="s">
        <v>972</v>
      </c>
      <c r="C183" s="7" t="s">
        <v>993</v>
      </c>
      <c r="D183" s="7" t="s">
        <v>994</v>
      </c>
      <c r="E183" s="7" t="s">
        <v>644</v>
      </c>
      <c r="F183" s="7" t="s">
        <v>995</v>
      </c>
      <c r="G183" s="7" t="s">
        <v>41</v>
      </c>
      <c r="H183" s="7" t="s">
        <v>30</v>
      </c>
      <c r="I183" s="7" t="s">
        <v>49</v>
      </c>
      <c r="J183" s="7" t="s">
        <v>49</v>
      </c>
      <c r="K183" s="7" t="s">
        <v>940</v>
      </c>
      <c r="L183" s="7" t="s">
        <v>59</v>
      </c>
      <c r="M183" s="7" t="s">
        <v>53</v>
      </c>
    </row>
    <row r="184" customFormat="false" ht="23.85" hidden="false" customHeight="false" outlineLevel="0" collapsed="false">
      <c r="A184" s="6" t="s">
        <v>996</v>
      </c>
      <c r="B184" s="6" t="s">
        <v>972</v>
      </c>
      <c r="C184" s="6" t="s">
        <v>997</v>
      </c>
      <c r="D184" s="6" t="s">
        <v>998</v>
      </c>
      <c r="E184" s="6" t="s">
        <v>953</v>
      </c>
      <c r="F184" s="6" t="s">
        <v>995</v>
      </c>
      <c r="G184" s="6" t="s">
        <v>41</v>
      </c>
      <c r="H184" s="6" t="s">
        <v>30</v>
      </c>
      <c r="I184" s="6" t="s">
        <v>49</v>
      </c>
      <c r="J184" s="6" t="s">
        <v>49</v>
      </c>
      <c r="K184" s="6" t="s">
        <v>951</v>
      </c>
      <c r="L184" s="6" t="s">
        <v>59</v>
      </c>
      <c r="M184" s="6" t="s">
        <v>53</v>
      </c>
    </row>
    <row r="185" customFormat="false" ht="23.85" hidden="false" customHeight="false" outlineLevel="0" collapsed="false">
      <c r="A185" s="7" t="s">
        <v>999</v>
      </c>
      <c r="B185" s="7" t="s">
        <v>972</v>
      </c>
      <c r="C185" s="7" t="s">
        <v>1000</v>
      </c>
      <c r="D185" s="7" t="s">
        <v>1001</v>
      </c>
      <c r="E185" s="7" t="s">
        <v>1002</v>
      </c>
      <c r="F185" s="7" t="s">
        <v>982</v>
      </c>
      <c r="G185" s="7" t="s">
        <v>41</v>
      </c>
      <c r="H185" s="7" t="s">
        <v>30</v>
      </c>
      <c r="I185" s="7" t="s">
        <v>49</v>
      </c>
      <c r="J185" s="7" t="s">
        <v>49</v>
      </c>
      <c r="K185" s="7" t="s">
        <v>940</v>
      </c>
      <c r="L185" s="7" t="s">
        <v>59</v>
      </c>
      <c r="M185" s="7" t="s">
        <v>53</v>
      </c>
    </row>
    <row r="186" customFormat="false" ht="23.85" hidden="false" customHeight="false" outlineLevel="0" collapsed="false">
      <c r="A186" s="6" t="s">
        <v>1003</v>
      </c>
      <c r="B186" s="6" t="s">
        <v>972</v>
      </c>
      <c r="C186" s="6" t="s">
        <v>1004</v>
      </c>
      <c r="D186" s="6" t="s">
        <v>1005</v>
      </c>
      <c r="E186" s="6" t="s">
        <v>1006</v>
      </c>
      <c r="F186" s="6" t="s">
        <v>1007</v>
      </c>
      <c r="G186" s="6" t="s">
        <v>41</v>
      </c>
      <c r="H186" s="6" t="s">
        <v>30</v>
      </c>
      <c r="I186" s="6" t="s">
        <v>1008</v>
      </c>
      <c r="J186" s="6" t="s">
        <v>49</v>
      </c>
      <c r="K186" s="6" t="s">
        <v>1009</v>
      </c>
      <c r="L186" s="6" t="s">
        <v>59</v>
      </c>
      <c r="M186" s="6" t="s">
        <v>53</v>
      </c>
    </row>
    <row r="187" customFormat="false" ht="23.85" hidden="false" customHeight="false" outlineLevel="0" collapsed="false">
      <c r="A187" s="7" t="s">
        <v>1010</v>
      </c>
      <c r="B187" s="7" t="s">
        <v>972</v>
      </c>
      <c r="C187" s="7" t="s">
        <v>1011</v>
      </c>
      <c r="D187" s="7" t="s">
        <v>1012</v>
      </c>
      <c r="E187" s="7" t="s">
        <v>1013</v>
      </c>
      <c r="F187" s="7" t="s">
        <v>1014</v>
      </c>
      <c r="G187" s="7" t="s">
        <v>41</v>
      </c>
      <c r="H187" s="7" t="s">
        <v>30</v>
      </c>
      <c r="I187" s="7" t="s">
        <v>933</v>
      </c>
      <c r="J187" s="7" t="s">
        <v>49</v>
      </c>
      <c r="K187" s="7" t="s">
        <v>339</v>
      </c>
      <c r="L187" s="7" t="s">
        <v>59</v>
      </c>
      <c r="M187" s="7" t="s">
        <v>53</v>
      </c>
    </row>
    <row r="188" customFormat="false" ht="23.85" hidden="false" customHeight="false" outlineLevel="0" collapsed="false">
      <c r="A188" s="6" t="s">
        <v>1015</v>
      </c>
      <c r="B188" s="6" t="s">
        <v>972</v>
      </c>
      <c r="C188" s="6" t="s">
        <v>1016</v>
      </c>
      <c r="D188" s="6" t="s">
        <v>1017</v>
      </c>
      <c r="E188" s="6" t="s">
        <v>179</v>
      </c>
      <c r="F188" s="6" t="s">
        <v>1018</v>
      </c>
      <c r="G188" s="6" t="s">
        <v>41</v>
      </c>
      <c r="H188" s="6" t="s">
        <v>30</v>
      </c>
      <c r="I188" s="6" t="s">
        <v>49</v>
      </c>
      <c r="J188" s="6" t="s">
        <v>49</v>
      </c>
      <c r="K188" s="6" t="s">
        <v>398</v>
      </c>
      <c r="L188" s="6" t="s">
        <v>52</v>
      </c>
      <c r="M188" s="6" t="s">
        <v>73</v>
      </c>
    </row>
    <row r="189" customFormat="false" ht="23.85" hidden="false" customHeight="false" outlineLevel="0" collapsed="false">
      <c r="A189" s="7" t="s">
        <v>1019</v>
      </c>
      <c r="B189" s="7" t="s">
        <v>972</v>
      </c>
      <c r="C189" s="7" t="s">
        <v>1020</v>
      </c>
      <c r="D189" s="7" t="s">
        <v>1021</v>
      </c>
      <c r="E189" s="7" t="s">
        <v>509</v>
      </c>
      <c r="F189" s="7" t="s">
        <v>1022</v>
      </c>
      <c r="G189" s="7" t="s">
        <v>41</v>
      </c>
      <c r="H189" s="7" t="s">
        <v>30</v>
      </c>
      <c r="I189" s="7" t="s">
        <v>49</v>
      </c>
      <c r="J189" s="7" t="s">
        <v>49</v>
      </c>
      <c r="K189" s="7" t="s">
        <v>506</v>
      </c>
      <c r="L189" s="7" t="s">
        <v>59</v>
      </c>
      <c r="M189" s="7" t="s">
        <v>53</v>
      </c>
    </row>
    <row r="190" customFormat="false" ht="23.85" hidden="false" customHeight="false" outlineLevel="0" collapsed="false">
      <c r="A190" s="6" t="s">
        <v>1023</v>
      </c>
      <c r="B190" s="6" t="s">
        <v>972</v>
      </c>
      <c r="C190" s="6" t="s">
        <v>1024</v>
      </c>
      <c r="D190" s="6" t="s">
        <v>1025</v>
      </c>
      <c r="E190" s="6" t="s">
        <v>281</v>
      </c>
      <c r="F190" s="6" t="s">
        <v>982</v>
      </c>
      <c r="G190" s="6" t="s">
        <v>41</v>
      </c>
      <c r="H190" s="6" t="s">
        <v>30</v>
      </c>
      <c r="I190" s="6" t="s">
        <v>49</v>
      </c>
      <c r="J190" s="6" t="s">
        <v>1026</v>
      </c>
      <c r="K190" s="6" t="s">
        <v>1027</v>
      </c>
      <c r="L190" s="6" t="s">
        <v>381</v>
      </c>
      <c r="M190" s="6" t="s">
        <v>53</v>
      </c>
    </row>
    <row r="191" customFormat="false" ht="23.85" hidden="false" customHeight="false" outlineLevel="0" collapsed="false">
      <c r="A191" s="7" t="s">
        <v>1028</v>
      </c>
      <c r="B191" s="7" t="s">
        <v>972</v>
      </c>
      <c r="C191" s="7" t="s">
        <v>1029</v>
      </c>
      <c r="D191" s="7" t="s">
        <v>1030</v>
      </c>
      <c r="E191" s="7" t="s">
        <v>1031</v>
      </c>
      <c r="F191" s="7" t="s">
        <v>891</v>
      </c>
      <c r="G191" s="7" t="s">
        <v>41</v>
      </c>
      <c r="H191" s="7" t="s">
        <v>30</v>
      </c>
      <c r="I191" s="7" t="s">
        <v>49</v>
      </c>
      <c r="J191" s="7" t="s">
        <v>49</v>
      </c>
      <c r="K191" s="7" t="s">
        <v>49</v>
      </c>
      <c r="L191" s="7" t="s">
        <v>52</v>
      </c>
      <c r="M191" s="7" t="s">
        <v>53</v>
      </c>
    </row>
    <row r="192" customFormat="false" ht="23.85" hidden="false" customHeight="false" outlineLevel="0" collapsed="false">
      <c r="A192" s="6" t="s">
        <v>1032</v>
      </c>
      <c r="B192" s="6" t="s">
        <v>972</v>
      </c>
      <c r="C192" s="6" t="s">
        <v>1033</v>
      </c>
      <c r="D192" s="6" t="s">
        <v>1034</v>
      </c>
      <c r="E192" s="6" t="s">
        <v>1035</v>
      </c>
      <c r="F192" s="6" t="s">
        <v>353</v>
      </c>
      <c r="G192" s="6" t="s">
        <v>41</v>
      </c>
      <c r="H192" s="6" t="s">
        <v>407</v>
      </c>
      <c r="I192" s="6" t="s">
        <v>49</v>
      </c>
      <c r="J192" s="6" t="s">
        <v>1036</v>
      </c>
      <c r="K192" s="6" t="s">
        <v>924</v>
      </c>
      <c r="L192" s="6" t="s">
        <v>381</v>
      </c>
      <c r="M192" s="6" t="s">
        <v>53</v>
      </c>
    </row>
    <row r="193" customFormat="false" ht="23.85" hidden="false" customHeight="false" outlineLevel="0" collapsed="false">
      <c r="A193" s="7" t="s">
        <v>1037</v>
      </c>
      <c r="B193" s="7" t="s">
        <v>1038</v>
      </c>
      <c r="C193" s="7" t="s">
        <v>1039</v>
      </c>
      <c r="D193" s="7" t="s">
        <v>1040</v>
      </c>
      <c r="E193" s="7" t="s">
        <v>785</v>
      </c>
      <c r="F193" s="7" t="s">
        <v>1041</v>
      </c>
      <c r="G193" s="7" t="s">
        <v>90</v>
      </c>
      <c r="H193" s="7" t="s">
        <v>30</v>
      </c>
      <c r="I193" s="7" t="s">
        <v>1008</v>
      </c>
      <c r="J193" s="7" t="s">
        <v>1042</v>
      </c>
      <c r="K193" s="7" t="s">
        <v>783</v>
      </c>
      <c r="L193" s="7" t="s">
        <v>59</v>
      </c>
      <c r="M193" s="7" t="s">
        <v>53</v>
      </c>
    </row>
    <row r="194" customFormat="false" ht="23.85" hidden="false" customHeight="false" outlineLevel="0" collapsed="false">
      <c r="A194" s="6" t="s">
        <v>1043</v>
      </c>
      <c r="B194" s="6" t="s">
        <v>1038</v>
      </c>
      <c r="C194" s="6" t="s">
        <v>1044</v>
      </c>
      <c r="D194" s="6" t="s">
        <v>1045</v>
      </c>
      <c r="E194" s="6" t="s">
        <v>1046</v>
      </c>
      <c r="F194" s="6" t="s">
        <v>780</v>
      </c>
      <c r="G194" s="6" t="s">
        <v>41</v>
      </c>
      <c r="H194" s="6" t="s">
        <v>30</v>
      </c>
      <c r="I194" s="6" t="s">
        <v>49</v>
      </c>
      <c r="J194" s="6" t="s">
        <v>49</v>
      </c>
      <c r="K194" s="6" t="s">
        <v>49</v>
      </c>
      <c r="L194" s="6" t="s">
        <v>52</v>
      </c>
      <c r="M194" s="6" t="s">
        <v>53</v>
      </c>
    </row>
    <row r="195" customFormat="false" ht="23.85" hidden="false" customHeight="false" outlineLevel="0" collapsed="false">
      <c r="A195" s="7" t="s">
        <v>1047</v>
      </c>
      <c r="B195" s="7" t="s">
        <v>1038</v>
      </c>
      <c r="C195" s="7" t="s">
        <v>1048</v>
      </c>
      <c r="D195" s="7" t="s">
        <v>1049</v>
      </c>
      <c r="E195" s="7" t="s">
        <v>1031</v>
      </c>
      <c r="F195" s="7" t="s">
        <v>1050</v>
      </c>
      <c r="G195" s="7" t="s">
        <v>41</v>
      </c>
      <c r="H195" s="7" t="s">
        <v>30</v>
      </c>
      <c r="I195" s="7" t="s">
        <v>49</v>
      </c>
      <c r="J195" s="7" t="s">
        <v>49</v>
      </c>
      <c r="K195" s="7" t="s">
        <v>1051</v>
      </c>
      <c r="L195" s="7" t="s">
        <v>59</v>
      </c>
      <c r="M195" s="7" t="s">
        <v>53</v>
      </c>
    </row>
    <row r="196" customFormat="false" ht="23.85" hidden="false" customHeight="false" outlineLevel="0" collapsed="false">
      <c r="A196" s="6" t="s">
        <v>1052</v>
      </c>
      <c r="B196" s="6" t="s">
        <v>1038</v>
      </c>
      <c r="C196" s="6" t="s">
        <v>1053</v>
      </c>
      <c r="D196" s="6" t="s">
        <v>1054</v>
      </c>
      <c r="E196" s="6" t="s">
        <v>1055</v>
      </c>
      <c r="F196" s="6" t="s">
        <v>780</v>
      </c>
      <c r="G196" s="6" t="s">
        <v>41</v>
      </c>
      <c r="H196" s="6" t="s">
        <v>30</v>
      </c>
      <c r="I196" s="6" t="s">
        <v>1008</v>
      </c>
      <c r="J196" s="6" t="s">
        <v>49</v>
      </c>
      <c r="K196" s="6" t="s">
        <v>1056</v>
      </c>
      <c r="L196" s="6" t="s">
        <v>52</v>
      </c>
      <c r="M196" s="6" t="s">
        <v>53</v>
      </c>
    </row>
    <row r="197" customFormat="false" ht="23.85" hidden="false" customHeight="false" outlineLevel="0" collapsed="false">
      <c r="A197" s="7" t="s">
        <v>1057</v>
      </c>
      <c r="B197" s="7" t="s">
        <v>1038</v>
      </c>
      <c r="C197" s="7" t="s">
        <v>1058</v>
      </c>
      <c r="D197" s="7" t="s">
        <v>1059</v>
      </c>
      <c r="E197" s="7" t="s">
        <v>431</v>
      </c>
      <c r="F197" s="7" t="s">
        <v>780</v>
      </c>
      <c r="G197" s="7" t="s">
        <v>41</v>
      </c>
      <c r="H197" s="7" t="s">
        <v>30</v>
      </c>
      <c r="I197" s="7" t="s">
        <v>49</v>
      </c>
      <c r="J197" s="7" t="s">
        <v>49</v>
      </c>
      <c r="K197" s="7" t="s">
        <v>652</v>
      </c>
      <c r="L197" s="7" t="s">
        <v>59</v>
      </c>
      <c r="M197" s="7" t="s">
        <v>53</v>
      </c>
    </row>
    <row r="198" customFormat="false" ht="15" hidden="false" customHeight="false" outlineLevel="0" collapsed="false">
      <c r="A198" s="6" t="s">
        <v>1060</v>
      </c>
      <c r="B198" s="6" t="s">
        <v>1038</v>
      </c>
      <c r="C198" s="6" t="s">
        <v>1061</v>
      </c>
      <c r="D198" s="6" t="s">
        <v>1062</v>
      </c>
      <c r="E198" s="6" t="s">
        <v>1063</v>
      </c>
      <c r="F198" s="6" t="s">
        <v>1041</v>
      </c>
      <c r="G198" s="6" t="s">
        <v>41</v>
      </c>
      <c r="H198" s="6" t="s">
        <v>30</v>
      </c>
      <c r="I198" s="6" t="s">
        <v>49</v>
      </c>
      <c r="J198" s="6" t="s">
        <v>49</v>
      </c>
      <c r="K198" s="6" t="s">
        <v>903</v>
      </c>
      <c r="L198" s="6" t="s">
        <v>59</v>
      </c>
      <c r="M198" s="6" t="s">
        <v>53</v>
      </c>
    </row>
    <row r="199" customFormat="false" ht="23.85" hidden="false" customHeight="false" outlineLevel="0" collapsed="false">
      <c r="A199" s="7" t="s">
        <v>1064</v>
      </c>
      <c r="B199" s="7" t="s">
        <v>1038</v>
      </c>
      <c r="C199" s="7" t="s">
        <v>1065</v>
      </c>
      <c r="D199" s="7" t="s">
        <v>1066</v>
      </c>
      <c r="E199" s="7" t="s">
        <v>1067</v>
      </c>
      <c r="F199" s="7" t="s">
        <v>1068</v>
      </c>
      <c r="G199" s="7" t="s">
        <v>41</v>
      </c>
      <c r="H199" s="7" t="s">
        <v>30</v>
      </c>
      <c r="I199" s="7" t="s">
        <v>49</v>
      </c>
      <c r="J199" s="7" t="s">
        <v>49</v>
      </c>
      <c r="K199" s="7" t="s">
        <v>973</v>
      </c>
      <c r="L199" s="7" t="s">
        <v>59</v>
      </c>
      <c r="M199" s="7" t="s">
        <v>53</v>
      </c>
    </row>
    <row r="200" customFormat="false" ht="23.85" hidden="false" customHeight="false" outlineLevel="0" collapsed="false">
      <c r="A200" s="6" t="s">
        <v>1069</v>
      </c>
      <c r="B200" s="6" t="s">
        <v>1038</v>
      </c>
      <c r="C200" s="6" t="s">
        <v>1070</v>
      </c>
      <c r="D200" s="6" t="s">
        <v>1071</v>
      </c>
      <c r="E200" s="6" t="s">
        <v>1038</v>
      </c>
      <c r="F200" s="6" t="s">
        <v>891</v>
      </c>
      <c r="G200" s="6" t="s">
        <v>41</v>
      </c>
      <c r="H200" s="6" t="s">
        <v>30</v>
      </c>
      <c r="I200" s="6" t="s">
        <v>49</v>
      </c>
      <c r="J200" s="6" t="s">
        <v>49</v>
      </c>
      <c r="K200" s="6" t="s">
        <v>962</v>
      </c>
      <c r="L200" s="6" t="s">
        <v>52</v>
      </c>
      <c r="M200" s="6" t="s">
        <v>53</v>
      </c>
    </row>
    <row r="201" customFormat="false" ht="15" hidden="false" customHeight="false" outlineLevel="0" collapsed="false">
      <c r="A201" s="7" t="s">
        <v>1072</v>
      </c>
      <c r="B201" s="7" t="s">
        <v>1038</v>
      </c>
      <c r="C201" s="7" t="s">
        <v>1073</v>
      </c>
      <c r="D201" s="7" t="s">
        <v>1074</v>
      </c>
      <c r="E201" s="7" t="s">
        <v>1075</v>
      </c>
      <c r="F201" s="7" t="s">
        <v>1068</v>
      </c>
      <c r="G201" s="7" t="s">
        <v>41</v>
      </c>
      <c r="H201" s="7" t="s">
        <v>30</v>
      </c>
      <c r="I201" s="7" t="s">
        <v>49</v>
      </c>
      <c r="J201" s="7" t="s">
        <v>49</v>
      </c>
      <c r="K201" s="7" t="s">
        <v>49</v>
      </c>
      <c r="L201" s="7" t="s">
        <v>381</v>
      </c>
      <c r="M201" s="7" t="s">
        <v>53</v>
      </c>
    </row>
    <row r="202" customFormat="false" ht="15" hidden="false" customHeight="false" outlineLevel="0" collapsed="false">
      <c r="A202" s="6" t="s">
        <v>1076</v>
      </c>
      <c r="B202" s="6" t="s">
        <v>1038</v>
      </c>
      <c r="C202" s="6" t="s">
        <v>1077</v>
      </c>
      <c r="D202" s="6" t="s">
        <v>1078</v>
      </c>
      <c r="E202" s="6" t="s">
        <v>1079</v>
      </c>
      <c r="F202" s="6" t="s">
        <v>780</v>
      </c>
      <c r="G202" s="6" t="s">
        <v>41</v>
      </c>
      <c r="H202" s="6" t="s">
        <v>30</v>
      </c>
      <c r="I202" s="6" t="s">
        <v>49</v>
      </c>
      <c r="J202" s="6" t="s">
        <v>49</v>
      </c>
      <c r="K202" s="6" t="s">
        <v>586</v>
      </c>
      <c r="L202" s="6" t="s">
        <v>59</v>
      </c>
      <c r="M202" s="6" t="s">
        <v>53</v>
      </c>
    </row>
    <row r="203" customFormat="false" ht="15" hidden="false" customHeight="false" outlineLevel="0" collapsed="false">
      <c r="A203" s="7" t="s">
        <v>1080</v>
      </c>
      <c r="B203" s="7" t="s">
        <v>1038</v>
      </c>
      <c r="C203" s="7" t="s">
        <v>1081</v>
      </c>
      <c r="D203" s="7" t="s">
        <v>1082</v>
      </c>
      <c r="E203" s="7" t="s">
        <v>131</v>
      </c>
      <c r="F203" s="7" t="s">
        <v>1083</v>
      </c>
      <c r="G203" s="7" t="s">
        <v>41</v>
      </c>
      <c r="H203" s="7" t="s">
        <v>30</v>
      </c>
      <c r="I203" s="7" t="s">
        <v>49</v>
      </c>
      <c r="J203" s="7" t="s">
        <v>49</v>
      </c>
      <c r="K203" s="7" t="s">
        <v>49</v>
      </c>
      <c r="L203" s="7" t="s">
        <v>381</v>
      </c>
      <c r="M203" s="7" t="s">
        <v>53</v>
      </c>
    </row>
    <row r="204" customFormat="false" ht="15" hidden="false" customHeight="false" outlineLevel="0" collapsed="false">
      <c r="A204" s="6" t="s">
        <v>1084</v>
      </c>
      <c r="B204" s="6" t="s">
        <v>1038</v>
      </c>
      <c r="C204" s="6" t="s">
        <v>1085</v>
      </c>
      <c r="D204" s="6" t="s">
        <v>1086</v>
      </c>
      <c r="E204" s="6" t="s">
        <v>911</v>
      </c>
      <c r="F204" s="6" t="s">
        <v>1087</v>
      </c>
      <c r="G204" s="6" t="s">
        <v>41</v>
      </c>
      <c r="H204" s="6" t="s">
        <v>407</v>
      </c>
      <c r="I204" s="6" t="s">
        <v>49</v>
      </c>
      <c r="J204" s="6" t="s">
        <v>1088</v>
      </c>
      <c r="K204" s="6" t="s">
        <v>909</v>
      </c>
      <c r="L204" s="6" t="s">
        <v>381</v>
      </c>
      <c r="M204" s="6" t="s">
        <v>53</v>
      </c>
    </row>
    <row r="205" customFormat="false" ht="35.05" hidden="false" customHeight="false" outlineLevel="0" collapsed="false">
      <c r="A205" s="7" t="s">
        <v>1089</v>
      </c>
      <c r="B205" s="7" t="s">
        <v>1090</v>
      </c>
      <c r="C205" s="7" t="s">
        <v>1091</v>
      </c>
      <c r="D205" s="7" t="s">
        <v>1092</v>
      </c>
      <c r="E205" s="7" t="s">
        <v>1093</v>
      </c>
      <c r="F205" s="7" t="s">
        <v>1094</v>
      </c>
      <c r="G205" s="7" t="s">
        <v>41</v>
      </c>
      <c r="H205" s="7" t="s">
        <v>30</v>
      </c>
      <c r="I205" s="7" t="s">
        <v>49</v>
      </c>
      <c r="J205" s="7" t="s">
        <v>49</v>
      </c>
      <c r="K205" s="7" t="s">
        <v>1095</v>
      </c>
      <c r="L205" s="7" t="s">
        <v>52</v>
      </c>
      <c r="M205" s="7" t="s">
        <v>1096</v>
      </c>
    </row>
    <row r="206" customFormat="false" ht="23.85" hidden="false" customHeight="false" outlineLevel="0" collapsed="false">
      <c r="A206" s="6" t="s">
        <v>1097</v>
      </c>
      <c r="B206" s="6" t="s">
        <v>1090</v>
      </c>
      <c r="C206" s="6" t="s">
        <v>1098</v>
      </c>
      <c r="D206" s="6" t="s">
        <v>1099</v>
      </c>
      <c r="E206" s="6" t="s">
        <v>400</v>
      </c>
      <c r="F206" s="6" t="s">
        <v>1100</v>
      </c>
      <c r="G206" s="6" t="s">
        <v>41</v>
      </c>
      <c r="H206" s="6" t="s">
        <v>30</v>
      </c>
      <c r="I206" s="6" t="s">
        <v>49</v>
      </c>
      <c r="J206" s="6" t="s">
        <v>49</v>
      </c>
      <c r="K206" s="6" t="s">
        <v>398</v>
      </c>
      <c r="L206" s="6" t="s">
        <v>52</v>
      </c>
      <c r="M206" s="6" t="s">
        <v>53</v>
      </c>
    </row>
    <row r="207" customFormat="false" ht="23.85" hidden="false" customHeight="false" outlineLevel="0" collapsed="false">
      <c r="A207" s="7" t="s">
        <v>1101</v>
      </c>
      <c r="B207" s="7" t="s">
        <v>1090</v>
      </c>
      <c r="C207" s="7" t="s">
        <v>1102</v>
      </c>
      <c r="D207" s="7" t="s">
        <v>1103</v>
      </c>
      <c r="E207" s="7" t="s">
        <v>396</v>
      </c>
      <c r="F207" s="7" t="s">
        <v>1104</v>
      </c>
      <c r="G207" s="7" t="s">
        <v>41</v>
      </c>
      <c r="H207" s="7" t="s">
        <v>30</v>
      </c>
      <c r="I207" s="7" t="s">
        <v>49</v>
      </c>
      <c r="J207" s="7" t="s">
        <v>49</v>
      </c>
      <c r="K207" s="7" t="s">
        <v>1105</v>
      </c>
      <c r="L207" s="7" t="s">
        <v>52</v>
      </c>
      <c r="M207" s="7" t="s">
        <v>53</v>
      </c>
    </row>
    <row r="208" customFormat="false" ht="23.85" hidden="false" customHeight="false" outlineLevel="0" collapsed="false">
      <c r="A208" s="6" t="s">
        <v>1106</v>
      </c>
      <c r="B208" s="6" t="s">
        <v>1090</v>
      </c>
      <c r="C208" s="6" t="s">
        <v>1107</v>
      </c>
      <c r="D208" s="6" t="s">
        <v>1108</v>
      </c>
      <c r="E208" s="6" t="s">
        <v>24</v>
      </c>
      <c r="F208" s="6" t="s">
        <v>1109</v>
      </c>
      <c r="G208" s="6" t="s">
        <v>41</v>
      </c>
      <c r="H208" s="6" t="s">
        <v>30</v>
      </c>
      <c r="I208" s="6" t="s">
        <v>49</v>
      </c>
      <c r="J208" s="6" t="s">
        <v>49</v>
      </c>
      <c r="K208" s="6" t="s">
        <v>1110</v>
      </c>
      <c r="L208" s="6" t="s">
        <v>52</v>
      </c>
      <c r="M208" s="6" t="s">
        <v>53</v>
      </c>
    </row>
    <row r="209" customFormat="false" ht="23.85" hidden="false" customHeight="false" outlineLevel="0" collapsed="false">
      <c r="A209" s="7" t="s">
        <v>1111</v>
      </c>
      <c r="B209" s="7" t="s">
        <v>1090</v>
      </c>
      <c r="C209" s="7" t="s">
        <v>1112</v>
      </c>
      <c r="D209" s="7" t="s">
        <v>1113</v>
      </c>
      <c r="E209" s="7" t="s">
        <v>333</v>
      </c>
      <c r="F209" s="7" t="s">
        <v>1114</v>
      </c>
      <c r="G209" s="7" t="s">
        <v>41</v>
      </c>
      <c r="H209" s="7" t="s">
        <v>30</v>
      </c>
      <c r="I209" s="7" t="s">
        <v>49</v>
      </c>
      <c r="J209" s="7" t="s">
        <v>49</v>
      </c>
      <c r="K209" s="7" t="s">
        <v>216</v>
      </c>
      <c r="L209" s="7" t="s">
        <v>59</v>
      </c>
      <c r="M209" s="7" t="s">
        <v>53</v>
      </c>
    </row>
    <row r="210" customFormat="false" ht="23.85" hidden="false" customHeight="false" outlineLevel="0" collapsed="false">
      <c r="A210" s="6" t="s">
        <v>1115</v>
      </c>
      <c r="B210" s="6" t="s">
        <v>1090</v>
      </c>
      <c r="C210" s="6" t="s">
        <v>1116</v>
      </c>
      <c r="D210" s="6" t="s">
        <v>1117</v>
      </c>
      <c r="E210" s="6" t="s">
        <v>911</v>
      </c>
      <c r="F210" s="6" t="s">
        <v>1118</v>
      </c>
      <c r="G210" s="6" t="s">
        <v>41</v>
      </c>
      <c r="H210" s="6" t="s">
        <v>30</v>
      </c>
      <c r="I210" s="6" t="s">
        <v>49</v>
      </c>
      <c r="J210" s="6" t="s">
        <v>49</v>
      </c>
      <c r="K210" s="6" t="s">
        <v>1119</v>
      </c>
      <c r="L210" s="6" t="s">
        <v>59</v>
      </c>
      <c r="M210" s="6" t="s">
        <v>53</v>
      </c>
    </row>
    <row r="211" customFormat="false" ht="23.85" hidden="false" customHeight="false" outlineLevel="0" collapsed="false">
      <c r="A211" s="7" t="s">
        <v>1120</v>
      </c>
      <c r="B211" s="7" t="s">
        <v>1090</v>
      </c>
      <c r="C211" s="7" t="s">
        <v>1121</v>
      </c>
      <c r="D211" s="7" t="s">
        <v>1122</v>
      </c>
      <c r="E211" s="7" t="s">
        <v>1123</v>
      </c>
      <c r="F211" s="7" t="s">
        <v>1124</v>
      </c>
      <c r="G211" s="7" t="s">
        <v>41</v>
      </c>
      <c r="H211" s="7" t="s">
        <v>30</v>
      </c>
      <c r="I211" s="7" t="s">
        <v>1125</v>
      </c>
      <c r="J211" s="7" t="s">
        <v>49</v>
      </c>
      <c r="K211" s="7" t="s">
        <v>106</v>
      </c>
      <c r="L211" s="7" t="s">
        <v>52</v>
      </c>
      <c r="M211" s="7" t="s">
        <v>53</v>
      </c>
    </row>
    <row r="212" customFormat="false" ht="23.85" hidden="false" customHeight="false" outlineLevel="0" collapsed="false">
      <c r="A212" s="6" t="s">
        <v>1126</v>
      </c>
      <c r="B212" s="6" t="s">
        <v>1090</v>
      </c>
      <c r="C212" s="6" t="s">
        <v>1127</v>
      </c>
      <c r="D212" s="6" t="s">
        <v>1128</v>
      </c>
      <c r="E212" s="6" t="s">
        <v>1129</v>
      </c>
      <c r="F212" s="6" t="s">
        <v>1130</v>
      </c>
      <c r="G212" s="6" t="s">
        <v>41</v>
      </c>
      <c r="H212" s="6" t="s">
        <v>30</v>
      </c>
      <c r="I212" s="6" t="s">
        <v>49</v>
      </c>
      <c r="J212" s="6" t="s">
        <v>49</v>
      </c>
      <c r="K212" s="6" t="s">
        <v>106</v>
      </c>
      <c r="L212" s="6" t="s">
        <v>52</v>
      </c>
      <c r="M212" s="6" t="s">
        <v>53</v>
      </c>
    </row>
    <row r="213" customFormat="false" ht="23.85" hidden="false" customHeight="false" outlineLevel="0" collapsed="false">
      <c r="A213" s="7" t="s">
        <v>1131</v>
      </c>
      <c r="B213" s="7" t="s">
        <v>1090</v>
      </c>
      <c r="C213" s="7" t="s">
        <v>1132</v>
      </c>
      <c r="D213" s="7" t="s">
        <v>1133</v>
      </c>
      <c r="E213" s="7" t="s">
        <v>306</v>
      </c>
      <c r="F213" s="7" t="s">
        <v>1134</v>
      </c>
      <c r="G213" s="7" t="s">
        <v>90</v>
      </c>
      <c r="H213" s="7" t="s">
        <v>30</v>
      </c>
      <c r="I213" s="7" t="s">
        <v>49</v>
      </c>
      <c r="J213" s="7" t="s">
        <v>49</v>
      </c>
      <c r="K213" s="7" t="s">
        <v>1135</v>
      </c>
      <c r="L213" s="7" t="s">
        <v>52</v>
      </c>
      <c r="M213" s="7" t="s">
        <v>53</v>
      </c>
    </row>
    <row r="214" customFormat="false" ht="23.85" hidden="false" customHeight="false" outlineLevel="0" collapsed="false">
      <c r="A214" s="6" t="s">
        <v>1136</v>
      </c>
      <c r="B214" s="6" t="s">
        <v>1090</v>
      </c>
      <c r="C214" s="6" t="s">
        <v>1137</v>
      </c>
      <c r="D214" s="6" t="s">
        <v>1138</v>
      </c>
      <c r="E214" s="6" t="s">
        <v>1139</v>
      </c>
      <c r="F214" s="6" t="s">
        <v>1140</v>
      </c>
      <c r="G214" s="6" t="s">
        <v>41</v>
      </c>
      <c r="H214" s="6" t="s">
        <v>30</v>
      </c>
      <c r="I214" s="6" t="s">
        <v>49</v>
      </c>
      <c r="J214" s="6" t="s">
        <v>49</v>
      </c>
      <c r="K214" s="6" t="s">
        <v>389</v>
      </c>
      <c r="L214" s="6" t="s">
        <v>59</v>
      </c>
      <c r="M214" s="6" t="s">
        <v>53</v>
      </c>
    </row>
    <row r="215" customFormat="false" ht="23.85" hidden="false" customHeight="false" outlineLevel="0" collapsed="false">
      <c r="A215" s="7" t="s">
        <v>1141</v>
      </c>
      <c r="B215" s="7" t="s">
        <v>1090</v>
      </c>
      <c r="C215" s="7" t="s">
        <v>1142</v>
      </c>
      <c r="D215" s="7" t="s">
        <v>1143</v>
      </c>
      <c r="E215" s="7" t="s">
        <v>1144</v>
      </c>
      <c r="F215" s="7" t="s">
        <v>1145</v>
      </c>
      <c r="G215" s="7" t="s">
        <v>41</v>
      </c>
      <c r="H215" s="7" t="s">
        <v>30</v>
      </c>
      <c r="I215" s="7" t="s">
        <v>49</v>
      </c>
      <c r="J215" s="7" t="s">
        <v>49</v>
      </c>
      <c r="K215" s="7" t="s">
        <v>1056</v>
      </c>
      <c r="L215" s="7" t="s">
        <v>52</v>
      </c>
      <c r="M215" s="7" t="s">
        <v>53</v>
      </c>
    </row>
    <row r="216" customFormat="false" ht="23.85" hidden="false" customHeight="false" outlineLevel="0" collapsed="false">
      <c r="A216" s="6" t="s">
        <v>1146</v>
      </c>
      <c r="B216" s="6" t="s">
        <v>1090</v>
      </c>
      <c r="C216" s="6" t="s">
        <v>1147</v>
      </c>
      <c r="D216" s="6" t="s">
        <v>1148</v>
      </c>
      <c r="E216" s="6" t="s">
        <v>1079</v>
      </c>
      <c r="F216" s="6" t="s">
        <v>1149</v>
      </c>
      <c r="G216" s="6" t="s">
        <v>41</v>
      </c>
      <c r="H216" s="6" t="s">
        <v>30</v>
      </c>
      <c r="I216" s="6" t="s">
        <v>49</v>
      </c>
      <c r="J216" s="6" t="s">
        <v>49</v>
      </c>
      <c r="K216" s="6" t="s">
        <v>119</v>
      </c>
      <c r="L216" s="6" t="s">
        <v>59</v>
      </c>
      <c r="M216" s="6" t="s">
        <v>53</v>
      </c>
    </row>
    <row r="217" customFormat="false" ht="23.85" hidden="false" customHeight="false" outlineLevel="0" collapsed="false">
      <c r="A217" s="7" t="s">
        <v>1150</v>
      </c>
      <c r="B217" s="7" t="s">
        <v>1090</v>
      </c>
      <c r="C217" s="7" t="s">
        <v>1151</v>
      </c>
      <c r="D217" s="7" t="s">
        <v>1152</v>
      </c>
      <c r="E217" s="7" t="s">
        <v>1153</v>
      </c>
      <c r="F217" s="7" t="s">
        <v>157</v>
      </c>
      <c r="G217" s="7" t="s">
        <v>41</v>
      </c>
      <c r="H217" s="7" t="s">
        <v>30</v>
      </c>
      <c r="I217" s="7" t="s">
        <v>49</v>
      </c>
      <c r="J217" s="7" t="s">
        <v>49</v>
      </c>
      <c r="K217" s="7" t="s">
        <v>1016</v>
      </c>
      <c r="L217" s="7" t="s">
        <v>52</v>
      </c>
      <c r="M217" s="7" t="s">
        <v>53</v>
      </c>
    </row>
    <row r="218" customFormat="false" ht="23.85" hidden="false" customHeight="false" outlineLevel="0" collapsed="false">
      <c r="A218" s="6" t="s">
        <v>1154</v>
      </c>
      <c r="B218" s="6" t="s">
        <v>1155</v>
      </c>
      <c r="C218" s="6" t="s">
        <v>1156</v>
      </c>
      <c r="D218" s="6" t="s">
        <v>1157</v>
      </c>
      <c r="E218" s="6" t="s">
        <v>49</v>
      </c>
      <c r="F218" s="6" t="s">
        <v>1158</v>
      </c>
      <c r="G218" s="6" t="s">
        <v>41</v>
      </c>
      <c r="H218" s="6" t="s">
        <v>30</v>
      </c>
      <c r="I218" s="6" t="s">
        <v>49</v>
      </c>
      <c r="J218" s="6" t="s">
        <v>49</v>
      </c>
      <c r="K218" s="6" t="s">
        <v>652</v>
      </c>
      <c r="L218" s="6" t="s">
        <v>59</v>
      </c>
      <c r="M218" s="6" t="s">
        <v>53</v>
      </c>
    </row>
    <row r="219" customFormat="false" ht="23.85" hidden="false" customHeight="false" outlineLevel="0" collapsed="false">
      <c r="A219" s="7" t="s">
        <v>1159</v>
      </c>
      <c r="B219" s="7" t="s">
        <v>1155</v>
      </c>
      <c r="C219" s="7" t="s">
        <v>1160</v>
      </c>
      <c r="D219" s="7" t="s">
        <v>1161</v>
      </c>
      <c r="E219" s="7" t="s">
        <v>49</v>
      </c>
      <c r="F219" s="7" t="s">
        <v>1162</v>
      </c>
      <c r="G219" s="7" t="s">
        <v>41</v>
      </c>
      <c r="H219" s="7" t="s">
        <v>30</v>
      </c>
      <c r="I219" s="7" t="s">
        <v>49</v>
      </c>
      <c r="J219" s="7" t="s">
        <v>49</v>
      </c>
      <c r="K219" s="7" t="s">
        <v>652</v>
      </c>
      <c r="L219" s="7" t="s">
        <v>59</v>
      </c>
      <c r="M219" s="7" t="s">
        <v>53</v>
      </c>
    </row>
    <row r="220" customFormat="false" ht="23.85" hidden="false" customHeight="false" outlineLevel="0" collapsed="false">
      <c r="A220" s="6" t="s">
        <v>1163</v>
      </c>
      <c r="B220" s="6" t="s">
        <v>1155</v>
      </c>
      <c r="C220" s="6" t="s">
        <v>1164</v>
      </c>
      <c r="D220" s="6" t="s">
        <v>1165</v>
      </c>
      <c r="E220" s="6" t="s">
        <v>1166</v>
      </c>
      <c r="F220" s="6" t="s">
        <v>1167</v>
      </c>
      <c r="G220" s="6" t="s">
        <v>41</v>
      </c>
      <c r="H220" s="6" t="s">
        <v>30</v>
      </c>
      <c r="I220" s="6" t="s">
        <v>1168</v>
      </c>
      <c r="J220" s="6" t="s">
        <v>1169</v>
      </c>
      <c r="K220" s="6" t="s">
        <v>649</v>
      </c>
      <c r="L220" s="6" t="s">
        <v>59</v>
      </c>
      <c r="M220" s="6" t="s">
        <v>53</v>
      </c>
    </row>
    <row r="221" customFormat="false" ht="23.85" hidden="false" customHeight="false" outlineLevel="0" collapsed="false">
      <c r="A221" s="7" t="s">
        <v>1170</v>
      </c>
      <c r="B221" s="7" t="s">
        <v>1155</v>
      </c>
      <c r="C221" s="7" t="s">
        <v>1171</v>
      </c>
      <c r="D221" s="7" t="s">
        <v>1172</v>
      </c>
      <c r="E221" s="7" t="s">
        <v>690</v>
      </c>
      <c r="F221" s="7" t="s">
        <v>180</v>
      </c>
      <c r="G221" s="7" t="s">
        <v>41</v>
      </c>
      <c r="H221" s="7" t="s">
        <v>407</v>
      </c>
      <c r="I221" s="7" t="s">
        <v>49</v>
      </c>
      <c r="J221" s="7" t="s">
        <v>1173</v>
      </c>
      <c r="K221" s="7" t="s">
        <v>1174</v>
      </c>
      <c r="L221" s="7" t="s">
        <v>59</v>
      </c>
      <c r="M221" s="7" t="s">
        <v>53</v>
      </c>
    </row>
    <row r="222" customFormat="false" ht="23.85" hidden="false" customHeight="false" outlineLevel="0" collapsed="false">
      <c r="A222" s="6" t="s">
        <v>1175</v>
      </c>
      <c r="B222" s="6" t="s">
        <v>1155</v>
      </c>
      <c r="C222" s="6" t="s">
        <v>1176</v>
      </c>
      <c r="D222" s="6" t="s">
        <v>1177</v>
      </c>
      <c r="E222" s="6" t="s">
        <v>1178</v>
      </c>
      <c r="F222" s="6" t="s">
        <v>1179</v>
      </c>
      <c r="G222" s="6" t="s">
        <v>90</v>
      </c>
      <c r="H222" s="6" t="s">
        <v>30</v>
      </c>
      <c r="I222" s="6" t="s">
        <v>367</v>
      </c>
      <c r="J222" s="6" t="s">
        <v>1180</v>
      </c>
      <c r="K222" s="6" t="s">
        <v>429</v>
      </c>
      <c r="L222" s="6" t="s">
        <v>381</v>
      </c>
      <c r="M222" s="6" t="s">
        <v>53</v>
      </c>
    </row>
    <row r="223" customFormat="false" ht="23.85" hidden="false" customHeight="false" outlineLevel="0" collapsed="false">
      <c r="A223" s="7" t="s">
        <v>1181</v>
      </c>
      <c r="B223" s="7" t="s">
        <v>1155</v>
      </c>
      <c r="C223" s="7" t="s">
        <v>1182</v>
      </c>
      <c r="D223" s="7" t="s">
        <v>1183</v>
      </c>
      <c r="E223" s="7" t="s">
        <v>1184</v>
      </c>
      <c r="F223" s="7" t="s">
        <v>1185</v>
      </c>
      <c r="G223" s="7" t="s">
        <v>90</v>
      </c>
      <c r="H223" s="7" t="s">
        <v>30</v>
      </c>
      <c r="I223" s="7" t="s">
        <v>49</v>
      </c>
      <c r="J223" s="7" t="s">
        <v>1186</v>
      </c>
      <c r="K223" s="7" t="s">
        <v>663</v>
      </c>
      <c r="L223" s="7" t="s">
        <v>59</v>
      </c>
      <c r="M223" s="7" t="s">
        <v>53</v>
      </c>
    </row>
    <row r="224" customFormat="false" ht="23.85" hidden="false" customHeight="false" outlineLevel="0" collapsed="false">
      <c r="A224" s="6" t="s">
        <v>1187</v>
      </c>
      <c r="B224" s="6" t="s">
        <v>1155</v>
      </c>
      <c r="C224" s="6" t="s">
        <v>1188</v>
      </c>
      <c r="D224" s="6" t="s">
        <v>1189</v>
      </c>
      <c r="E224" s="6" t="s">
        <v>648</v>
      </c>
      <c r="F224" s="6" t="s">
        <v>1190</v>
      </c>
      <c r="G224" s="6" t="s">
        <v>90</v>
      </c>
      <c r="H224" s="6" t="s">
        <v>30</v>
      </c>
      <c r="I224" s="6" t="s">
        <v>367</v>
      </c>
      <c r="J224" s="6" t="s">
        <v>49</v>
      </c>
      <c r="K224" s="6" t="s">
        <v>1191</v>
      </c>
      <c r="L224" s="6" t="s">
        <v>381</v>
      </c>
      <c r="M224" s="6" t="s">
        <v>53</v>
      </c>
    </row>
    <row r="225" customFormat="false" ht="23.85" hidden="false" customHeight="false" outlineLevel="0" collapsed="false">
      <c r="A225" s="7" t="s">
        <v>1192</v>
      </c>
      <c r="B225" s="7" t="s">
        <v>1155</v>
      </c>
      <c r="C225" s="7" t="s">
        <v>1193</v>
      </c>
      <c r="D225" s="7" t="s">
        <v>1194</v>
      </c>
      <c r="E225" s="7" t="s">
        <v>648</v>
      </c>
      <c r="F225" s="7" t="s">
        <v>1195</v>
      </c>
      <c r="G225" s="7" t="s">
        <v>41</v>
      </c>
      <c r="H225" s="7" t="s">
        <v>30</v>
      </c>
      <c r="I225" s="7" t="s">
        <v>49</v>
      </c>
      <c r="J225" s="7" t="s">
        <v>1196</v>
      </c>
      <c r="K225" s="7" t="s">
        <v>652</v>
      </c>
      <c r="L225" s="7" t="s">
        <v>381</v>
      </c>
      <c r="M225" s="7" t="s">
        <v>53</v>
      </c>
    </row>
    <row r="226" customFormat="false" ht="23.85" hidden="false" customHeight="false" outlineLevel="0" collapsed="false">
      <c r="A226" s="6" t="s">
        <v>1197</v>
      </c>
      <c r="B226" s="6" t="s">
        <v>1155</v>
      </c>
      <c r="C226" s="6" t="s">
        <v>1198</v>
      </c>
      <c r="D226" s="6" t="s">
        <v>1199</v>
      </c>
      <c r="E226" s="6" t="s">
        <v>1200</v>
      </c>
      <c r="F226" s="6" t="s">
        <v>1201</v>
      </c>
      <c r="G226" s="6" t="s">
        <v>41</v>
      </c>
      <c r="H226" s="6" t="s">
        <v>30</v>
      </c>
      <c r="I226" s="6" t="s">
        <v>49</v>
      </c>
      <c r="J226" s="6" t="s">
        <v>49</v>
      </c>
      <c r="K226" s="6" t="s">
        <v>663</v>
      </c>
      <c r="L226" s="6" t="s">
        <v>59</v>
      </c>
      <c r="M226" s="6" t="s">
        <v>53</v>
      </c>
    </row>
    <row r="227" customFormat="false" ht="23.85" hidden="false" customHeight="false" outlineLevel="0" collapsed="false">
      <c r="A227" s="7" t="s">
        <v>1202</v>
      </c>
      <c r="B227" s="7" t="s">
        <v>1155</v>
      </c>
      <c r="C227" s="7" t="s">
        <v>1203</v>
      </c>
      <c r="D227" s="7" t="s">
        <v>1204</v>
      </c>
      <c r="E227" s="7" t="s">
        <v>1205</v>
      </c>
      <c r="F227" s="7" t="s">
        <v>1179</v>
      </c>
      <c r="G227" s="7" t="s">
        <v>41</v>
      </c>
      <c r="H227" s="7" t="s">
        <v>30</v>
      </c>
      <c r="I227" s="7" t="s">
        <v>49</v>
      </c>
      <c r="J227" s="7" t="s">
        <v>1206</v>
      </c>
      <c r="K227" s="7" t="s">
        <v>652</v>
      </c>
      <c r="L227" s="7" t="s">
        <v>381</v>
      </c>
      <c r="M227" s="7" t="s">
        <v>53</v>
      </c>
    </row>
    <row r="228" customFormat="false" ht="23.85" hidden="false" customHeight="false" outlineLevel="0" collapsed="false">
      <c r="A228" s="6" t="s">
        <v>1207</v>
      </c>
      <c r="B228" s="6" t="s">
        <v>1155</v>
      </c>
      <c r="C228" s="6" t="s">
        <v>1208</v>
      </c>
      <c r="D228" s="6" t="s">
        <v>1209</v>
      </c>
      <c r="E228" s="6" t="s">
        <v>49</v>
      </c>
      <c r="F228" s="6" t="s">
        <v>84</v>
      </c>
      <c r="G228" s="6" t="s">
        <v>41</v>
      </c>
      <c r="H228" s="6" t="s">
        <v>30</v>
      </c>
      <c r="I228" s="6" t="s">
        <v>49</v>
      </c>
      <c r="J228" s="6" t="s">
        <v>1210</v>
      </c>
      <c r="K228" s="6" t="s">
        <v>463</v>
      </c>
      <c r="L228" s="6" t="s">
        <v>59</v>
      </c>
      <c r="M228" s="6" t="s">
        <v>53</v>
      </c>
    </row>
    <row r="229" customFormat="false" ht="23.85" hidden="false" customHeight="false" outlineLevel="0" collapsed="false">
      <c r="A229" s="7" t="s">
        <v>1211</v>
      </c>
      <c r="B229" s="7" t="s">
        <v>1155</v>
      </c>
      <c r="C229" s="7" t="s">
        <v>1212</v>
      </c>
      <c r="D229" s="7" t="s">
        <v>1213</v>
      </c>
      <c r="E229" s="7" t="s">
        <v>1214</v>
      </c>
      <c r="F229" s="7" t="s">
        <v>1215</v>
      </c>
      <c r="G229" s="7" t="s">
        <v>90</v>
      </c>
      <c r="H229" s="7" t="s">
        <v>30</v>
      </c>
      <c r="I229" s="7" t="s">
        <v>1216</v>
      </c>
      <c r="J229" s="7" t="s">
        <v>1217</v>
      </c>
      <c r="K229" s="7" t="s">
        <v>649</v>
      </c>
      <c r="L229" s="7" t="s">
        <v>59</v>
      </c>
      <c r="M229" s="7" t="s">
        <v>53</v>
      </c>
    </row>
    <row r="230" customFormat="false" ht="35.05" hidden="false" customHeight="false" outlineLevel="0" collapsed="false">
      <c r="A230" s="6" t="s">
        <v>1218</v>
      </c>
      <c r="B230" s="6" t="s">
        <v>469</v>
      </c>
      <c r="C230" s="6" t="s">
        <v>1219</v>
      </c>
      <c r="D230" s="6" t="s">
        <v>1220</v>
      </c>
      <c r="E230" s="6" t="s">
        <v>1221</v>
      </c>
      <c r="F230" s="6" t="s">
        <v>1222</v>
      </c>
      <c r="G230" s="6" t="s">
        <v>41</v>
      </c>
      <c r="H230" s="6" t="s">
        <v>30</v>
      </c>
      <c r="I230" s="6" t="s">
        <v>1223</v>
      </c>
      <c r="J230" s="6" t="s">
        <v>49</v>
      </c>
      <c r="K230" s="6" t="s">
        <v>1224</v>
      </c>
      <c r="L230" s="6" t="s">
        <v>52</v>
      </c>
      <c r="M230" s="6" t="s">
        <v>53</v>
      </c>
    </row>
    <row r="231" customFormat="false" ht="23.85" hidden="false" customHeight="false" outlineLevel="0" collapsed="false">
      <c r="A231" s="7" t="s">
        <v>1225</v>
      </c>
      <c r="B231" s="7" t="s">
        <v>469</v>
      </c>
      <c r="C231" s="7" t="s">
        <v>1226</v>
      </c>
      <c r="D231" s="7" t="s">
        <v>1227</v>
      </c>
      <c r="E231" s="7" t="s">
        <v>1222</v>
      </c>
      <c r="F231" s="7" t="s">
        <v>1228</v>
      </c>
      <c r="G231" s="7" t="s">
        <v>41</v>
      </c>
      <c r="H231" s="7" t="s">
        <v>30</v>
      </c>
      <c r="I231" s="7" t="s">
        <v>49</v>
      </c>
      <c r="J231" s="7" t="s">
        <v>49</v>
      </c>
      <c r="K231" s="7" t="s">
        <v>1229</v>
      </c>
      <c r="L231" s="7" t="s">
        <v>52</v>
      </c>
      <c r="M231" s="7" t="s">
        <v>53</v>
      </c>
    </row>
    <row r="232" customFormat="false" ht="35.05" hidden="false" customHeight="false" outlineLevel="0" collapsed="false">
      <c r="A232" s="6" t="s">
        <v>1230</v>
      </c>
      <c r="B232" s="6" t="s">
        <v>469</v>
      </c>
      <c r="C232" s="6" t="s">
        <v>1231</v>
      </c>
      <c r="D232" s="6" t="s">
        <v>1232</v>
      </c>
      <c r="E232" s="6" t="s">
        <v>1222</v>
      </c>
      <c r="F232" s="6" t="s">
        <v>1233</v>
      </c>
      <c r="G232" s="6" t="s">
        <v>29</v>
      </c>
      <c r="H232" s="6" t="s">
        <v>30</v>
      </c>
      <c r="I232" s="6" t="s">
        <v>1234</v>
      </c>
      <c r="J232" s="6" t="s">
        <v>1235</v>
      </c>
      <c r="K232" s="6" t="s">
        <v>1236</v>
      </c>
      <c r="L232" s="6" t="s">
        <v>52</v>
      </c>
      <c r="M232" s="6" t="s">
        <v>53</v>
      </c>
    </row>
    <row r="233" customFormat="false" ht="35.05" hidden="false" customHeight="false" outlineLevel="0" collapsed="false">
      <c r="A233" s="7" t="s">
        <v>1237</v>
      </c>
      <c r="B233" s="7" t="s">
        <v>469</v>
      </c>
      <c r="C233" s="7" t="s">
        <v>1238</v>
      </c>
      <c r="D233" s="7" t="s">
        <v>1239</v>
      </c>
      <c r="E233" s="7" t="s">
        <v>1240</v>
      </c>
      <c r="F233" s="7" t="s">
        <v>470</v>
      </c>
      <c r="G233" s="7" t="s">
        <v>41</v>
      </c>
      <c r="H233" s="7" t="s">
        <v>30</v>
      </c>
      <c r="I233" s="7" t="s">
        <v>49</v>
      </c>
      <c r="J233" s="7" t="s">
        <v>49</v>
      </c>
      <c r="K233" s="7" t="s">
        <v>1241</v>
      </c>
      <c r="L233" s="7" t="s">
        <v>52</v>
      </c>
      <c r="M233" s="7" t="s">
        <v>53</v>
      </c>
    </row>
    <row r="234" customFormat="false" ht="35.05" hidden="false" customHeight="false" outlineLevel="0" collapsed="false">
      <c r="A234" s="6" t="s">
        <v>1242</v>
      </c>
      <c r="B234" s="6" t="s">
        <v>469</v>
      </c>
      <c r="C234" s="6" t="s">
        <v>1243</v>
      </c>
      <c r="D234" s="6" t="s">
        <v>1244</v>
      </c>
      <c r="E234" s="6" t="s">
        <v>1245</v>
      </c>
      <c r="F234" s="6" t="s">
        <v>1246</v>
      </c>
      <c r="G234" s="6" t="s">
        <v>29</v>
      </c>
      <c r="H234" s="6" t="s">
        <v>407</v>
      </c>
      <c r="I234" s="6" t="s">
        <v>1247</v>
      </c>
      <c r="J234" s="6" t="s">
        <v>1248</v>
      </c>
      <c r="K234" s="6" t="s">
        <v>1249</v>
      </c>
      <c r="L234" s="6" t="s">
        <v>52</v>
      </c>
      <c r="M234" s="6" t="s">
        <v>53</v>
      </c>
    </row>
    <row r="235" customFormat="false" ht="35.05" hidden="false" customHeight="false" outlineLevel="0" collapsed="false">
      <c r="A235" s="7" t="s">
        <v>1250</v>
      </c>
      <c r="B235" s="7" t="s">
        <v>469</v>
      </c>
      <c r="C235" s="7" t="s">
        <v>1251</v>
      </c>
      <c r="D235" s="7" t="s">
        <v>1252</v>
      </c>
      <c r="E235" s="7" t="s">
        <v>1253</v>
      </c>
      <c r="F235" s="7" t="s">
        <v>1254</v>
      </c>
      <c r="G235" s="7" t="s">
        <v>90</v>
      </c>
      <c r="H235" s="7" t="s">
        <v>30</v>
      </c>
      <c r="I235" s="7" t="s">
        <v>1255</v>
      </c>
      <c r="J235" s="7" t="s">
        <v>49</v>
      </c>
      <c r="K235" s="7" t="s">
        <v>1256</v>
      </c>
      <c r="L235" s="7" t="s">
        <v>52</v>
      </c>
      <c r="M235" s="7" t="s">
        <v>53</v>
      </c>
    </row>
    <row r="236" customFormat="false" ht="23.85" hidden="false" customHeight="false" outlineLevel="0" collapsed="false">
      <c r="A236" s="6" t="s">
        <v>1257</v>
      </c>
      <c r="B236" s="6" t="s">
        <v>469</v>
      </c>
      <c r="C236" s="6" t="s">
        <v>1258</v>
      </c>
      <c r="D236" s="6" t="s">
        <v>1259</v>
      </c>
      <c r="E236" s="6" t="s">
        <v>1260</v>
      </c>
      <c r="F236" s="6" t="s">
        <v>1261</v>
      </c>
      <c r="G236" s="6" t="s">
        <v>29</v>
      </c>
      <c r="H236" s="6" t="s">
        <v>30</v>
      </c>
      <c r="I236" s="6" t="s">
        <v>49</v>
      </c>
      <c r="J236" s="6" t="s">
        <v>49</v>
      </c>
      <c r="K236" s="6" t="s">
        <v>576</v>
      </c>
      <c r="L236" s="6" t="s">
        <v>52</v>
      </c>
      <c r="M236" s="6" t="s">
        <v>53</v>
      </c>
    </row>
    <row r="237" customFormat="false" ht="35.05" hidden="false" customHeight="false" outlineLevel="0" collapsed="false">
      <c r="A237" s="7" t="s">
        <v>1262</v>
      </c>
      <c r="B237" s="7" t="s">
        <v>469</v>
      </c>
      <c r="C237" s="7" t="s">
        <v>1263</v>
      </c>
      <c r="D237" s="7" t="s">
        <v>1264</v>
      </c>
      <c r="E237" s="7" t="s">
        <v>1253</v>
      </c>
      <c r="F237" s="7" t="s">
        <v>1265</v>
      </c>
      <c r="G237" s="7" t="s">
        <v>90</v>
      </c>
      <c r="H237" s="7" t="s">
        <v>259</v>
      </c>
      <c r="I237" s="7" t="s">
        <v>1266</v>
      </c>
      <c r="J237" s="7" t="s">
        <v>268</v>
      </c>
      <c r="K237" s="7" t="s">
        <v>763</v>
      </c>
      <c r="L237" s="7" t="s">
        <v>59</v>
      </c>
      <c r="M237" s="7" t="s">
        <v>53</v>
      </c>
    </row>
    <row r="238" customFormat="false" ht="35.05" hidden="false" customHeight="false" outlineLevel="0" collapsed="false">
      <c r="A238" s="6" t="s">
        <v>1267</v>
      </c>
      <c r="B238" s="6" t="s">
        <v>469</v>
      </c>
      <c r="C238" s="6" t="s">
        <v>1268</v>
      </c>
      <c r="D238" s="6" t="s">
        <v>1269</v>
      </c>
      <c r="E238" s="6" t="s">
        <v>1270</v>
      </c>
      <c r="F238" s="6" t="s">
        <v>1271</v>
      </c>
      <c r="G238" s="6" t="s">
        <v>90</v>
      </c>
      <c r="H238" s="6" t="s">
        <v>30</v>
      </c>
      <c r="I238" s="6" t="s">
        <v>49</v>
      </c>
      <c r="J238" s="6" t="s">
        <v>49</v>
      </c>
      <c r="K238" s="6" t="s">
        <v>856</v>
      </c>
      <c r="L238" s="6" t="s">
        <v>59</v>
      </c>
      <c r="M238" s="6" t="s">
        <v>53</v>
      </c>
    </row>
    <row r="239" customFormat="false" ht="23.85" hidden="false" customHeight="false" outlineLevel="0" collapsed="false">
      <c r="A239" s="7" t="s">
        <v>1272</v>
      </c>
      <c r="B239" s="7" t="s">
        <v>469</v>
      </c>
      <c r="C239" s="7" t="s">
        <v>1273</v>
      </c>
      <c r="D239" s="7" t="s">
        <v>1274</v>
      </c>
      <c r="E239" s="7" t="s">
        <v>1275</v>
      </c>
      <c r="F239" s="7" t="s">
        <v>49</v>
      </c>
      <c r="G239" s="7" t="s">
        <v>90</v>
      </c>
      <c r="H239" s="7" t="s">
        <v>30</v>
      </c>
      <c r="I239" s="7" t="s">
        <v>49</v>
      </c>
      <c r="J239" s="7" t="s">
        <v>49</v>
      </c>
      <c r="K239" s="7" t="s">
        <v>49</v>
      </c>
      <c r="L239" s="7" t="s">
        <v>59</v>
      </c>
      <c r="M239" s="7"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s>
  <sheetData>
    <row r="1" customFormat="false" ht="15" hidden="false" customHeight="false" outlineLevel="0" collapsed="false">
      <c r="A1" s="8" t="s">
        <v>1276</v>
      </c>
    </row>
    <row r="2" customFormat="false" ht="15" hidden="false" customHeight="false" outlineLevel="0" collapsed="false">
      <c r="A2" s="0" t="s">
        <v>1277</v>
      </c>
      <c r="B2" s="0" t="n">
        <f aca="false">COUNTA('1. Danh mục năng lực'!A2:A239)</f>
        <v>238</v>
      </c>
    </row>
    <row r="3" customFormat="false" ht="15" hidden="false" customHeight="false" outlineLevel="0" collapsed="false">
      <c r="A3" s="0" t="s">
        <v>1278</v>
      </c>
      <c r="B3" s="0" t="n">
        <f aca="false">COUNTIF('1. Danh mục năng lực'!M2:M239,"*có*")</f>
        <v>19</v>
      </c>
    </row>
    <row r="5" customFormat="false" ht="15" hidden="false" customHeight="false" outlineLevel="0" collapsed="false">
      <c r="A5" s="9" t="s">
        <v>1279</v>
      </c>
      <c r="B5" s="9" t="s">
        <v>1280</v>
      </c>
      <c r="C5" s="9" t="s">
        <v>1281</v>
      </c>
    </row>
    <row r="6" customFormat="false" ht="15" hidden="false" customHeight="false" outlineLevel="0" collapsed="false">
      <c r="A6" s="0" t="s">
        <v>30</v>
      </c>
      <c r="B6" s="0" t="n">
        <f aca="false">COUNTIF('1. Danh mục năng lực'!H2:H239,"T1")</f>
        <v>205</v>
      </c>
      <c r="C6" s="10" t="n">
        <f aca="false">B6/$B$2</f>
        <v>0.861344537815126</v>
      </c>
    </row>
    <row r="7" customFormat="false" ht="15" hidden="false" customHeight="false" outlineLevel="0" collapsed="false">
      <c r="A7" s="0" t="s">
        <v>407</v>
      </c>
      <c r="B7" s="0" t="n">
        <f aca="false">COUNTIF('1. Danh mục năng lực'!H2:H239,"T1~*")</f>
        <v>15</v>
      </c>
      <c r="C7" s="10" t="n">
        <f aca="false">B7/$B$2</f>
        <v>0.0630252100840336</v>
      </c>
    </row>
    <row r="8" customFormat="false" ht="15" hidden="false" customHeight="false" outlineLevel="0" collapsed="false">
      <c r="A8" s="0" t="s">
        <v>259</v>
      </c>
      <c r="B8" s="0" t="n">
        <f aca="false">COUNTIF('1. Danh mục năng lực'!H2:H239,"T2")</f>
        <v>15</v>
      </c>
      <c r="C8" s="10" t="n">
        <f aca="false">B8/$B$2</f>
        <v>0.0630252100840336</v>
      </c>
    </row>
    <row r="9" customFormat="false" ht="15" hidden="false" customHeight="false" outlineLevel="0" collapsed="false">
      <c r="A9" s="0" t="s">
        <v>478</v>
      </c>
      <c r="B9" s="0" t="n">
        <f aca="false">COUNTIF('1. Danh mục năng lực'!H2:H239,"T3")</f>
        <v>3</v>
      </c>
      <c r="C9" s="10" t="n">
        <f aca="false">B9/$B$2</f>
        <v>0.0126050420168067</v>
      </c>
    </row>
    <row r="11" customFormat="false" ht="15" hidden="false" customHeight="false" outlineLevel="0" collapsed="false">
      <c r="A11" s="9" t="s">
        <v>1282</v>
      </c>
      <c r="B11" s="9" t="s">
        <v>1280</v>
      </c>
    </row>
    <row r="12" customFormat="false" ht="15" hidden="false" customHeight="false" outlineLevel="0" collapsed="false">
      <c r="A12" s="0" t="s">
        <v>41</v>
      </c>
      <c r="B12" s="0" t="n">
        <f aca="false">COUNTIF('1. Danh mục năng lực'!G2:G239,"R0*")</f>
        <v>140</v>
      </c>
    </row>
    <row r="13" customFormat="false" ht="15" hidden="false" customHeight="false" outlineLevel="0" collapsed="false">
      <c r="A13" s="0" t="s">
        <v>90</v>
      </c>
      <c r="B13" s="0" t="n">
        <f aca="false">COUNTIF('1. Danh mục năng lực'!G2:G239,"R1*")</f>
        <v>70</v>
      </c>
    </row>
    <row r="14" customFormat="false" ht="15" hidden="false" customHeight="false" outlineLevel="0" collapsed="false">
      <c r="A14" s="0" t="s">
        <v>29</v>
      </c>
      <c r="B14" s="0" t="n">
        <f aca="false">COUNTIF('1. Danh mục năng lực'!G2:G239,"R2*")</f>
        <v>20</v>
      </c>
    </row>
    <row r="15" customFormat="false" ht="15" hidden="false" customHeight="false" outlineLevel="0" collapsed="false">
      <c r="A15" s="0" t="s">
        <v>366</v>
      </c>
      <c r="B15" s="0" t="n">
        <f aca="false">COUNTIF('1. Danh mục năng lực'!G2:G239,"R3*")</f>
        <v>6</v>
      </c>
    </row>
    <row r="16" customFormat="false" ht="15" hidden="false" customHeight="false" outlineLevel="0" collapsed="false">
      <c r="A16" s="0" t="s">
        <v>681</v>
      </c>
      <c r="B16" s="0" t="n">
        <f aca="false">COUNTIF('1. Danh mục năng lực'!G2:G239,"R4*")</f>
        <v>2</v>
      </c>
    </row>
    <row r="18" customFormat="false" ht="15" hidden="false" customHeight="false" outlineLevel="0" collapsed="false">
      <c r="A18" s="9" t="s">
        <v>1283</v>
      </c>
      <c r="B18" s="9" t="s">
        <v>1280</v>
      </c>
      <c r="C18" s="9" t="s">
        <v>30</v>
      </c>
      <c r="D18" s="9" t="s">
        <v>259</v>
      </c>
      <c r="E18" s="9" t="s">
        <v>478</v>
      </c>
    </row>
    <row r="19" customFormat="false" ht="15" hidden="false" customHeight="false" outlineLevel="0" collapsed="false">
      <c r="A19" s="0" t="s">
        <v>916</v>
      </c>
      <c r="B19" s="0" t="n">
        <f aca="false">COUNTIF('1. Danh mục năng lực'!B2:B239,"arch")</f>
        <v>11</v>
      </c>
      <c r="C19" s="0" t="n">
        <f aca="false">COUNTIFS('1. Danh mục năng lực'!B2:B239,"arch",'1. Danh mục năng lực'!H2:H239,"T1~*")+COUNTIFS('1. Danh mục năng lực'!B2:B239,"arch",'1. Danh mục năng lực'!H2:H239,"T1")</f>
        <v>11</v>
      </c>
      <c r="D19" s="0" t="n">
        <f aca="false">COUNTIFS('1. Danh mục năng lực'!B2:B239,"arch",'1. Danh mục năng lực'!H2:H239,"T2")</f>
        <v>0</v>
      </c>
      <c r="E19" s="0" t="n">
        <f aca="false">COUNTIFS('1. Danh mục năng lực'!B2:B239,"arch",'1. Danh mục năng lực'!H2:H239,"T3")</f>
        <v>0</v>
      </c>
    </row>
    <row r="20" customFormat="false" ht="15" hidden="false" customHeight="false" outlineLevel="0" collapsed="false">
      <c r="A20" s="0" t="s">
        <v>139</v>
      </c>
      <c r="B20" s="0" t="n">
        <f aca="false">COUNTIF('1. Danh mục năng lực'!B2:B239,"archive")</f>
        <v>7</v>
      </c>
      <c r="C20" s="0" t="n">
        <f aca="false">COUNTIFS('1. Danh mục năng lực'!B2:B239,"archive",'1. Danh mục năng lực'!H2:H239,"T1~*")+COUNTIFS('1. Danh mục năng lực'!B2:B239,"archive",'1. Danh mục năng lực'!H2:H239,"T1")</f>
        <v>7</v>
      </c>
      <c r="D20" s="0" t="n">
        <f aca="false">COUNTIFS('1. Danh mục năng lực'!B2:B239,"archive",'1. Danh mục năng lực'!H2:H239,"T2")</f>
        <v>0</v>
      </c>
      <c r="E20" s="0" t="n">
        <f aca="false">COUNTIFS('1. Danh mục năng lực'!B2:B239,"archive",'1. Danh mục năng lực'!H2:H239,"T3")</f>
        <v>0</v>
      </c>
    </row>
    <row r="21" customFormat="false" ht="15" hidden="false" customHeight="false" outlineLevel="0" collapsed="false">
      <c r="A21" s="0" t="s">
        <v>737</v>
      </c>
      <c r="B21" s="0" t="n">
        <f aca="false">COUNTIF('1. Danh mục năng lực'!B2:B239,"bench")</f>
        <v>3</v>
      </c>
      <c r="C21" s="0" t="n">
        <f aca="false">COUNTIFS('1. Danh mục năng lực'!B2:B239,"bench",'1. Danh mục năng lực'!H2:H239,"T1~*")+COUNTIFS('1. Danh mục năng lực'!B2:B239,"bench",'1. Danh mục năng lực'!H2:H239,"T1")</f>
        <v>2</v>
      </c>
      <c r="D21" s="0" t="n">
        <f aca="false">COUNTIFS('1. Danh mục năng lực'!B2:B239,"bench",'1. Danh mục năng lực'!H2:H239,"T2")</f>
        <v>1</v>
      </c>
      <c r="E21" s="0" t="n">
        <f aca="false">COUNTIFS('1. Danh mục năng lực'!B2:B239,"bench",'1. Danh mục năng lực'!H2:H239,"T3")</f>
        <v>0</v>
      </c>
    </row>
    <row r="22" customFormat="false" ht="15" hidden="false" customHeight="false" outlineLevel="0" collapsed="false">
      <c r="A22" s="0" t="s">
        <v>431</v>
      </c>
      <c r="B22" s="0" t="n">
        <f aca="false">COUNTIF('1. Danh mục năng lực'!B2:B239,"board")</f>
        <v>5</v>
      </c>
      <c r="C22" s="0" t="n">
        <f aca="false">COUNTIFS('1. Danh mục năng lực'!B2:B239,"board",'1. Danh mục năng lực'!H2:H239,"T1~*")+COUNTIFS('1. Danh mục năng lực'!B2:B239,"board",'1. Danh mục năng lực'!H2:H239,"T1")</f>
        <v>4</v>
      </c>
      <c r="D22" s="0" t="n">
        <f aca="false">COUNTIFS('1. Danh mục năng lực'!B2:B239,"board",'1. Danh mục năng lực'!H2:H239,"T2")</f>
        <v>1</v>
      </c>
      <c r="E22" s="0" t="n">
        <f aca="false">COUNTIFS('1. Danh mục năng lực'!B2:B239,"board",'1. Danh mục năng lực'!H2:H239,"T3")</f>
        <v>0</v>
      </c>
    </row>
    <row r="23" customFormat="false" ht="15" hidden="false" customHeight="false" outlineLevel="0" collapsed="false">
      <c r="A23" s="0" t="s">
        <v>829</v>
      </c>
      <c r="B23" s="0" t="n">
        <f aca="false">COUNTIF('1. Danh mục năng lực'!B2:B239,"chat")</f>
        <v>8</v>
      </c>
      <c r="C23" s="0" t="n">
        <f aca="false">COUNTIFS('1. Danh mục năng lực'!B2:B239,"chat",'1. Danh mục năng lực'!H2:H239,"T1~*")+COUNTIFS('1. Danh mục năng lực'!B2:B239,"chat",'1. Danh mục năng lực'!H2:H239,"T1")</f>
        <v>7</v>
      </c>
      <c r="D23" s="0" t="n">
        <f aca="false">COUNTIFS('1. Danh mục năng lực'!B2:B239,"chat",'1. Danh mục năng lực'!H2:H239,"T2")</f>
        <v>1</v>
      </c>
      <c r="E23" s="0" t="n">
        <f aca="false">COUNTIFS('1. Danh mục năng lực'!B2:B239,"chat",'1. Danh mục năng lực'!H2:H239,"T3")</f>
        <v>0</v>
      </c>
    </row>
    <row r="24" customFormat="false" ht="15" hidden="false" customHeight="false" outlineLevel="0" collapsed="false">
      <c r="A24" s="0" t="s">
        <v>536</v>
      </c>
      <c r="B24" s="0" t="n">
        <f aca="false">COUNTIF('1. Danh mục năng lực'!B2:B239,"code")</f>
        <v>16</v>
      </c>
      <c r="C24" s="0" t="n">
        <f aca="false">COUNTIFS('1. Danh mục năng lực'!B2:B239,"code",'1. Danh mục năng lực'!H2:H239,"T1~*")+COUNTIFS('1. Danh mục năng lực'!B2:B239,"code",'1. Danh mục năng lực'!H2:H239,"T1")</f>
        <v>16</v>
      </c>
      <c r="D24" s="0" t="n">
        <f aca="false">COUNTIFS('1. Danh mục năng lực'!B2:B239,"code",'1. Danh mục năng lực'!H2:H239,"T2")</f>
        <v>0</v>
      </c>
      <c r="E24" s="0" t="n">
        <f aca="false">COUNTIFS('1. Danh mục năng lực'!B2:B239,"code",'1. Danh mục năng lực'!H2:H239,"T3")</f>
        <v>0</v>
      </c>
    </row>
    <row r="25" customFormat="false" ht="15" hidden="false" customHeight="false" outlineLevel="0" collapsed="false">
      <c r="A25" s="0" t="s">
        <v>693</v>
      </c>
      <c r="B25" s="0" t="n">
        <f aca="false">COUNTIF('1. Danh mục năng lực'!B2:B239,"debug")</f>
        <v>6</v>
      </c>
      <c r="C25" s="0" t="n">
        <f aca="false">COUNTIFS('1. Danh mục năng lực'!B2:B239,"debug",'1. Danh mục năng lực'!H2:H239,"T1~*")+COUNTIFS('1. Danh mục năng lực'!B2:B239,"debug",'1. Danh mục năng lực'!H2:H239,"T1")</f>
        <v>6</v>
      </c>
      <c r="D25" s="0" t="n">
        <f aca="false">COUNTIFS('1. Danh mục năng lực'!B2:B239,"debug",'1. Danh mục năng lực'!H2:H239,"T2")</f>
        <v>0</v>
      </c>
      <c r="E25" s="0" t="n">
        <f aca="false">COUNTIFS('1. Danh mục năng lực'!B2:B239,"debug",'1. Danh mục năng lực'!H2:H239,"T3")</f>
        <v>0</v>
      </c>
    </row>
    <row r="26" customFormat="false" ht="15" hidden="false" customHeight="false" outlineLevel="0" collapsed="false">
      <c r="A26" s="0" t="s">
        <v>972</v>
      </c>
      <c r="B26" s="0" t="n">
        <f aca="false">COUNTIF('1. Danh mục năng lực'!B2:B239,"diagram")</f>
        <v>14</v>
      </c>
      <c r="C26" s="0" t="n">
        <f aca="false">COUNTIFS('1. Danh mục năng lực'!B2:B239,"diagram",'1. Danh mục năng lực'!H2:H239,"T1~*")+COUNTIFS('1. Danh mục năng lực'!B2:B239,"diagram",'1. Danh mục năng lực'!H2:H239,"T1")</f>
        <v>14</v>
      </c>
      <c r="D26" s="0" t="n">
        <f aca="false">COUNTIFS('1. Danh mục năng lực'!B2:B239,"diagram",'1. Danh mục năng lực'!H2:H239,"T2")</f>
        <v>0</v>
      </c>
      <c r="E26" s="0" t="n">
        <f aca="false">COUNTIFS('1. Danh mục năng lực'!B2:B239,"diagram",'1. Danh mục năng lực'!H2:H239,"T3")</f>
        <v>0</v>
      </c>
    </row>
    <row r="27" customFormat="false" ht="15" hidden="false" customHeight="false" outlineLevel="0" collapsed="false">
      <c r="A27" s="0" t="s">
        <v>1155</v>
      </c>
      <c r="B27" s="0" t="n">
        <f aca="false">COUNTIF('1. Danh mục năng lực'!B2:B239,"discover")</f>
        <v>12</v>
      </c>
      <c r="C27" s="0" t="n">
        <f aca="false">COUNTIFS('1. Danh mục năng lực'!B2:B239,"discover",'1. Danh mục năng lực'!H2:H239,"T1~*")+COUNTIFS('1. Danh mục năng lực'!B2:B239,"discover",'1. Danh mục năng lực'!H2:H239,"T1")</f>
        <v>12</v>
      </c>
      <c r="D27" s="0" t="n">
        <f aca="false">COUNTIFS('1. Danh mục năng lực'!B2:B239,"discover",'1. Danh mục năng lực'!H2:H239,"T2")</f>
        <v>0</v>
      </c>
      <c r="E27" s="0" t="n">
        <f aca="false">COUNTIFS('1. Danh mục năng lực'!B2:B239,"discover",'1. Danh mục năng lực'!H2:H239,"T3")</f>
        <v>0</v>
      </c>
    </row>
    <row r="28" customFormat="false" ht="15" hidden="false" customHeight="false" outlineLevel="0" collapsed="false">
      <c r="A28" s="0" t="s">
        <v>1038</v>
      </c>
      <c r="B28" s="0" t="n">
        <f aca="false">COUNTIF('1. Danh mục năng lực'!B2:B239,"doc")</f>
        <v>12</v>
      </c>
      <c r="C28" s="0" t="n">
        <f aca="false">COUNTIFS('1. Danh mục năng lực'!B2:B239,"doc",'1. Danh mục năng lực'!H2:H239,"T1~*")+COUNTIFS('1. Danh mục năng lực'!B2:B239,"doc",'1. Danh mục năng lực'!H2:H239,"T1")</f>
        <v>12</v>
      </c>
      <c r="D28" s="0" t="n">
        <f aca="false">COUNTIFS('1. Danh mục năng lực'!B2:B239,"doc",'1. Danh mục năng lực'!H2:H239,"T2")</f>
        <v>0</v>
      </c>
      <c r="E28" s="0" t="n">
        <f aca="false">COUNTIFS('1. Danh mục năng lực'!B2:B239,"doc",'1. Danh mục năng lực'!H2:H239,"T3")</f>
        <v>0</v>
      </c>
    </row>
    <row r="29" customFormat="false" ht="15" hidden="false" customHeight="false" outlineLevel="0" collapsed="false">
      <c r="A29" s="0" t="s">
        <v>456</v>
      </c>
      <c r="B29" s="0" t="n">
        <f aca="false">COUNTIF('1. Danh mục năng lực'!B2:B239,"env")</f>
        <v>7</v>
      </c>
      <c r="C29" s="0" t="n">
        <f aca="false">COUNTIFS('1. Danh mục năng lực'!B2:B239,"env",'1. Danh mục năng lực'!H2:H239,"T1~*")+COUNTIFS('1. Danh mục năng lực'!B2:B239,"env",'1. Danh mục năng lực'!H2:H239,"T1")</f>
        <v>6</v>
      </c>
      <c r="D29" s="0" t="n">
        <f aca="false">COUNTIFS('1. Danh mục năng lực'!B2:B239,"env",'1. Danh mục năng lực'!H2:H239,"T2")</f>
        <v>0</v>
      </c>
      <c r="E29" s="0" t="n">
        <f aca="false">COUNTIFS('1. Danh mục năng lực'!B2:B239,"env",'1. Danh mục năng lực'!H2:H239,"T3")</f>
        <v>1</v>
      </c>
    </row>
    <row r="30" customFormat="false" ht="15" hidden="false" customHeight="false" outlineLevel="0" collapsed="false">
      <c r="A30" s="0" t="s">
        <v>228</v>
      </c>
      <c r="B30" s="0" t="n">
        <f aca="false">COUNTIF('1. Danh mục năng lực'!B2:B239,"extract")</f>
        <v>21</v>
      </c>
      <c r="C30" s="0" t="n">
        <f aca="false">COUNTIFS('1. Danh mục năng lực'!B2:B239,"extract",'1. Danh mục năng lực'!H2:H239,"T1~*")+COUNTIFS('1. Danh mục năng lực'!B2:B239,"extract",'1. Danh mục năng lực'!H2:H239,"T1")</f>
        <v>16</v>
      </c>
      <c r="D30" s="0" t="n">
        <f aca="false">COUNTIFS('1. Danh mục năng lực'!B2:B239,"extract",'1. Danh mục năng lực'!H2:H239,"T2")</f>
        <v>5</v>
      </c>
      <c r="E30" s="0" t="n">
        <f aca="false">COUNTIFS('1. Danh mục năng lực'!B2:B239,"extract",'1. Danh mục năng lực'!H2:H239,"T3")</f>
        <v>0</v>
      </c>
    </row>
    <row r="31" customFormat="false" ht="15" hidden="false" customHeight="false" outlineLevel="0" collapsed="false">
      <c r="A31" s="0" t="s">
        <v>383</v>
      </c>
      <c r="B31" s="0" t="n">
        <f aca="false">COUNTIF('1. Danh mục năng lực'!B2:B239,"kg")</f>
        <v>9</v>
      </c>
      <c r="C31" s="0" t="n">
        <f aca="false">COUNTIFS('1. Danh mục năng lực'!B2:B239,"kg",'1. Danh mục năng lực'!H2:H239,"T1~*")+COUNTIFS('1. Danh mục năng lực'!B2:B239,"kg",'1. Danh mục năng lực'!H2:H239,"T1")</f>
        <v>8</v>
      </c>
      <c r="D31" s="0" t="n">
        <f aca="false">COUNTIFS('1. Danh mục năng lực'!B2:B239,"kg",'1. Danh mục năng lực'!H2:H239,"T2")</f>
        <v>1</v>
      </c>
      <c r="E31" s="0" t="n">
        <f aca="false">COUNTIFS('1. Danh mục năng lực'!B2:B239,"kg",'1. Danh mục năng lực'!H2:H239,"T3")</f>
        <v>0</v>
      </c>
    </row>
    <row r="32" customFormat="false" ht="15" hidden="false" customHeight="false" outlineLevel="0" collapsed="false">
      <c r="A32" s="0" t="s">
        <v>721</v>
      </c>
      <c r="B32" s="0" t="n">
        <f aca="false">COUNTIF('1. Danh mục năng lực'!B2:B239,"measure")</f>
        <v>3</v>
      </c>
      <c r="C32" s="0" t="n">
        <f aca="false">COUNTIFS('1. Danh mục năng lực'!B2:B239,"measure",'1. Danh mục năng lực'!H2:H239,"T1~*")+COUNTIFS('1. Danh mục năng lực'!B2:B239,"measure",'1. Danh mục năng lực'!H2:H239,"T1")</f>
        <v>3</v>
      </c>
      <c r="D32" s="0" t="n">
        <f aca="false">COUNTIFS('1. Danh mục năng lực'!B2:B239,"measure",'1. Danh mục năng lực'!H2:H239,"T2")</f>
        <v>0</v>
      </c>
      <c r="E32" s="0" t="n">
        <f aca="false">COUNTIFS('1. Danh mục năng lực'!B2:B239,"measure",'1. Danh mục năng lực'!H2:H239,"T3")</f>
        <v>0</v>
      </c>
    </row>
    <row r="33" customFormat="false" ht="15" hidden="false" customHeight="false" outlineLevel="0" collapsed="false">
      <c r="A33" s="0" t="s">
        <v>93</v>
      </c>
      <c r="B33" s="0" t="n">
        <f aca="false">COUNTIF('1. Danh mục năng lực'!B2:B239,"memory")</f>
        <v>8</v>
      </c>
      <c r="C33" s="0" t="n">
        <f aca="false">COUNTIFS('1. Danh mục năng lực'!B2:B239,"memory",'1. Danh mục năng lực'!H2:H239,"T1~*")+COUNTIFS('1. Danh mục năng lực'!B2:B239,"memory",'1. Danh mục năng lực'!H2:H239,"T1")</f>
        <v>8</v>
      </c>
      <c r="D33" s="0" t="n">
        <f aca="false">COUNTIFS('1. Danh mục năng lực'!B2:B239,"memory",'1. Danh mục năng lực'!H2:H239,"T2")</f>
        <v>0</v>
      </c>
      <c r="E33" s="0" t="n">
        <f aca="false">COUNTIFS('1. Danh mục năng lực'!B2:B239,"memory",'1. Danh mục năng lực'!H2:H239,"T3")</f>
        <v>0</v>
      </c>
    </row>
    <row r="34" customFormat="false" ht="15" hidden="false" customHeight="false" outlineLevel="0" collapsed="false">
      <c r="A34" s="0" t="s">
        <v>333</v>
      </c>
      <c r="B34" s="0" t="n">
        <f aca="false">COUNTIF('1. Danh mục năng lực'!B2:B239,"passport")</f>
        <v>8</v>
      </c>
      <c r="C34" s="0" t="n">
        <f aca="false">COUNTIFS('1. Danh mục năng lực'!B2:B239,"passport",'1. Danh mục năng lực'!H2:H239,"T1~*")+COUNTIFS('1. Danh mục năng lực'!B2:B239,"passport",'1. Danh mục năng lực'!H2:H239,"T1")</f>
        <v>7</v>
      </c>
      <c r="D34" s="0" t="n">
        <f aca="false">COUNTIFS('1. Danh mục năng lực'!B2:B239,"passport",'1. Danh mục năng lực'!H2:H239,"T2")</f>
        <v>1</v>
      </c>
      <c r="E34" s="0" t="n">
        <f aca="false">COUNTIFS('1. Danh mục năng lực'!B2:B239,"passport",'1. Danh mục năng lực'!H2:H239,"T3")</f>
        <v>0</v>
      </c>
    </row>
    <row r="35" customFormat="false" ht="15" hidden="false" customHeight="false" outlineLevel="0" collapsed="false">
      <c r="A35" s="0" t="s">
        <v>494</v>
      </c>
      <c r="B35" s="0" t="n">
        <f aca="false">COUNTIF('1. Danh mục năng lực'!B2:B239,"plan")</f>
        <v>7</v>
      </c>
      <c r="C35" s="0" t="n">
        <f aca="false">COUNTIFS('1. Danh mục năng lực'!B2:B239,"plan",'1. Danh mục năng lực'!H2:H239,"T1~*")+COUNTIFS('1. Danh mục năng lực'!B2:B239,"plan",'1. Danh mục năng lực'!H2:H239,"T1")</f>
        <v>7</v>
      </c>
      <c r="D35" s="0" t="n">
        <f aca="false">COUNTIFS('1. Danh mục năng lực'!B2:B239,"plan",'1. Danh mục năng lực'!H2:H239,"T2")</f>
        <v>0</v>
      </c>
      <c r="E35" s="0" t="n">
        <f aca="false">COUNTIFS('1. Danh mục năng lực'!B2:B239,"plan",'1. Danh mục năng lực'!H2:H239,"T3")</f>
        <v>0</v>
      </c>
    </row>
    <row r="36" customFormat="false" ht="15" hidden="false" customHeight="false" outlineLevel="0" collapsed="false">
      <c r="A36" s="0" t="s">
        <v>795</v>
      </c>
      <c r="B36" s="0" t="n">
        <f aca="false">COUNTIF('1. Danh mục năng lực'!B2:B239,"policy")</f>
        <v>7</v>
      </c>
      <c r="C36" s="0" t="n">
        <f aca="false">COUNTIFS('1. Danh mục năng lực'!B2:B239,"policy",'1. Danh mục năng lực'!H2:H239,"T1~*")+COUNTIFS('1. Danh mục năng lực'!B2:B239,"policy",'1. Danh mục năng lực'!H2:H239,"T1")</f>
        <v>3</v>
      </c>
      <c r="D36" s="0" t="n">
        <f aca="false">COUNTIFS('1. Danh mục năng lực'!B2:B239,"policy",'1. Danh mục năng lực'!H2:H239,"T2")</f>
        <v>3</v>
      </c>
      <c r="E36" s="0" t="n">
        <f aca="false">COUNTIFS('1. Danh mục năng lực'!B2:B239,"policy",'1. Danh mục năng lực'!H2:H239,"T3")</f>
        <v>1</v>
      </c>
    </row>
    <row r="37" customFormat="false" ht="15" hidden="false" customHeight="false" outlineLevel="0" collapsed="false">
      <c r="A37" s="0" t="s">
        <v>24</v>
      </c>
      <c r="B37" s="0" t="n">
        <f aca="false">COUNTIF('1. Danh mục năng lực'!B2:B239,"project")</f>
        <v>9</v>
      </c>
      <c r="C37" s="0" t="n">
        <f aca="false">COUNTIFS('1. Danh mục năng lực'!B2:B239,"project",'1. Danh mục năng lực'!H2:H239,"T1~*")+COUNTIFS('1. Danh mục năng lực'!B2:B239,"project",'1. Danh mục năng lực'!H2:H239,"T1")</f>
        <v>9</v>
      </c>
      <c r="D37" s="0" t="n">
        <f aca="false">COUNTIFS('1. Danh mục năng lực'!B2:B239,"project",'1. Danh mục năng lực'!H2:H239,"T2")</f>
        <v>0</v>
      </c>
      <c r="E37" s="0" t="n">
        <f aca="false">COUNTIFS('1. Danh mục năng lực'!B2:B239,"project",'1. Danh mục năng lực'!H2:H239,"T3")</f>
        <v>0</v>
      </c>
    </row>
    <row r="38" customFormat="false" ht="15" hidden="false" customHeight="false" outlineLevel="0" collapsed="false">
      <c r="A38" s="0" t="s">
        <v>751</v>
      </c>
      <c r="B38" s="0" t="n">
        <f aca="false">COUNTIF('1. Danh mục năng lực'!B2:B239,"registry")</f>
        <v>5</v>
      </c>
      <c r="C38" s="0" t="n">
        <f aca="false">COUNTIFS('1. Danh mục năng lực'!B2:B239,"registry",'1. Danh mục năng lực'!H2:H239,"T1~*")+COUNTIFS('1. Danh mục năng lực'!B2:B239,"registry",'1. Danh mục năng lực'!H2:H239,"T1")</f>
        <v>5</v>
      </c>
      <c r="D38" s="0" t="n">
        <f aca="false">COUNTIFS('1. Danh mục năng lực'!B2:B239,"registry",'1. Danh mục năng lực'!H2:H239,"T2")</f>
        <v>0</v>
      </c>
      <c r="E38" s="0" t="n">
        <f aca="false">COUNTIFS('1. Danh mục năng lực'!B2:B239,"registry",'1. Danh mục năng lực'!H2:H239,"T3")</f>
        <v>0</v>
      </c>
    </row>
    <row r="39" customFormat="false" ht="15" hidden="false" customHeight="false" outlineLevel="0" collapsed="false">
      <c r="A39" s="0" t="s">
        <v>84</v>
      </c>
      <c r="B39" s="0" t="n">
        <f aca="false">COUNTIF('1. Danh mục năng lực'!B2:B239,"report")</f>
        <v>4</v>
      </c>
      <c r="C39" s="0" t="n">
        <f aca="false">COUNTIFS('1. Danh mục năng lực'!B2:B239,"report",'1. Danh mục năng lực'!H2:H239,"T1~*")+COUNTIFS('1. Danh mục năng lực'!B2:B239,"report",'1. Danh mục năng lực'!H2:H239,"T1")</f>
        <v>4</v>
      </c>
      <c r="D39" s="0" t="n">
        <f aca="false">COUNTIFS('1. Danh mục năng lực'!B2:B239,"report",'1. Danh mục năng lực'!H2:H239,"T2")</f>
        <v>0</v>
      </c>
      <c r="E39" s="0" t="n">
        <f aca="false">COUNTIFS('1. Danh mục năng lực'!B2:B239,"report",'1. Danh mục năng lực'!H2:H239,"T3")</f>
        <v>0</v>
      </c>
    </row>
    <row r="40" customFormat="false" ht="15" hidden="false" customHeight="false" outlineLevel="0" collapsed="false">
      <c r="A40" s="0" t="s">
        <v>868</v>
      </c>
      <c r="B40" s="0" t="n">
        <f aca="false">COUNTIF('1. Danh mục năng lực'!B2:B239,"req")</f>
        <v>8</v>
      </c>
      <c r="C40" s="0" t="n">
        <f aca="false">COUNTIFS('1. Danh mục năng lực'!B2:B239,"req",'1. Danh mục năng lực'!H2:H239,"T1~*")+COUNTIFS('1. Danh mục năng lực'!B2:B239,"req",'1. Danh mục năng lực'!H2:H239,"T1")</f>
        <v>8</v>
      </c>
      <c r="D40" s="0" t="n">
        <f aca="false">COUNTIFS('1. Danh mục năng lực'!B2:B239,"req",'1. Danh mục năng lực'!H2:H239,"T2")</f>
        <v>0</v>
      </c>
      <c r="E40" s="0" t="n">
        <f aca="false">COUNTIFS('1. Danh mục năng lực'!B2:B239,"req",'1. Danh mục năng lực'!H2:H239,"T3")</f>
        <v>0</v>
      </c>
    </row>
    <row r="41" customFormat="false" ht="15" hidden="false" customHeight="false" outlineLevel="0" collapsed="false">
      <c r="A41" s="0" t="s">
        <v>176</v>
      </c>
      <c r="B41" s="0" t="n">
        <f aca="false">COUNTIF('1. Danh mục năng lực'!B2:B239,"search")</f>
        <v>9</v>
      </c>
      <c r="C41" s="0" t="n">
        <f aca="false">COUNTIFS('1. Danh mục năng lực'!B2:B239,"search",'1. Danh mục năng lực'!H2:H239,"T1~*")+COUNTIFS('1. Danh mục năng lực'!B2:B239,"search",'1. Danh mục năng lực'!H2:H239,"T1")</f>
        <v>9</v>
      </c>
      <c r="D41" s="0" t="n">
        <f aca="false">COUNTIFS('1. Danh mục năng lực'!B2:B239,"search",'1. Danh mục năng lực'!H2:H239,"T2")</f>
        <v>0</v>
      </c>
      <c r="E41" s="0" t="n">
        <f aca="false">COUNTIFS('1. Danh mục năng lực'!B2:B239,"search",'1. Danh mục năng lực'!H2:H239,"T3")</f>
        <v>0</v>
      </c>
    </row>
    <row r="42" customFormat="false" ht="15" hidden="false" customHeight="false" outlineLevel="0" collapsed="false">
      <c r="A42" s="0" t="s">
        <v>607</v>
      </c>
      <c r="B42" s="0" t="n">
        <f aca="false">COUNTIF('1. Danh mục năng lực'!B2:B239,"sim")</f>
        <v>7</v>
      </c>
      <c r="C42" s="0" t="n">
        <f aca="false">COUNTIFS('1. Danh mục năng lực'!B2:B239,"sim",'1. Danh mục năng lực'!H2:H239,"T1~*")+COUNTIFS('1. Danh mục năng lực'!B2:B239,"sim",'1. Danh mục năng lực'!H2:H239,"T1")</f>
        <v>6</v>
      </c>
      <c r="D42" s="0" t="n">
        <f aca="false">COUNTIFS('1. Danh mục năng lực'!B2:B239,"sim",'1. Danh mục năng lực'!H2:H239,"T2")</f>
        <v>1</v>
      </c>
      <c r="E42" s="0" t="n">
        <f aca="false">COUNTIFS('1. Danh mục năng lực'!B2:B239,"sim",'1. Danh mục năng lực'!H2:H239,"T3")</f>
        <v>0</v>
      </c>
    </row>
    <row r="43" customFormat="false" ht="15" hidden="false" customHeight="false" outlineLevel="0" collapsed="false">
      <c r="A43" s="0" t="s">
        <v>648</v>
      </c>
      <c r="B43" s="0" t="n">
        <f aca="false">COUNTIF('1. Danh mục năng lực'!B2:B239,"target")</f>
        <v>9</v>
      </c>
      <c r="C43" s="0" t="n">
        <f aca="false">COUNTIFS('1. Danh mục năng lực'!B2:B239,"target",'1. Danh mục năng lực'!H2:H239,"T1~*")+COUNTIFS('1. Danh mục năng lực'!B2:B239,"target",'1. Danh mục năng lực'!H2:H239,"T1")</f>
        <v>8</v>
      </c>
      <c r="D43" s="0" t="n">
        <f aca="false">COUNTIFS('1. Danh mục năng lực'!B2:B239,"target",'1. Danh mục năng lực'!H2:H239,"T2")</f>
        <v>0</v>
      </c>
      <c r="E43" s="0" t="n">
        <f aca="false">COUNTIFS('1. Danh mục năng lực'!B2:B239,"target",'1. Danh mục năng lực'!H2:H239,"T3")</f>
        <v>1</v>
      </c>
    </row>
    <row r="44" customFormat="false" ht="15" hidden="false" customHeight="false" outlineLevel="0" collapsed="false">
      <c r="A44" s="0" t="s">
        <v>469</v>
      </c>
      <c r="B44" s="0" t="n">
        <f aca="false">COUNTIF('1. Danh mục năng lực'!B2:B239,"tool")</f>
        <v>10</v>
      </c>
      <c r="C44" s="0" t="n">
        <f aca="false">COUNTIFS('1. Danh mục năng lực'!B2:B239,"tool",'1. Danh mục năng lực'!H2:H239,"T1~*")+COUNTIFS('1. Danh mục năng lực'!B2:B239,"tool",'1. Danh mục năng lực'!H2:H239,"T1")</f>
        <v>9</v>
      </c>
      <c r="D44" s="0" t="n">
        <f aca="false">COUNTIFS('1. Danh mục năng lực'!B2:B239,"tool",'1. Danh mục năng lực'!H2:H239,"T2")</f>
        <v>1</v>
      </c>
      <c r="E44" s="0" t="n">
        <f aca="false">COUNTIFS('1. Danh mục năng lực'!B2:B239,"tool",'1. Danh mục năng lực'!H2:H239,"T3")</f>
        <v>0</v>
      </c>
    </row>
    <row r="45" customFormat="false" ht="15" hidden="false" customHeight="false" outlineLevel="0" collapsed="false">
      <c r="A45" s="0" t="s">
        <v>1090</v>
      </c>
      <c r="B45" s="0" t="n">
        <f aca="false">COUNTIF('1. Danh mục năng lực'!B2:B239,"view")</f>
        <v>13</v>
      </c>
      <c r="C45" s="0" t="n">
        <f aca="false">COUNTIFS('1. Danh mục năng lực'!B2:B239,"view",'1. Danh mục năng lực'!H2:H239,"T1~*")+COUNTIFS('1. Danh mục năng lực'!B2:B239,"view",'1. Danh mục năng lực'!H2:H239,"T1")</f>
        <v>13</v>
      </c>
      <c r="D45" s="0" t="n">
        <f aca="false">COUNTIFS('1. Danh mục năng lực'!B2:B239,"view",'1. Danh mục năng lực'!H2:H239,"T2")</f>
        <v>0</v>
      </c>
      <c r="E45" s="0" t="n">
        <f aca="false">COUNTIFS('1. Danh mục năng lực'!B2:B239,"view",'1. Danh mục năng lực'!H2:H239,"T3")</f>
        <v>0</v>
      </c>
    </row>
    <row r="47" customFormat="false" ht="15" hidden="false" customHeight="false" outlineLevel="0" collapsed="false">
      <c r="A47" s="9" t="s">
        <v>1284</v>
      </c>
      <c r="B47" s="9" t="s">
        <v>1280</v>
      </c>
    </row>
    <row r="48" customFormat="false" ht="15" hidden="false" customHeight="false" outlineLevel="0" collapsed="false">
      <c r="A48" s="0" t="s">
        <v>34</v>
      </c>
      <c r="B48" s="0" t="n">
        <f aca="false">COUNTIF('1. Danh mục năng lực'!L2:L239,"M0")</f>
        <v>22</v>
      </c>
    </row>
    <row r="49" customFormat="false" ht="15" hidden="false" customHeight="false" outlineLevel="0" collapsed="false">
      <c r="A49" s="0" t="s">
        <v>52</v>
      </c>
      <c r="B49" s="0" t="n">
        <f aca="false">COUNTIF('1. Danh mục năng lực'!L2:L239,"M1")</f>
        <v>75</v>
      </c>
    </row>
    <row r="50" customFormat="false" ht="15" hidden="false" customHeight="false" outlineLevel="0" collapsed="false">
      <c r="A50" s="0" t="s">
        <v>59</v>
      </c>
      <c r="B50" s="0" t="n">
        <f aca="false">COUNTIF('1. Danh mục năng lực'!L2:L239,"M2")</f>
        <v>99</v>
      </c>
    </row>
    <row r="51" customFormat="false" ht="15" hidden="false" customHeight="false" outlineLevel="0" collapsed="false">
      <c r="A51" s="0" t="s">
        <v>381</v>
      </c>
      <c r="B51" s="0" t="n">
        <f aca="false">COUNTIF('1. Danh mục năng lực'!L2:L239,"M3")</f>
        <v>29</v>
      </c>
    </row>
    <row r="52" customFormat="false" ht="15" hidden="false" customHeight="false" outlineLevel="0" collapsed="false">
      <c r="A52" s="0" t="s">
        <v>182</v>
      </c>
      <c r="B52" s="0" t="n">
        <f aca="false">COUNTIF('1. Danh mục năng lực'!L2:L239,"M4")</f>
        <v>9</v>
      </c>
    </row>
    <row r="53" customFormat="false" ht="15" hidden="false" customHeight="false" outlineLevel="0" collapsed="false">
      <c r="A53" s="0" t="s">
        <v>296</v>
      </c>
      <c r="B53" s="0" t="n">
        <f aca="false">COUNTIF('1. Danh mục năng lực'!L2:L239,"M5")</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2"/>
    <col collapsed="false" customWidth="true" hidden="false" outlineLevel="0" max="4" min="4" style="0" width="60"/>
    <col collapsed="false" customWidth="true" hidden="false" outlineLevel="0" max="5" min="5" style="0" width="90"/>
  </cols>
  <sheetData>
    <row r="1" customFormat="false" ht="15" hidden="false" customHeight="false" outlineLevel="0" collapsed="false">
      <c r="A1" s="5" t="s">
        <v>1285</v>
      </c>
      <c r="B1" s="5" t="s">
        <v>1286</v>
      </c>
      <c r="C1" s="5" t="s">
        <v>1287</v>
      </c>
      <c r="D1" s="5" t="s">
        <v>13</v>
      </c>
      <c r="E1" s="5" t="s">
        <v>1288</v>
      </c>
    </row>
    <row r="2" customFormat="false" ht="68.65" hidden="false" customHeight="false" outlineLevel="0" collapsed="false">
      <c r="A2" s="6" t="s">
        <v>1289</v>
      </c>
      <c r="B2" s="6" t="s">
        <v>1290</v>
      </c>
      <c r="C2" s="6" t="n">
        <v>33</v>
      </c>
      <c r="D2" s="6" t="s">
        <v>1291</v>
      </c>
      <c r="E2" s="6" t="s">
        <v>1292</v>
      </c>
    </row>
    <row r="3" customFormat="false" ht="124.6" hidden="false" customHeight="false" outlineLevel="0" collapsed="false">
      <c r="A3" s="7" t="s">
        <v>1293</v>
      </c>
      <c r="B3" s="7" t="s">
        <v>1294</v>
      </c>
      <c r="C3" s="7" t="n">
        <v>63</v>
      </c>
      <c r="D3" s="7" t="s">
        <v>1295</v>
      </c>
      <c r="E3" s="7" t="s">
        <v>1296</v>
      </c>
    </row>
    <row r="4" customFormat="false" ht="68.65" hidden="false" customHeight="false" outlineLevel="0" collapsed="false">
      <c r="A4" s="6" t="s">
        <v>1297</v>
      </c>
      <c r="B4" s="6" t="s">
        <v>1298</v>
      </c>
      <c r="C4" s="6" t="n">
        <v>32</v>
      </c>
      <c r="D4" s="6" t="s">
        <v>1299</v>
      </c>
      <c r="E4" s="6" t="s">
        <v>1300</v>
      </c>
    </row>
    <row r="5" customFormat="false" ht="57.45" hidden="false" customHeight="false" outlineLevel="0" collapsed="false">
      <c r="A5" s="7" t="s">
        <v>1301</v>
      </c>
      <c r="B5" s="7" t="s">
        <v>1302</v>
      </c>
      <c r="C5" s="7" t="n">
        <v>32</v>
      </c>
      <c r="D5" s="7" t="s">
        <v>1303</v>
      </c>
      <c r="E5" s="7" t="s">
        <v>1304</v>
      </c>
    </row>
    <row r="6" customFormat="false" ht="79.85" hidden="false" customHeight="false" outlineLevel="0" collapsed="false">
      <c r="A6" s="6" t="s">
        <v>1305</v>
      </c>
      <c r="B6" s="6" t="s">
        <v>1306</v>
      </c>
      <c r="C6" s="6" t="n">
        <v>40</v>
      </c>
      <c r="D6" s="6" t="s">
        <v>1307</v>
      </c>
      <c r="E6" s="6" t="s">
        <v>1308</v>
      </c>
    </row>
    <row r="7" customFormat="false" ht="46.25" hidden="false" customHeight="false" outlineLevel="0" collapsed="false">
      <c r="A7" s="7" t="s">
        <v>1309</v>
      </c>
      <c r="B7" s="7" t="s">
        <v>1310</v>
      </c>
      <c r="C7" s="7" t="n">
        <v>21</v>
      </c>
      <c r="D7" s="7" t="s">
        <v>1311</v>
      </c>
      <c r="E7" s="7" t="s">
        <v>1312</v>
      </c>
    </row>
    <row r="8" customFormat="false" ht="23.85" hidden="false" customHeight="false" outlineLevel="0" collapsed="false">
      <c r="A8" s="6" t="s">
        <v>1313</v>
      </c>
      <c r="B8" s="6" t="s">
        <v>795</v>
      </c>
      <c r="C8" s="6" t="n">
        <v>7</v>
      </c>
      <c r="D8" s="6" t="s">
        <v>1314</v>
      </c>
      <c r="E8" s="6" t="s">
        <v>1315</v>
      </c>
    </row>
    <row r="9" customFormat="false" ht="46.25" hidden="false" customHeight="false" outlineLevel="0" collapsed="false">
      <c r="A9" s="7" t="s">
        <v>1316</v>
      </c>
      <c r="B9" s="7" t="s">
        <v>469</v>
      </c>
      <c r="C9" s="7" t="n">
        <v>10</v>
      </c>
      <c r="D9" s="7" t="s">
        <v>1317</v>
      </c>
      <c r="E9" s="7" t="s">
        <v>1318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2026-09-05T22:34:23Z</dcterms:created>
  <dc:creator>openpyxl</dc:creator>
  <dc:description/>
  <dc:language>en-US</dc:language>
  <cp:lastModifiedBy/>
  <dcterms:modified xsi:type="dcterms:W3CDTF">2026-09-05T22:34:23Z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