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Danh mục tính năng (FR)" sheetId="2" state="visible" r:id="rId4"/>
    <sheet name="Cam kết chất lượng (NFR)" sheetId="3" state="visible" r:id="rId5"/>
    <sheet name="Lộ trình 5 Phase" sheetId="4" state="visible" r:id="rId6"/>
  </sheets>
  <definedNames>
    <definedName function="false" hidden="true" localSheetId="2" name="_xlnm._FilterDatabase" vbProcedure="false">'Cam kết chất lượng (NFR)'!$A$2:$E$52</definedName>
    <definedName function="false" hidden="true" localSheetId="1" name="_xlnm._FilterDatabase" vbProcedure="false">'Danh mục tính năng (FR)'!$A$2:$F$139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<sst xmlns="http://schemas.openxmlformats.org/spreadsheetml/2006/main" count="1181" uniqueCount="677">
  <si>
    <t xml:space="preserve">GEDITOR FOR MACOS — TỔNG HỢP TÍNH NĂNG SẢN PHẨM</t>
  </si>
  <si>
    <t xml:space="preserve">Trình soạn thảo file hàng Gigabyte · CÔNG TY TNHH MOBILUCK · code247.ai · 20/08/2026 · Nguồn: bộ tài liệu thiết kế v2.0 (SRS v1.9)</t>
  </si>
  <si>
    <t xml:space="preserve">CON SỐ TỔNG (tự đếm từ các sheet — luôn khớp danh mục)</t>
  </si>
  <si>
    <t xml:space="preserve">Tổng tính năng (FR)</t>
  </si>
  <si>
    <t xml:space="preserve">Tổng cam kết chất lượng (NFR)</t>
  </si>
  <si>
    <t xml:space="preserve">Tính năng P0 — chặn phát hành</t>
  </si>
  <si>
    <t xml:space="preserve">Tính năng P1</t>
  </si>
  <si>
    <t xml:space="preserve">Tính năng P2 (kể cả các Pack)</t>
  </si>
  <si>
    <t xml:space="preserve">Nhóm tính năng</t>
  </si>
  <si>
    <t xml:space="preserve">15</t>
  </si>
  <si>
    <t xml:space="preserve">CHUỖI GIÁ TRỊ DỮ LIỆU — 8 mắt xích khép kín trên MỘT ứng dụng</t>
  </si>
  <si>
    <t xml:space="preserve">1 · MỞ</t>
  </si>
  <si>
    <t xml:space="preserve">File text/CSV/JSONL hàng Gigabyte — Excel và editor thường mở không nổi (KPI: 1 GB ≤ 8 giây, cuộn 60 fps)</t>
  </si>
  <si>
    <t xml:space="preserve">2 · NHÌN</t>
  </si>
  <si>
    <t xml:space="preserve">Data Profile 1 giây biết ngay: kiểu, %null, distinct, outlier, phân bố</t>
  </si>
  <si>
    <t xml:space="preserve">3 · HỎI</t>
  </si>
  <si>
    <t xml:space="preserve">Filter không cần SQL → Pivot kéo-thả sinh SQL → Workbench DuckDB đầy đủ</t>
  </si>
  <si>
    <t xml:space="preserve">4 · HIỂU</t>
  </si>
  <si>
    <t xml:space="preserve">Quick Charts + Data Mining: bất thường có giải thích, phân cụm, dự báo so baseline</t>
  </si>
  <si>
    <t xml:space="preserve">5 · LÀM SẠCH</t>
  </si>
  <si>
    <t xml:space="preserve">Bàn làm sạch một cửa: ngày/số/null/trùng mờ — preview, 1 undo, báo cáo</t>
  </si>
  <si>
    <t xml:space="preserve">6 · TRÌNH BÀY</t>
  </si>
  <si>
    <t xml:space="preserve">Report .greport.md: báo cáo là văn bản — diff/Git/batch 63 tỉnh/xuất PDF</t>
  </si>
  <si>
    <t xml:space="preserve">7 · TRI THỨC</t>
  </si>
  <si>
    <t xml:space="preserve">Knowledge Pack: Graph query + soạn + refactor, BM25 RAG Lab, context package GraphRAG</t>
  </si>
  <si>
    <t xml:space="preserve">8 · TỰ ĐỘNG HÓA</t>
  </si>
  <si>
    <t xml:space="preserve">Macro, Recipe, CLI, và Agent BYOK — nói tiếng Việt, máy làm, người duyệt</t>
  </si>
  <si>
    <t xml:space="preserve">BẤT BIẾN THIẾT KẾ — những lời hứa có test case bảo vệ</t>
  </si>
  <si>
    <t xml:space="preserve">✓</t>
  </si>
  <si>
    <t xml:space="preserve">Nhẹ tuyệt đối: khởi động ≤ 500 ms · RAM nghỉ ≤ 80 MB · các Pack zero-cost khi tắt (chênh ≤ 1%)</t>
  </si>
  <si>
    <t xml:space="preserve">Không mất dữ liệu: lưu atomic, snapshot 10 giây, khôi phục sau sự cố — mọi biến đổi hàng loạt là 1 bước undo</t>
  </si>
  <si>
    <t xml:space="preserve">Phân tích chỉ-đọc: query/chart/mining/report không bao giờ sửa file nguồn (kiểm checksum trong test)</t>
  </si>
  <si>
    <t xml:space="preserve">Riêng tư: zero telemetry; Agent BYOK — key trong Keychain, egress duy nhất là provider bạn chọn</t>
  </si>
  <si>
    <t xml:space="preserve">Giải thích được: mining/graph/BM25 là thuật toán cổ điển tự cài đặt, tất định, kèm khối Phương pháp — không black-box, không dependency ML</t>
  </si>
  <si>
    <t xml:space="preserve">Tiếng Việt hạng nhất: IME Telex/EVKey là tiêu chí CHẶN PHÁT HÀNH; sửa mojibake TCVN3/VNI; tokenizer âm tiết Việt</t>
  </si>
  <si>
    <t xml:space="preserve">15 NHÓM TÍNH NĂNG (đếm tự động theo nhóm)</t>
  </si>
  <si>
    <t xml:space="preserve">Nhóm</t>
  </si>
  <si>
    <t xml:space="preserve">Số FR</t>
  </si>
  <si>
    <t xml:space="preserve">Một câu về nhóm</t>
  </si>
  <si>
    <t xml:space="preserve">Soạn thảo lõi</t>
  </si>
  <si>
    <t xml:space="preserve">Multi-caret, cột, sắp xếp, khử trùng lặp — cỗ máy xử lý dòng</t>
  </si>
  <si>
    <t xml:space="preserve">Tìm kiếm &amp; thay thế</t>
  </si>
  <si>
    <t xml:space="preserve">Regex PCRE2 công nghiệp, Mark lọc dòng, Find-in-Files dry-run</t>
  </si>
  <si>
    <t xml:space="preserve">Bảng mã &amp; tiếng Việt</t>
  </si>
  <si>
    <t xml:space="preserve">Sửa mojibake, TCVN3/VNI, NFC/NFD, ký tự ẩn</t>
  </si>
  <si>
    <t xml:space="preserve">Tài liệu &amp; file lớn</t>
  </si>
  <si>
    <t xml:space="preserve">Tab/phiên/snapshot, Large File Mode hàng GB, theo dõi log</t>
  </si>
  <si>
    <t xml:space="preserve">CSV first-class</t>
  </si>
  <si>
    <t xml:space="preserve">Rainbow, Table view song song, thao tác cột an toàn</t>
  </si>
  <si>
    <t xml:space="preserve">Định dạng &amp; ngôn ngữ</t>
  </si>
  <si>
    <t xml:space="preserve">Tree-sitter, UDL, folding, JSON/XML/Markdown</t>
  </si>
  <si>
    <t xml:space="preserve">Tự động hóa</t>
  </si>
  <si>
    <t xml:space="preserve">Macro batch, JavaScript, Text Filter, CLI geditor</t>
  </si>
  <si>
    <t xml:space="preserve">Hệ sinh thái plugin</t>
  </si>
  <si>
    <t xml:space="preserve">XPC cách ly, ký số, Plugin Manager</t>
  </si>
  <si>
    <t xml:space="preserve">Giao diện &amp; cá nhân hóa</t>
  </si>
  <si>
    <t xml:space="preserve">Theme, Shortcut Mapper preset Notepad++, i18n</t>
  </si>
  <si>
    <t xml:space="preserve">Làm sạch &amp; chuẩn hóa</t>
  </si>
  <si>
    <t xml:space="preserve">Chuẩn hóa ngày/số, null, Data Profile, Recipe</t>
  </si>
  <si>
    <t xml:space="preserve">Truy vấn &amp; phân tích</t>
  </si>
  <si>
    <t xml:space="preserve">SQL Workbench, Filter, Pivot sinh SQL, Quick Charts</t>
  </si>
  <si>
    <t xml:space="preserve">Visualization Report</t>
  </si>
  <si>
    <t xml:space="preserve">.greport.md — báo cáo là văn bản, xuất HTML/PDF</t>
  </si>
  <si>
    <t xml:space="preserve">Data Mining</t>
  </si>
  <si>
    <t xml:space="preserve">Bất thường, phân cụm, Apriori, dự báo, tương quan, text</t>
  </si>
  <si>
    <t xml:space="preserve">Knowledge Pack (Graph/RAG)</t>
  </si>
  <si>
    <t xml:space="preserve">JSONL, Graph query/soạn/refactor, BM25 Lab, GraphRAG</t>
  </si>
  <si>
    <t xml:space="preserve">Agent Pack (BYOK)</t>
  </si>
  <si>
    <t xml:space="preserve">Agent qua Editor API, diff duyệt, chi phí, lệnh lặp</t>
  </si>
  <si>
    <t xml:space="preserve">DANH MỤC 137 TÍNH NĂNG — nguồn: SRS MBL-SRS-GEDIT-001 v1.9</t>
  </si>
  <si>
    <t xml:space="preserve">Mã</t>
  </si>
  <si>
    <t xml:space="preserve">Tên tính năng</t>
  </si>
  <si>
    <t xml:space="preserve">Mô tả</t>
  </si>
  <si>
    <t xml:space="preserve">Ưu tiên</t>
  </si>
  <si>
    <t xml:space="preserve">Phase</t>
  </si>
  <si>
    <t xml:space="preserve">FR-CORE-001</t>
  </si>
  <si>
    <t xml:space="preserve">Multi-caret / multi-selection</t>
  </si>
  <si>
    <t xml:space="preserve">Cho phép đặt nhiều con trỏ đồng thời bằng Cmd+Click; Cmd+D chọn lần xuất hiện kế tiếp của từ/vùng chọn; mọi thao tác gõ, xóa, dán áp dụng đồng thời trên tất cả caret.</t>
  </si>
  <si>
    <t xml:space="preserve">P0</t>
  </si>
  <si>
    <t xml:space="preserve">1</t>
  </si>
  <si>
    <t xml:space="preserve">FR-CORE-002</t>
  </si>
  <si>
    <t xml:space="preserve">Chế độ chọn cột (Column mode)</t>
  </si>
  <si>
    <t xml:space="preserve">Chọn khối chữ nhật bằng Option+kéo chuột hoặc Option+Cmd+phím mũi tên; hỗ trợ gõ, xóa, dán theo cột; dán khối cột vào vị trí caret giữ đúng hình chữ nhật.</t>
  </si>
  <si>
    <t xml:space="preserve">FR-CORE-003</t>
  </si>
  <si>
    <t xml:space="preserve">Column Editor</t>
  </si>
  <si>
    <t xml:space="preserve">Chèn văn bản cố định hoặc dãy số tăng dần (thập phân/hex/octal/binary, bước nhảy, số chữ số đệm 0) và dãy ngày tăng dần vào mọi dòng của vùng chọn cột.</t>
  </si>
  <si>
    <t xml:space="preserve">FR-CORE-004</t>
  </si>
  <si>
    <t xml:space="preserve">Undo/Redo không giới hạn</t>
  </si>
  <si>
    <t xml:space="preserve">Lịch sử undo không giới hạn trong phiên (giới hạn bởi bộ nhớ), gom nhóm theo thao tác logic, được bảo toàn sau khi lưu file.</t>
  </si>
  <si>
    <t xml:space="preserve">FR-CORE-005</t>
  </si>
  <si>
    <t xml:space="preserve">Sắp xếp dòng</t>
  </si>
  <si>
    <t xml:space="preserve">Sort tăng/giảm theo: từ điển (có/không phân biệt hoa thường), số nguyên, số thực, natural sort; sort theo cột thứ N với delimiter chỉ định.</t>
  </si>
  <si>
    <t xml:space="preserve">FR-CORE-006</t>
  </si>
  <si>
    <t xml:space="preserve">Khử trùng lặp dòng</t>
  </si>
  <si>
    <t xml:space="preserve">Xóa dòng trùng lặp trên toàn tài liệu hoặc chỉ các dòng trùng liên tiếp; tùy chọn giữ lần xuất hiện đầu/cuối.</t>
  </si>
  <si>
    <t xml:space="preserve">FR-CORE-007</t>
  </si>
  <si>
    <t xml:space="preserve">Thao tác dòng</t>
  </si>
  <si>
    <t xml:space="preserve">Join lines, split line theo độ dài/ký tự, move line up/down, duplicate line/selection, đảo ngược thứ tự dòng.</t>
  </si>
  <si>
    <t xml:space="preserve">FR-CORE-008</t>
  </si>
  <si>
    <t xml:space="preserve">Thao tác khoảng trắng</t>
  </si>
  <si>
    <t xml:space="preserve">Trim khoảng trắng đầu/cuối/cả hai phía; xóa dòng trống (kể cả dòng chỉ chứa khoảng trắng); nén nhiều dòng trống liên tiếp thành một; tùy chọn trim-on-save theo loại file.</t>
  </si>
  <si>
    <t xml:space="preserve">FR-CORE-009</t>
  </si>
  <si>
    <t xml:space="preserve">Chuyển đổi TAB ↔ Space</t>
  </si>
  <si>
    <t xml:space="preserve">Chuyển đổi hai chiều theo tab width hiện hành; cấu hình tab/space và độ rộng theo từng ngôn ngữ.</t>
  </si>
  <si>
    <t xml:space="preserve">FR-CORE-010</t>
  </si>
  <si>
    <t xml:space="preserve">Chuyển đổi hoa/thường</t>
  </si>
  <si>
    <t xml:space="preserve">UPPERCASE, lowercase, Proper Case, Sentence case, iNVERT, ranDOM; bổ sung chuyển đổi camelCase / snake_case / kebab-case.</t>
  </si>
  <si>
    <t xml:space="preserve">P1</t>
  </si>
  <si>
    <t xml:space="preserve">FR-CORE-011</t>
  </si>
  <si>
    <t xml:space="preserve">Tự động thụt lề</t>
  </si>
  <si>
    <t xml:space="preserve">Giữ indent dòng trước; smart indent theo cấu trúc cú pháp từ tree-sitter cho ngôn ngữ được hỗ trợ.</t>
  </si>
  <si>
    <t xml:space="preserve">FR-CORE-012</t>
  </si>
  <si>
    <t xml:space="preserve">Khớp ngoặc / thẻ</t>
  </si>
  <si>
    <t xml:space="preserve">Highlight cặp ngoặc (), [], {} và cặp thẻ XML/HTML tương ứng; phím tắt nhảy tới ngoặc đối ứng.</t>
  </si>
  <si>
    <t xml:space="preserve">FR-CORE-013</t>
  </si>
  <si>
    <t xml:space="preserve">Tự hoàn thành</t>
  </si>
  <si>
    <t xml:space="preserve">Gợi ý từ đã xuất hiện trong tài liệu; hàm/tham số theo file định nghĩa API; khớp mờ (fuzzy); bật/tắt và ngưỡng ký tự cấu hình được.</t>
  </si>
  <si>
    <t xml:space="preserve">2</t>
  </si>
  <si>
    <t xml:space="preserve">FR-CORE-014</t>
  </si>
  <si>
    <t xml:space="preserve">Comment nhanh</t>
  </si>
  <si>
    <t xml:space="preserve">Cmd+/ bật/tắt line comment và block comment theo định nghĩa ngôn ngữ hiện hành.</t>
  </si>
  <si>
    <t xml:space="preserve">FR-CORE-015</t>
  </si>
  <si>
    <t xml:space="preserve">Word wrap</t>
  </si>
  <si>
    <t xml:space="preserve">Ba chế độ: tắt / wrap theo chiều rộng cửa sổ / wrap tại cột chỉ định; hiển thị ký hiệu wrap; giữ indent phần wrap.</t>
  </si>
  <si>
    <t xml:space="preserve">FR-CORE-016</t>
  </si>
  <si>
    <t xml:space="preserve">Thu phóng</t>
  </si>
  <si>
    <t xml:space="preserve">Cmd +/− thay đổi cỡ chữ theo từng view; Cmd+0 khôi phục; ghi nhớ theo phiên.</t>
  </si>
  <si>
    <t xml:space="preserve">P2</t>
  </si>
  <si>
    <t xml:space="preserve">FR-CORE-017</t>
  </si>
  <si>
    <t xml:space="preserve">Lịch sử clipboard</t>
  </si>
  <si>
    <t xml:space="preserve">Lưu N mục copy gần nhất trong phiên, dán lại từ danh sách (multi-paste).</t>
  </si>
  <si>
    <t xml:space="preserve">FR-CORE-018</t>
  </si>
  <si>
    <t xml:space="preserve">Thông tin vị trí</t>
  </si>
  <si>
    <t xml:space="preserve">Status bar hiển thị dòng, cột, offset, số ký tự/dòng của vùng chọn, tổng độ dài tài liệu; cập nhật thời gian thực.</t>
  </si>
  <si>
    <t xml:space="preserve">FR-SRCH-101</t>
  </si>
  <si>
    <t xml:space="preserve">Ba chế độ tìm kiếm</t>
  </si>
  <si>
    <t xml:space="preserve">Normal (chuỗi thuần), Extended (\n, \r, \t, \0, \xNN), Regular Expression; áp dụng thống nhất cho Find, Replace, Find in Files, Mark.</t>
  </si>
  <si>
    <t xml:space="preserve">FR-SRCH-102</t>
  </si>
  <si>
    <t xml:space="preserve">Regex engine đầy đủ</t>
  </si>
  <si>
    <t xml:space="preserve">Engine PCRE2 (hoặc Oniguruma) có JIT trên cả arm64 và x86_64: lookahead/lookbehind, backreference, named group, \K, inline modifier (?i)(?m)(?s), multiline.</t>
  </si>
  <si>
    <t xml:space="preserve">FR-SRCH-103</t>
  </si>
  <si>
    <t xml:space="preserve">Biến đổi chuỗi thay thế</t>
  </si>
  <si>
    <t xml:space="preserve">Chuỗi replace hỗ trợ tham chiếu nhóm $1/\1 và biến đổi hoa thường \u \l \U \L \E; thay thế có điều kiện theo nhóm khớp.</t>
  </si>
  <si>
    <t xml:space="preserve">FR-SRCH-104</t>
  </si>
  <si>
    <t xml:space="preserve">Regex an toàn</t>
  </si>
  <si>
    <t xml:space="preserve">Giới hạn thời gian/số bước thực thi để chống catastrophic backtracking; người dùng có thể hủy giữa chừng; UI không bao giờ bị treo bởi regex.</t>
  </si>
  <si>
    <t xml:space="preserve">FR-SRCH-105</t>
  </si>
  <si>
    <t xml:space="preserve">Find All &amp; Search Results</t>
  </si>
  <si>
    <t xml:space="preserve">Find All trong tài liệu hiện tại / mọi tài liệu đang mở; kết quả gom vào panel với ngữ cảnh dòng, lịch sử nhiều lượt tìm, double-click nhảy tới vị trí, export kết quả ra file.</t>
  </si>
  <si>
    <t xml:space="preserve">FR-SRCH-106</t>
  </si>
  <si>
    <t xml:space="preserve">Find/Replace in Files</t>
  </si>
  <si>
    <t xml:space="preserve">Tìm đệ quy trong thư mục với mask include/exclude (*.csv;*.log), chạy đa luồng, có tiến trình và nút hủy; Replace in Files hiển thị preview diff (dry-run) trước khi ghi.</t>
  </si>
  <si>
    <t xml:space="preserve">1–2</t>
  </si>
  <si>
    <t xml:space="preserve">FR-SRCH-107</t>
  </si>
  <si>
    <t xml:space="preserve">Mark &amp; lọc dòng</t>
  </si>
  <si>
    <t xml:space="preserve">Mark All theo pattern (highlight + bookmark); Copy/Cut/Delete các dòng được mark; Remove Unmarked Lines; đảo mark; bookmark tối thiểu 9 màu độc lập.</t>
  </si>
  <si>
    <t xml:space="preserve">FR-SRCH-108</t>
  </si>
  <si>
    <t xml:space="preserve">Tìm kiếm tăng dần</t>
  </si>
  <si>
    <t xml:space="preserve">Thanh tìm inline hiển thị kết quả ngay khi gõ; Select and Find Next (Cmd+E, Cmd+G) theo chuẩn macOS.</t>
  </si>
  <si>
    <t xml:space="preserve">FR-SRCH-109</t>
  </si>
  <si>
    <t xml:space="preserve">Đếm &amp; highlight</t>
  </si>
  <si>
    <t xml:space="preserve">Đếm số lần khớp; highlight toàn bộ kết quả thời gian thực (tự tắt khi vượt ngưỡng kích thước file để giữ hiệu năng).</t>
  </si>
  <si>
    <t xml:space="preserve">FR-SRCH-110</t>
  </si>
  <si>
    <t xml:space="preserve">Regex tester/explainer</t>
  </si>
  <si>
    <t xml:space="preserve">Panel giải thích cấu trúc pattern và minh họa khớp theo thời gian thực trên văn bản mẫu.</t>
  </si>
  <si>
    <t xml:space="preserve">FR-SRCH-111</t>
  </si>
  <si>
    <t xml:space="preserve">Go to Line</t>
  </si>
  <si>
    <t xml:space="preserve">Cmd+L nhảy tới dòng:cột; chấp nhận cú pháp "dòng,cột" hoặc offset.</t>
  </si>
  <si>
    <t xml:space="preserve">FR-ENC-201</t>
  </si>
  <si>
    <t xml:space="preserve">Bảng mã hỗ trợ</t>
  </si>
  <si>
    <t xml:space="preserve">UTF-8 (±BOM), UTF-16 LE/BE, UTF-32, Windows-1250…1258 (bao gồm 1258 tiếng Việt), ISO-8859-x, Shift-JIS, GB18030, EUC-KR, Big5; bảng mã Việt legacy TCVN3, VNI, VISCII (P1, Phase 2).</t>
  </si>
  <si>
    <t xml:space="preserve">FR-ENC-202</t>
  </si>
  <si>
    <t xml:space="preserve">Tự nhận diện bảng mã</t>
  </si>
  <si>
    <t xml:space="preserve">Phát hiện encoding khi mở file kèm mức độ tin cậy; cho phép người dùng diễn giải lại (reinterpret) nếu nhận sai; cảnh báo khi văn bản chứa byte không hợp lệ.</t>
  </si>
  <si>
    <t xml:space="preserve">FR-ENC-203</t>
  </si>
  <si>
    <t xml:space="preserve">Encode-in vs Convert-to</t>
  </si>
  <si>
    <t xml:space="preserve">Tách bạch hai thao tác: diễn giải lại byte theo bảng mã khác và chuyển đổi thực sự nội dung sang bảng mã đích; có xem trước kết quả trước khi convert.</t>
  </si>
  <si>
    <t xml:space="preserve">FR-ENC-204</t>
  </si>
  <si>
    <t xml:space="preserve">Chuyển đổi EOL</t>
  </si>
  <si>
    <t xml:space="preserve">Hiển thị kiểu xuống dòng hiện tại; chuyển đổi CRLF/LF/CR; phát hiện và cảnh báo file trộn lẫn nhiều kiểu EOL kèm nút chuẩn hóa một bước.</t>
  </si>
  <si>
    <t xml:space="preserve">FR-ENC-205</t>
  </si>
  <si>
    <t xml:space="preserve">Hiện ký tự ẩn</t>
  </si>
  <si>
    <t xml:space="preserve">Hiển thị space, tab, EOL, NBSP, ký tự zero-width, ký tự điều khiển và chỉ báo BOM; màu sắc render tùy biến; bật/tắt từng nhóm.</t>
  </si>
  <si>
    <t xml:space="preserve">FR-ENC-206</t>
  </si>
  <si>
    <t xml:space="preserve">Chuẩn hóa Unicode</t>
  </si>
  <si>
    <t xml:space="preserve">Chuẩn hóa NFC/NFD/NFKC/NFKD toàn tài liệu hoặc vùng chọn; tùy chọn normalize-on-save; hiển thị codepoint của ký tự dưới caret (đặc biệt quan trọng cho tiếng Việt NFC/NFD trên macOS).</t>
  </si>
  <si>
    <t xml:space="preserve">FR-ENC-207</t>
  </si>
  <si>
    <t xml:space="preserve">Mặc định cho file mới</t>
  </si>
  <si>
    <t xml:space="preserve">Cấu hình encoding và EOL mặc định khi tạo file mới, theo toàn cục và theo loại file.</t>
  </si>
  <si>
    <t xml:space="preserve">FR-DOC-301</t>
  </si>
  <si>
    <t xml:space="preserve">Quản lý tab</t>
  </si>
  <si>
    <t xml:space="preserve">Tab đa tài liệu: kéo đổi vị trí, ghim, tô màu tab, chấm bẩn (dirty); menu ngữ cảnh Close Others/Left/Right, Copy Path, Reveal in Finder.</t>
  </si>
  <si>
    <t xml:space="preserve">FR-DOC-302</t>
  </si>
  <si>
    <t xml:space="preserve">Chia đôi màn hình</t>
  </si>
  <si>
    <t xml:space="preserve">Split 2 pane dọc/ngang; clone cùng một tài liệu ở 2 pane (đồng bộ nội dung, độc lập vị trí cuộn); kéo thả tab giữa các pane và giữa các cửa sổ.</t>
  </si>
  <si>
    <t xml:space="preserve">FR-DOC-303</t>
  </si>
  <si>
    <t xml:space="preserve">Session</t>
  </si>
  <si>
    <t xml:space="preserve">Tự động lưu và khôi phục toàn bộ trạng thái phiên làm việc: danh sách tab, vị trí caret, cả các tài liệu chưa lưu (snapshot); hỗ trợ nhiều cửa sổ.</t>
  </si>
  <si>
    <t xml:space="preserve">FR-DOC-304</t>
  </si>
  <si>
    <t xml:space="preserve">Autosave bản nháp</t>
  </si>
  <si>
    <t xml:space="preserve">Sao lưu định kỳ nội dung chưa lưu (chu kỳ 5–30 giây cấu hình được); khôi phục 100% sau crash hoặc mất điện.</t>
  </si>
  <si>
    <t xml:space="preserve">FR-DOC-305</t>
  </si>
  <si>
    <t xml:space="preserve">macOS Versions</t>
  </si>
  <si>
    <t xml:space="preserve">Tích hợp Versions API: duyệt và khôi phục các bản đã lưu trước đó theo giao diện lịch sử của hệ điều hành.</t>
  </si>
  <si>
    <t xml:space="preserve">3</t>
  </si>
  <si>
    <t xml:space="preserve">FR-DOC-306</t>
  </si>
  <si>
    <t xml:space="preserve">Document Map</t>
  </si>
  <si>
    <t xml:space="preserve">Minimap thu nhỏ toàn tài liệu bên phải với khung viewport; click/kéo để điều hướng.</t>
  </si>
  <si>
    <t xml:space="preserve">FR-DOC-307</t>
  </si>
  <si>
    <t xml:space="preserve">Function List</t>
  </si>
  <si>
    <t xml:space="preserve">Danh sách hàm/heading/section của tài liệu dựa trên truy vấn tree-sitter; tùy biến quy tắc theo ngôn ngữ; click nhảy tới định nghĩa.</t>
  </si>
  <si>
    <t xml:space="preserve">FR-DOC-308</t>
  </si>
  <si>
    <t xml:space="preserve">Folder as Workspace</t>
  </si>
  <si>
    <t xml:space="preserve">Sidebar cây thư mục; theo dõi thay đổi qua FSEvents; lọc nhanh theo tên; thao tác file cơ bản (tạo, đổi tên, xóa vào Thùng rác).</t>
  </si>
  <si>
    <t xml:space="preserve">FR-DOC-309</t>
  </si>
  <si>
    <t xml:space="preserve">Theo dõi file (tail -f)</t>
  </si>
  <si>
    <t xml:space="preserve">Phát hiện file bị thay đổi bên ngoài (hỏi/tự reload theo cấu hình); chế độ Monitoring tự cuộn xuống cuối và highlight dòng mới cho file log đang ghi.</t>
  </si>
  <si>
    <t xml:space="preserve">FR-DOC-310</t>
  </si>
  <si>
    <t xml:space="preserve">Chế độ file lớn</t>
  </si>
  <si>
    <t xml:space="preserve">Dùng memory-mapped I/O và layout theo viewport; tự động tắt syntax highlight, word wrap, highlight-all trên ngưỡng cấu hình; mục tiêu thao tác mượt với file 2–4 GB.</t>
  </si>
  <si>
    <t xml:space="preserve">FR-DOC-311</t>
  </si>
  <si>
    <t xml:space="preserve">Chỉ đọc &amp; quyền</t>
  </si>
  <si>
    <t xml:space="preserve">Chế độ read-only do người dùng đặt hoặc do quyền file; hiển thị trạng thái khóa trên tab và status bar.</t>
  </si>
  <si>
    <t xml:space="preserve">FR-DOC-312</t>
  </si>
  <si>
    <t xml:space="preserve">File gần đây</t>
  </si>
  <si>
    <t xml:space="preserve">Danh sách file/thư mục gần đây; Reopen Last Closed Tab (Cmd+Shift+T).</t>
  </si>
  <si>
    <t xml:space="preserve">FR-DOC-313</t>
  </si>
  <si>
    <t xml:space="preserve">In ấn</t>
  </si>
  <si>
    <t xml:space="preserve">In với syntax highlight, header/footer (tên file, số trang, ngày), hộp thoại Page Setup chuẩn macOS.</t>
  </si>
  <si>
    <t xml:space="preserve">FR-DOC-314</t>
  </si>
  <si>
    <t xml:space="preserve">Lưu nâng cao</t>
  </si>
  <si>
    <t xml:space="preserve">Save As với lựa chọn encoding/EOL; Duplicate, Rename, Move theo mô hình document-based app của macOS; ghi file kiểu atomic (ghi tạm rồi đổi tên).</t>
  </si>
  <si>
    <t xml:space="preserve">FR-CSV-401</t>
  </si>
  <si>
    <t xml:space="preserve">Chế độ CSV-aware</t>
  </si>
  <si>
    <t xml:space="preserve">Tự nhận diện delimiter (phẩy, chấm phẩy, tab, |) và ký tự quote; parser tuân thủ RFC 4180: field trong ngoặc kép, escape ngoặc kép đôi, xuống dòng bên trong field.</t>
  </si>
  <si>
    <t xml:space="preserve">FR-CSV-402</t>
  </si>
  <si>
    <t xml:space="preserve">Tô màu theo cột</t>
  </si>
  <si>
    <t xml:space="preserve">Rainbow columns: mỗi cột một màu nhất quán; dòng header dính (sticky) khi cuộn; tooltip tên cột tại vị trí caret.</t>
  </si>
  <si>
    <t xml:space="preserve">FR-CSV-403</t>
  </si>
  <si>
    <t xml:space="preserve">Table view</t>
  </si>
  <si>
    <t xml:space="preserve">Chế độ xem dạng lưới chuyển đổi tức thời với text view: sort theo cột, thay đổi độ rộng, ẩn/hiện cột; chỉnh sửa ô ghi ngược về văn bản nguồn với escape đúng chuẩn (P1).</t>
  </si>
  <si>
    <t xml:space="preserve">FR-CSV-404</t>
  </si>
  <si>
    <t xml:space="preserve">Thao tác cột theo field</t>
  </si>
  <si>
    <t xml:space="preserve">Xóa, chèn, hoán vị, trích xuất cột theo đúng ngữ nghĩa field (an toàn với quoted field chứa delimiter), không phụ thuộc vị trí ký tự.</t>
  </si>
  <si>
    <t xml:space="preserve">FR-CSV-405</t>
  </si>
  <si>
    <t xml:space="preserve">Validate &amp; lint</t>
  </si>
  <si>
    <t xml:space="preserve">Kiểm tra số cột đồng nhất giữa các dòng, suy luận và kiểm tra kiểu dữ liệu theo cột (số, ngày, chuỗi); danh sách lỗi cho phép nhảy tới dòng lỗi.</t>
  </si>
  <si>
    <t xml:space="preserve">FR-CSV-406</t>
  </si>
  <si>
    <t xml:space="preserve">Chuyển đổi định dạng</t>
  </si>
  <si>
    <t xml:space="preserve">CSV ↔ TSV ↔ JSON ↔ XML ↔ bảng Markdown ↔ câu lệnh SQL INSERT; đổi delimiter, ký tự quote và encoding trong một bước.</t>
  </si>
  <si>
    <t xml:space="preserve">FR-CSV-407</t>
  </si>
  <si>
    <t xml:space="preserve">Truy vấn SQL</t>
  </si>
  <si>
    <t xml:space="preserve">Nhúng DuckDB: chạy SQL trực tiếp trên file CSV/TSV đang mở; kết quả xuất ra tab mới hoặc export CSV/JSON.</t>
  </si>
  <si>
    <t xml:space="preserve">FR-CSV-408</t>
  </si>
  <si>
    <t xml:space="preserve">Thống kê cột</t>
  </si>
  <si>
    <t xml:space="preserve">Đếm bản ghi, giá trị distinct, null; min/max/trung bình cho cột số; hiển thị trong panel thống kê.</t>
  </si>
  <si>
    <t xml:space="preserve">FR-FMT-501</t>
  </si>
  <si>
    <t xml:space="preserve">Syntax highlighting</t>
  </si>
  <si>
    <t xml:space="preserve">Engine tree-sitter (incremental, chính xác theo cú pháp): tối thiểu 20 ngôn ngữ ở Phase 1 và 60 ngôn ngữ ở Phase 3; fallback grammar TextMate (.tmLanguage) qua Oniguruma.</t>
  </si>
  <si>
    <t xml:space="preserve">1–3</t>
  </si>
  <si>
    <t xml:space="preserve">FR-FMT-502</t>
  </si>
  <si>
    <t xml:space="preserve">Ngôn ngữ tự định nghĩa</t>
  </si>
  <si>
    <t xml:space="preserve">Người dùng thêm ngôn ngữ mới không cần lập trình: import file .tmLanguage/JSON (Phase 2) và GUI Language Designer trực quan tương đương UDL của Notepad++ (Phase 3).</t>
  </si>
  <si>
    <t xml:space="preserve">2–3</t>
  </si>
  <si>
    <t xml:space="preserve">FR-FMT-503</t>
  </si>
  <si>
    <t xml:space="preserve">Code folding</t>
  </si>
  <si>
    <t xml:space="preserve">Gập theo cấu trúc cú pháp (hàm, block, thẻ XML) và theo mức indent (Python, YAML); Fold All / Unfold All / fold theo cấp.</t>
  </si>
  <si>
    <t xml:space="preserve">FR-FMT-504</t>
  </si>
  <si>
    <t xml:space="preserve">Công cụ JSON</t>
  </si>
  <si>
    <t xml:space="preserve">Format (pretty), minify, validate kèm vị trí lỗi, tree navigator, truy vấn JSONPath, sắp xếp key.</t>
  </si>
  <si>
    <t xml:space="preserve">FR-FMT-505</t>
  </si>
  <si>
    <t xml:space="preserve">Công cụ XML</t>
  </si>
  <si>
    <t xml:space="preserve">Pretty print, validate theo XSD/DTD, đánh giá XPath, tự đóng thẻ, khớp cặp thẻ.</t>
  </si>
  <si>
    <t xml:space="preserve">FR-FMT-506</t>
  </si>
  <si>
    <t xml:space="preserve">Markdown preview</t>
  </si>
  <si>
    <t xml:space="preserve">Panel xem trước song song render bằng WKWebView, đồng bộ cuộn hai chiều, sinh mục lục.</t>
  </si>
  <si>
    <t xml:space="preserve">FR-FMT-507</t>
  </si>
  <si>
    <t xml:space="preserve">YAML/TOML/INI</t>
  </si>
  <si>
    <t xml:space="preserve">Highlight, folding theo indent/section, lint cơ bản (thụt lề sai, key trùng).</t>
  </si>
  <si>
    <t xml:space="preserve">FR-FMT-508</t>
  </si>
  <si>
    <t xml:space="preserve">Chế độ Log</t>
  </si>
  <si>
    <t xml:space="preserve">Highlight theo mức severity (ERROR/WARN/INFO/DEBUG), kết hợp Mark để lọc dòng; template log format tùy biến.</t>
  </si>
  <si>
    <t xml:space="preserve">FR-AUTO-601</t>
  </si>
  <si>
    <t xml:space="preserve">Ghi macro</t>
  </si>
  <si>
    <t xml:space="preserve">Ghi lại chuỗi thao tác bàn phím, lệnh menu và thao tác Find/Replace (kể cả regex); phát lại; lưu macro có tên vĩnh viễn; gán phím tắt cho macro đã lưu.</t>
  </si>
  <si>
    <t xml:space="preserve">FR-AUTO-602</t>
  </si>
  <si>
    <t xml:space="preserve">Chạy macro hàng loạt</t>
  </si>
  <si>
    <t xml:space="preserve">Chạy macro N lần, chạy đến cuối file, chạy trên tất cả tab đang mở, và chạy batch trên toàn thư mục theo file mask (Phase 2).</t>
  </si>
  <si>
    <t xml:space="preserve">FR-AUTO-603</t>
  </si>
  <si>
    <t xml:space="preserve">Scripting JavaScript</t>
  </si>
  <si>
    <t xml:space="preserve">Engine JavaScriptCore tích hợp sẵn: API điều khiển document, selection, search/replace, UI panel; console tương tác; menu Scripts; gán phím tắt cho script.</t>
  </si>
  <si>
    <t xml:space="preserve">FR-AUTO-604</t>
  </si>
  <si>
    <t xml:space="preserve">Lệnh ngoài &amp; Text Filter</t>
  </si>
  <si>
    <t xml:space="preserve">Menu Run gọi chương trình ngoài với biến $(FILE), $(DIR), $(SELECTION), $(LINE)…; Text Filter: đưa vùng chọn qua stdin của lệnh shell (awk/sed/jq/sort…) và thay thế bằng stdout.</t>
  </si>
  <si>
    <t xml:space="preserve">FR-AUTO-605</t>
  </si>
  <si>
    <t xml:space="preserve">Công cụ dòng lệnh</t>
  </si>
  <si>
    <t xml:space="preserve">Binary CLI cài vào PATH: mở file tại dòng:cột, các cờ --wait, --new-window, --read-only; nhận dữ liệu từ stdin (vd: ps aux | geditor).</t>
  </si>
  <si>
    <t xml:space="preserve">FR-AUTO-606</t>
  </si>
  <si>
    <t xml:space="preserve">Tự động hóa hệ thống</t>
  </si>
  <si>
    <t xml:space="preserve">Từ điển AppleScript cho thao tác cốt lõi; action cho Shortcuts.app; đăng ký Services menu (mở vùng chọn từ ứng dụng khác).</t>
  </si>
  <si>
    <t xml:space="preserve">FR-PLUG-701</t>
  </si>
  <si>
    <t xml:space="preserve">Plugin dạng script</t>
  </si>
  <si>
    <t xml:space="preserve">Đóng gói script JavaScript + manifest thành bundle plugin; cài đặt, kích hoạt, gỡ bỏ trong ứng dụng; tự động tương thích cả hai kiến trúc CPU.</t>
  </si>
  <si>
    <t xml:space="preserve">FR-PLUG-702</t>
  </si>
  <si>
    <t xml:space="preserve">Plugin native</t>
  </si>
  <si>
    <t xml:space="preserve">API C ABI ổn định có versioning; plugin là bundle dylib bắt buộc universal (arm64 + x86_64); kiểm tra kiến trúc khi nạp và từ chối kèm thông báo rõ ràng nếu thiếu.</t>
  </si>
  <si>
    <t xml:space="preserve">FR-PLUG-703</t>
  </si>
  <si>
    <t xml:space="preserve">Cách ly plugin</t>
  </si>
  <si>
    <t xml:space="preserve">Plugin native chạy trong XPC service riêng: crash của plugin không làm sập ứng dụng; cấp quyền truy cập tối thiểu theo khai báo.</t>
  </si>
  <si>
    <t xml:space="preserve">FR-PLUG-704</t>
  </si>
  <si>
    <t xml:space="preserve">Plugin Manager</t>
  </si>
  <si>
    <t xml:space="preserve">Danh mục plugin tập trung có chữ ký số và kiểm tra hash SHA-256; cài/gỡ/cập nhật một chạm; hiển thị quyền plugin yêu cầu.</t>
  </si>
  <si>
    <t xml:space="preserve">FR-PLUG-705</t>
  </si>
  <si>
    <t xml:space="preserve">Gói theme &amp; grammar</t>
  </si>
  <si>
    <t xml:space="preserve">Cài đặt theme (JSON), grammar tree-sitter/tmLanguage như gói dữ liệu thuần, không cần mã thực thi.</t>
  </si>
  <si>
    <t xml:space="preserve">FR-UI-801</t>
  </si>
  <si>
    <t xml:space="preserve">Theme</t>
  </si>
  <si>
    <t xml:space="preserve">Theo Dark/Light hệ thống; theme tùy chỉnh định dạng JSON; Style Configurator chỉnh màu từng loại token theo ngôn ngữ (Phase 2).</t>
  </si>
  <si>
    <t xml:space="preserve">FR-UI-802</t>
  </si>
  <si>
    <t xml:space="preserve">Shortcut Mapper</t>
  </si>
  <si>
    <t xml:space="preserve">Gán lại toàn bộ phím tắt (menu, macro, script); cung cấp preset "macOS chuẩn" và "Notepad++ (Windows)" để giảm ma sát cho người dùng chuyển đổi.</t>
  </si>
  <si>
    <t xml:space="preserve">FR-UI-803</t>
  </si>
  <si>
    <t xml:space="preserve">Preferences &amp; cấu hình</t>
  </si>
  <si>
    <t xml:space="preserve">Hộp thoại Preferences đầy đủ theo nhóm; export/import toàn bộ cấu hình dưới dạng file để đồng bộ giữa các máy.</t>
  </si>
  <si>
    <t xml:space="preserve">FR-UI-804</t>
  </si>
  <si>
    <t xml:space="preserve">Đa ngôn ngữ giao diện</t>
  </si>
  <si>
    <t xml:space="preserve">Tiếng Anh và tiếng Việt từ phiên bản đầu; kiến trúc String Catalog cho phép bổ sung ngôn ngữ mới không cần sửa mã.</t>
  </si>
  <si>
    <t xml:space="preserve">FR-UI-805</t>
  </si>
  <si>
    <t xml:space="preserve">Status bar tương tác</t>
  </si>
  <si>
    <t xml:space="preserve">Hiển thị encoding, EOL, ngôn ngữ cú pháp, vị trí caret, thống kê vùng chọn, tab size; click trực tiếp từng mục để đổi nhanh.</t>
  </si>
  <si>
    <t xml:space="preserve">FR-CLN-001</t>
  </si>
  <si>
    <t xml:space="preserve">Chuẩn hóa định dạng theo cột</t>
  </si>
  <si>
    <t xml:space="preserve">Trên cột CSV/bảng: chuẩn hóa NGÀY hỗn tạp (dd/MM/yyyy, yyyy-MM-dd, d-MMM-yy…) về ISO 8601 — trường hợp mơ hồ dd/MM vs MM/dd hỏi xác nhận quy ước một lần và đánh dấu ô không suy luận được; chuẩn hóa SỐ kiểu Việt/Âu (1.234,56) ↔ Anh-Mỹ (1,234.56) hai chiều không mất giá trị; trim/case theo cột. Luôn có preview trước khi áp dụng; một bước undo.</t>
  </si>
  <si>
    <t xml:space="preserve">FR-CLN-002</t>
  </si>
  <si>
    <t xml:space="preserve">Xử lý giá trị thiếu</t>
  </si>
  <si>
    <t xml:space="preserve">Phát hiện null/ô rỗng và placeholder tùy biến ("N/A", "-", "null", "?"); hành động theo cột: điền giá trị mặc định, forward/backward-fill, hoặc xóa dòng chứa null ở cột chọn; báo cáo số ô/dòng ảnh hưởng trước và sau.</t>
  </si>
  <si>
    <t xml:space="preserve">FR-CLN-003</t>
  </si>
  <si>
    <t xml:space="preserve">Data Profile</t>
  </si>
  <si>
    <t xml:space="preserve">Panel hồ sơ dữ liệu toàn bảng chạy DuckDB: kiểu suy luận từng cột, % null, distinct, min/max/mean, top giá trị, mẫu giá trị bất thường; click số liệu để lọc tới các dòng liên quan; xuất báo cáo Markdown/CSV. (Nâng cấp và thay thế FR-CSV-408, chuyển lên Phase 2.)</t>
  </si>
  <si>
    <t xml:space="preserve">FR-CLN-004</t>
  </si>
  <si>
    <t xml:space="preserve">Trùng lặp mờ (fuzzy dedup)</t>
  </si>
  <si>
    <t xml:space="preserve">Phát hiện bản ghi trùng gần đúng theo cột chọn: chuẩn hóa (bỏ dấu, hoa/thường, khoảng trắng, viết tắt phổ biến) + khoảng cách chuỗi; gom cụm ứng viên với điểm tương đồng; người dùng duyệt gộp/giữ qua khuôn diff; không bao giờ tự merge.</t>
  </si>
  <si>
    <t xml:space="preserve">4</t>
  </si>
  <si>
    <t xml:space="preserve">FR-CLN-005</t>
  </si>
  <si>
    <t xml:space="preserve">Cleaning Recipe</t>
  </si>
  <si>
    <t xml:space="preserve">Chuỗi bước làm sạch được đặt tên thành "công thức": xem/sửa/bỏ từng bước, lưu file JSON (schema có version) chia sẻ được giữa máy; chạy lại trên file khác hoặc batch thư mục — mỗi file một bước undo + báo cáo kết quả/lỗi riêng.</t>
  </si>
  <si>
    <t xml:space="preserve">FR-CLN-006</t>
  </si>
  <si>
    <t xml:space="preserve">Bàn làm sạch (Clean-up Hub)</t>
  </si>
  <si>
    <t xml:space="preserve">Một panel gom mọi thao tác làm sạch theo ngữ cảnh file hiện tại — encoding/EOL/Unicode, khoảng trắng, dòng trống/trùng, chuẩn hóa cột, null — mỗi mục hiển thị SỐ LƯỢNG phát hiện và nút hành động; người dùng văn phòng thao tác trọn vẹn không cần biết regex.</t>
  </si>
  <si>
    <t xml:space="preserve">FR-QRY-001</t>
  </si>
  <si>
    <t xml:space="preserve">Query Workbench hợp nhất</t>
  </si>
  <si>
    <t xml:space="preserve">Một console SQL (DuckDB) duy nhất cho mọi nguồn đang mở/đăng ký: CSV, TSV, JSONL, Parquet. Lịch sử truy vấn theo workspace; saved query đặt tên; tham số hóa (:param) với ô nhập khi chạy; kết quả dạng bảng ảo hóa, mở thành tab hoặc export. Hợp nhất và thay thế phần console của FR-CSV-407.</t>
  </si>
  <si>
    <t xml:space="preserve">FR-QRY-002</t>
  </si>
  <si>
    <t xml:space="preserve">Filter tương tác theo cột</t>
  </si>
  <si>
    <t xml:space="preserve">Hàng ô filter dưới header của Table view: contains, =, ≠, &gt;, &lt;, khoảng, in-list, null/not-null; kết hợp nhiều cột (AND); hiển thị "N dòng khớp / tổng" thời gian thực; CHỈ ảnh hưởng hiển thị, không sửa văn bản; xuất tập dòng khớp ra tab mới.</t>
  </si>
  <si>
    <t xml:space="preserve">FR-QRY-003</t>
  </si>
  <si>
    <t xml:space="preserve">Group-by / Pivot qua UI</t>
  </si>
  <si>
    <t xml:space="preserve">Kéo-thả cột vào vùng Hàng / Giá trị (sum, count, avg, min, max, distinct); câu SQL tương ứng LUÔN hiển thị và sửa tiếp được trong Workbench (vừa dùng vừa học); kết quả mở tab mới.</t>
  </si>
  <si>
    <t xml:space="preserve">FR-QRY-004</t>
  </si>
  <si>
    <t xml:space="preserve">Quick Charts</t>
  </si>
  <si>
    <t xml:space="preserve">Vẽ bar, line, histogram, scatter, box-plot từ kết quả query hoặc cột đang chọn; cấu hình trục/nhóm/màu tối thiểu; dữ liệu lớn tự downsample kèm ghi chú; export PNG/SVG.</t>
  </si>
  <si>
    <t xml:space="preserve">FR-QRY-005</t>
  </si>
  <si>
    <t xml:space="preserve">Join đa file (bảng ảo)</t>
  </si>
  <si>
    <t xml:space="preserve">Đăng ký file trong workspace thành bảng ảo DuckDB (tên bảng đặt được, mặc định theo tên file); danh mục bảng hiển thị schema suy luận; join/union nhiều file trong một truy vấn; catalog tự vô hiệu khi file đổi.</t>
  </si>
  <si>
    <t xml:space="preserve">FR-QRY-006</t>
  </si>
  <si>
    <t xml:space="preserve">Saved query batch &amp; CLI</t>
  </si>
  <si>
    <t xml:space="preserve">Chạy saved query từ CLI: geditor --query bao_cao.sql --out ket_qua.csv; tham số truyền qua cờ; batch trên nhiều file; export CSV/JSON/Markdown.</t>
  </si>
  <si>
    <t xml:space="preserve">FR-RPT-001</t>
  </si>
  <si>
    <t xml:space="preserve">Report Composer (.greport.md)</t>
  </si>
  <si>
    <t xml:space="preserve">Tài liệu báo cáo là Markdown mở rộng: fenced block ```query chứa SQL DuckDB render thành bảng nhúng, block ```chart chứa spec YAML (kiểu, trục, tiêu đề) render biểu đồ — soạn bên trái, preview bên phải. File thuần văn bản: diff/Git/chia sẻ được, nhất quán triết lý "dữ liệu là văn bản" (ADR-09).</t>
  </si>
  <si>
    <t xml:space="preserve">FR-RPT-002</t>
  </si>
  <si>
    <t xml:space="preserve">Chart styling nâng cao</t>
  </si>
  <si>
    <t xml:space="preserve">Tiêu đề, chú thích trục, định dạng số/đơn vị (kể cả quy ước Việt 1.234,56), legend, chú thích nguồn; theme màu preset (G-Light, G-Dark, Brand cam) và custom JSON — nâng cấp mức "cấu hình tối thiểu" của FR-QRY-004.</t>
  </si>
  <si>
    <t xml:space="preserve">FR-RPT-003</t>
  </si>
  <si>
    <t xml:space="preserve">Dashboard view</t>
  </si>
  <si>
    <t xml:space="preserve">Frontmatter khai báo bố cục lưới (hàng × cột) cho nhiều block query/chart trong một .greport.md; nút Refresh chạy lại toàn bộ; chỉ báo "dữ liệu cũ" khi file nguồn đã đổi sau lần render.</t>
  </si>
  <si>
    <t xml:space="preserve">FR-RPT-004</t>
  </si>
  <si>
    <t xml:space="preserve">Template tham số hóa</t>
  </si>
  <si>
    <t xml:space="preserve">Tham số :param dùng trong mọi block query, khai báo ở frontmatter (kiểu, mặc định); hộp nhập tham số khi chạy từ UI; CLI: geditor --report bao_cao.greport.md --param thang=2026-08 --out bc_t8.html.</t>
  </si>
  <si>
    <t xml:space="preserve">FR-RPT-005</t>
  </si>
  <si>
    <t xml:space="preserve">Xuất báo cáo hoàn chỉnh</t>
  </si>
  <si>
    <t xml:space="preserve">Xuất một lệnh: (a) HTML tự chứa một file (chart nhúng SVG, CSS nội tuyến, mở offline); (b) PDF qua đường in hệ thống với page-break hints — đồng thời ĐÓNG khoảng trống FR-DOC-313 (In ấn); (c) Markdown thuần kèm ảnh.</t>
  </si>
  <si>
    <t xml:space="preserve">FR-RPT-006</t>
  </si>
  <si>
    <t xml:space="preserve">Batch report</t>
  </si>
  <si>
    <t xml:space="preserve">Sinh loạt báo cáo từ danh sách tham số (CSV/JSON): mỗi bộ tham số một file đầu ra; báo cáo tổng kết thành công/lỗi từng file; chạy được từ UI và CLI.</t>
  </si>
  <si>
    <t xml:space="preserve">FR-MIN-001</t>
  </si>
  <si>
    <t xml:space="preserve">Phát hiện bất thường (anomaly detection)</t>
  </si>
  <si>
    <t xml:space="preserve">ĐƠN BIẾN trên cột số: z-score (ngưỡng mặc định |z| &gt; 3, chỉnh bằng slider), IQR (hệ số k = 1,5 mặc định) và MAD (robust — khuyến nghị tự động khi phân bố lệch, kiểm bằng độ lệch skewness). ĐA BIẾN: khoảng cách Mahalanobis trên tập cột số người dùng chọn. Đầu ra: (a) cột điểm bất thường; (b) đánh dấu dòng qua Mark engine, màu theo mức độ; (c) slider ngưỡng có preview số dòng khớp thời gian thực; (d) xuất tập bất thường ra tab mới. MỌI dòng bị đánh dấu kèm giải thích đọc được, ví dụ: "doanh_thu = 2,4 tỷ vượt 5,1×IQR trên Q3 của cột".</t>
  </si>
  <si>
    <t xml:space="preserve">FR-MIN-002</t>
  </si>
  <si>
    <t xml:space="preserve">Phân cụm (clustering)</t>
  </si>
  <si>
    <t xml:space="preserve">K-MEANS: khởi tạo k-means++, seed cố định; k do người dùng chọn HOẶC gợi ý tự động bằng elbow trên đường cong WCSS (vẽ ngay trong sheet tham số); tối đa 50 vòng lặp, dừng sớm khi hội tụ. DBSCAN: eps gợi ý qua k-distance plot, minPts mặc định 2×số chiều; điểm nhiễu gán nhãn noise. Chuẩn hóa z-score hoặc min-max TRƯỚC khi cụm (bật mặc định, tắt được, ghi rõ trong kết quả). Đầu ra: tab MỚI = dữ liệu gốc + cột cluster_id; bảng tâm cụm + kích thước + silhouette score đánh giá chất lượng; scatter tô màu theo cụm qua Quick Charts.</t>
  </si>
  <si>
    <t xml:space="preserve">FR-MIN-003</t>
  </si>
  <si>
    <t xml:space="preserve">Luật kết hợp (association rules)</t>
  </si>
  <si>
    <t xml:space="preserve">Thuật toán Apriori với cắt tỉa hash-tree. Hai dạng đầu vào: (a) mỗi dòng một giỏ hàng, item phân tách bởi delimiter chọn được; (b) dạng long 2 cột [mã giao dịch, item]. Tham số: support và confidence tối thiểu (mặc định 1% / 50%). Đầu ra: bảng luật A→B với support, confidence, lift, leverage — sắp/lọc theo cột; click một luật đánh dấu (Mark) mọi giao dịch chứa luật đó trong file nguồn; xuất bảng luật CSV.</t>
  </si>
  <si>
    <t xml:space="preserve">FR-MIN-004</t>
  </si>
  <si>
    <t xml:space="preserve">Phân tích chuỗi thời gian</t>
  </si>
  <si>
    <t xml:space="preserve">DECOMPOSITION trend/seasonal/residual bằng moving average; chu kỳ mùa vụ tự phát hiện qua ACF hoặc người dùng đặt tay. DỰ BÁO: Holt-Winters (additive/multiplicative) với seasonal-naive và naive làm baseline so sánh; horizon người dùng đặt; khoảng tin cậy 80%/95%. Đầu ra: biểu đồ lịch sử + đường dự báo + dải tin cậy (Quick Charts); bảng giá trị dự báo kèm sai số huấn luyện (MAE/MAPE) đối chiếu baseline — nếu model không thắng baseline, nói thẳng trong kết quả.</t>
  </si>
  <si>
    <t xml:space="preserve">FR-MIN-005</t>
  </si>
  <si>
    <t xml:space="preserve">Ma trận tương quan</t>
  </si>
  <si>
    <t xml:space="preserve">Pearson và Spearman trên mọi cặp cột số; hiển thị ma trận số + heatmap (thang màu phân kỳ, mù màu an toàn); click một ô mở scatter 2 cột kèm đường hồi quy tuyến tính đơn giản + R². Mọi kết quả kèm chú thích cố định: "Tương quan không hàm ý nhân quả" — đúng tinh thần giáo dục của sản phẩm.</t>
  </si>
  <si>
    <t xml:space="preserve">FR-MIN-006</t>
  </si>
  <si>
    <t xml:space="preserve">Khai phá văn bản (text mining)</t>
  </si>
  <si>
    <t xml:space="preserve">Tần suất n-gram (1–3) và từ khóa TF-IDF trên văn bản thuần hoặc trường text của JSONL (chọn qua Chunk Inspector). Tokenizer tiếng Việt theo âm tiết + tùy chọn ghép từ ghép theo từ điển người dùng nạp được; stopword tiếng Việt và tiếng Anh tích hợp sẵn, danh sách tùy biến. Đầu ra: bảng từ khóa theo tài liệu/toàn corpus; click từ → Mark mọi occurrence; xuất CSV; kết quả dùng được làm đầu vào cho entity marker của Knowledge Pack.</t>
  </si>
  <si>
    <t xml:space="preserve">FR-KNW-901</t>
  </si>
  <si>
    <t xml:space="preserve">Chế độ JSONL</t>
  </si>
  <si>
    <t xml:space="preserve">Mở file JSONL/NDJSON hàng GB trên hạ tầng Large File Mode: parse record-theo-dòng streaming, validate JSON từng record, danh sách record lỗi nhảy tới dòng; xem record dạng thẻ (pretty) song song văn bản thô.</t>
  </si>
  <si>
    <t xml:space="preserve">FR-KNW-902</t>
  </si>
  <si>
    <t xml:space="preserve">Chunk Inspector</t>
  </si>
  <si>
    <t xml:space="preserve">Nhận diện schema chunk phổ biến (id/text/metadata); thống kê độ dài ký tự/từ/token ước lượng theo histogram; phát hiện chunk rỗng và trùng lặp (hash nội dung); lọc theo metadata.</t>
  </si>
  <si>
    <t xml:space="preserve">FR-KNW-903</t>
  </si>
  <si>
    <t xml:space="preserve">Chunking Preview</t>
  </si>
  <si>
    <t xml:space="preserve">Xem trước kết quả cắt chunk trên văn bản/file đang mở theo chiến lược: kích thước cố định + overlap, theo câu, theo heading Markdown; ranh giới chunk tô màu trong editor; xuất JSONL.</t>
  </si>
  <si>
    <t xml:space="preserve">FR-KNW-904</t>
  </si>
  <si>
    <t xml:space="preserve">Grammar đồ thị &amp; tri thức</t>
  </si>
  <si>
    <t xml:space="preserve">Highlight + validate cú pháp cho DOT/Graphviz, Mermaid, Cypher, RDF Turtle, GraphML — phát hành dưới dạng gói grammar (hạ tầng FR-FMT-502), lỗi cú pháp chỉ đúng dòng.</t>
  </si>
  <si>
    <t xml:space="preserve">FR-KNW-905</t>
  </si>
  <si>
    <t xml:space="preserve">Graph Preview</t>
  </si>
  <si>
    <t xml:space="preserve">Panel xem trước đồ thị cho DOT/Mermaid (WKWebView sandboxed, như Markdown preview); click node trong preview nhảy tới định nghĩa trong văn bản và ngược lại; export PNG/SVG.</t>
  </si>
  <si>
    <t xml:space="preserve">FR-KNW-906</t>
  </si>
  <si>
    <t xml:space="preserve">Bảng triple/edge</t>
  </si>
  <si>
    <t xml:space="preserve">Mở file triple và edge list (TSV/CSV/N-Triples) bằng Table view: cột subject–predicate–object; mọi thao tác cột theo field an toàn quoted (tái dùng CSVEngine).</t>
  </si>
  <si>
    <t xml:space="preserve">FR-KNW-907</t>
  </si>
  <si>
    <t xml:space="preserve">Corpus SQL</t>
  </si>
  <si>
    <t xml:space="preserve">Mở rộng DuckDB (FR-CSV-407) đọc trực tiếp JSONL và Parquet: truy vấn thống kê corpus và đồ thị (phân bố degree, node mồ côi, bản ghi trùng, phủ metadata).</t>
  </si>
  <si>
    <t xml:space="preserve">FR-KNW-908</t>
  </si>
  <si>
    <t xml:space="preserve">Đánh dấu entity</t>
  </si>
  <si>
    <t xml:space="preserve">Nạp danh sách entity từ file CSV/JSON và đánh dấu mọi occurrence trong văn bản theo màu loại entity (tái dùng cơ chế Mark nhiều màu); thống kê tần suất.</t>
  </si>
  <si>
    <t xml:space="preserve">FR-KNW-909</t>
  </si>
  <si>
    <t xml:space="preserve">Hỗ trợ file agent/prompt</t>
  </si>
  <si>
    <t xml:space="preserve">Highlight + folding cho prompt template (.md/.j2 với YAML frontmatter) và định nghĩa tool JSON; validate theo JSON Schema do người dùng chỉ định.</t>
  </si>
  <si>
    <t xml:space="preserve">FR-KNW-910</t>
  </si>
  <si>
    <t xml:space="preserve">Chuyển đổi tri thức</t>
  </si>
  <si>
    <t xml:space="preserve">Chunks JSONL ↔ CSV ↔ Markdown; đồ thị DOT ↔ Mermaid ↔ edge list — cùng cơ chế preview 5 dòng trước khi tạo tab mới như FR-CSV-406.</t>
  </si>
  <si>
    <t xml:space="preserve">FR-KNW-911</t>
  </si>
  <si>
    <t xml:space="preserve">Đóng gói dạng plugin</t>
  </si>
  <si>
    <t xml:space="preserve">Toàn bộ Knowledge Pack phát hành như MỘT gói plugin (script + grammar + panel + XPC parser) cài/gỡ qua Plugin Manager; không có mã nào của Pack nằm trong GEditorCore hay đường khởi động.</t>
  </si>
  <si>
    <t xml:space="preserve">FR-KNW-912</t>
  </si>
  <si>
    <t xml:space="preserve">API script mở rộng</t>
  </si>
  <si>
    <t xml:space="preserve">Namespace jsonl.* (records, validate, stats) và graph.* (nodes, edges, query) bổ sung vào API scripting để người dùng tự động hóa pipeline chuẩn bị dữ liệu.</t>
  </si>
  <si>
    <t xml:space="preserve">FR-KNW-913</t>
  </si>
  <si>
    <t xml:space="preserve">Thực thi truy vấn Graph (openCypher tập con)</t>
  </si>
  <si>
    <t xml:space="preserve">THỰC THI (không chỉ highlight) tập con openCypher trên đồ thị đang mở (DOT/Turtle/edge list): MATCH pattern tối đa 3 hop với nhãn và thuộc tính, WHERE, RETURN, ORDER BY/LIMIT, count/collect. Cơ chế: dịch truy vấn sang SQL DuckDB trên bảng node/edge nội bộ — câu SQL sinh ra LUÔN hiển thị và sửa tiếp được trong Query Workbench (đúng khuôn Pivot: vừa dùng vừa học). Kết quả: bảng + tô sáng node/cạnh khớp ngay trên Graph Preview. Giới hạn hop cứng chống bùng nổ tổ hợp, kèm giải thích kế hoạch chạy.</t>
  </si>
  <si>
    <t xml:space="preserve">FR-KNW-914</t>
  </si>
  <si>
    <t xml:space="preserve">Thuật toán đồ thị</t>
  </si>
  <si>
    <t xml:space="preserve">Bộ thuật toán tự cài đặt theo đúng chuẩn FR-MIN (tất định, tiến trình + hủy, khối Phương pháp): láng giềng k-hop; đường đi ngắn nhất (BFS không trọng số / Dijkstra có trọng số); thành phần liên thông; PageRank (damping 0,85, ngưỡng hội tụ hiển thị); phát hiện cộng đồng Louvain (modularity báo cáo). Kết quả ba đích: bảng xếp hạng; TÔ MÀU ngược lên Graph Preview (kích thước node theo PageRank, màu theo cộng đồng); cột mới trong bảng node ra tab mới.</t>
  </si>
  <si>
    <t xml:space="preserve">FR-KNW-915</t>
  </si>
  <si>
    <t xml:space="preserve">Soạn thảo Graph trực quan</t>
  </si>
  <si>
    <t xml:space="preserve">Thao tác trực tiếp trong Graph Preview: thêm node/cạnh (kéo từ node nguồn), sửa nhãn/thuộc tính (double-click), xóa — MỌI thao tác sinh chỉnh sửa văn bản tương ứng qua applyEdits (mỗi thao tác một bước undo), tôn trọng format/thụt lề hiện hành của file. Buffer văn bản vẫn là NGUỒN SỰ THẬT DUY NHẤT — preview chỉ là projection hai chiều, nhất quán SAD Hình 4.</t>
  </si>
  <si>
    <t xml:space="preserve">FR-KNW-916</t>
  </si>
  <si>
    <t xml:space="preserve">Graph refactoring</t>
  </si>
  <si>
    <t xml:space="preserve">Các phép tái cấu trúc an toàn qua khuôn diff preview (như Replace in Files): ĐỔI TÊN node toàn cục (cập nhật mọi cạnh và thuộc tính tham chiếu — tương đương rename symbol trong IDE); GỘP nhiều node thành một (hợp cạnh, khử cạnh trùng có báo cáo); TÁCH node; TRÍCH subgraph theo lựa chọn hoặc theo truy vấn ra file mới. Không thao tác nào ghi thẳng — tất cả là changeset duyệt được, một bước undo.</t>
  </si>
  <si>
    <t xml:space="preserve">FR-KNW-917</t>
  </si>
  <si>
    <t xml:space="preserve">Schema / Ontology validation</t>
  </si>
  <si>
    <t xml:space="preserve">Khai báo schema đồ thị bằng file YAML: các loại node, loại cạnh hợp lệ giữa cặp loại nào, thuộc tính bắt buộc và kiểu dữ liệu. Validate toàn đồ thị theo schema: lỗi liệt kê ở panel (cạnh sai loại, thiếu thuộc tính, node không khai báo), click nhảy đúng dòng định nghĩa. Kèm template schema mẫu cho KG phổ biến.</t>
  </si>
  <si>
    <t xml:space="preserve">FR-KNW-918</t>
  </si>
  <si>
    <t xml:space="preserve">BM25 Retrieval Lab</t>
  </si>
  <si>
    <t xml:space="preserve">Kiểm thử truy hồi trên corpus JSONL KHÔNG CẦN embedding: dựng chỉ mục BM25 (inverted index cạnh file, tự vô hiệu khi corpus đổi) trên trường text chọn được; ô nhập câu hỏi → top-k chunk kèm điểm BM25 và HIGHLIGHT từ khớp trong từng chunk; tham số k1 (mặc định 1,2) và b (0,75) chỉnh được với giải thích ý nghĩa; tokenizer tiếng Việt dùng chung FR-MIN-006. BM25 là baseline bắt buộc của mọi hệ RAG nghiêm túc — đánh giá corpus TRƯỚC khi tốn chi phí embedding.</t>
  </si>
  <si>
    <t xml:space="preserve">FR-KNW-919</t>
  </si>
  <si>
    <t xml:space="preserve">Đánh giá retrieval bằng golden set</t>
  </si>
  <si>
    <t xml:space="preserve">Nạp bộ đánh giá (CSV/JSONL: câu hỏi + danh sách id chunk kỳ vọng); chạy hàng loạt trên chỉ mục BM25 → recall@k, MRR, nDCG@k tổng thể và theo từng câu (sắp theo câu tệ nhất để sửa corpus có trọng tâm); so sánh song song 2 cấu hình (k1/b/tokenizer khác nhau); kết quả đổ vào .greport.md thành báo cáo đánh giá tái lập được.</t>
  </si>
  <si>
    <t xml:space="preserve">FR-KNW-920</t>
  </si>
  <si>
    <t xml:space="preserve">Liên kết Chunk ↔ Entity ↔ Graph (nền GraphRAG)</t>
  </si>
  <si>
    <t xml:space="preserve">Ánh xạ ba chiều: entity (từ danh sách EntityMarker) xuất hiện trong chunk nào ↔ tương ứng node nào trên đồ thị. Phân tích PHỦ: entity không có chunk nào nhắc tới, chunk mồ côi không chứa entity, node đồ thị không có entity đối ứng — ba loại lỗ hổng tri thức phổ biến nhất. TRÍCH context package: từ seed entity, lấy subgraph k-hop + toàn bộ chunk liên quan → xuất JSONL theo định dạng đặc tả ở phụ lục (mỗi record: query_seed, triples[], chunks[]) — sản phẩm trung gian chuẩn cho mọi pipeline GraphRAG bên ngoài.</t>
  </si>
  <si>
    <t xml:space="preserve">FR-KNW-921</t>
  </si>
  <si>
    <t xml:space="preserve">Nhập &amp; so sánh điểm retrieval ngoài</t>
  </si>
  <si>
    <t xml:space="preserve">Nhập file điểm từ pipeline embedding bên ngoài (JSONL: query, chunk_id, score) và so sánh song song với BM25 trên cùng golden set: bảng delta theo câu, chart so recall@k/MRR hai hệ. Ứng dụng KHÔNG tính vector — chỉ phân tích kết quả do công cụ ngoài sinh ra, giữ đúng ranh giới ADR-11.</t>
  </si>
  <si>
    <t xml:space="preserve">FR-AGT-1001</t>
  </si>
  <si>
    <t xml:space="preserve">Cấu hình provider BYOK</t>
  </si>
  <si>
    <t xml:space="preserve">Thêm/quản lý provider LLM: Anthropic, OpenAI-compatible endpoint, Gemini, Ollama/local. API key nhập một lần, lưu trong macOS Keychain; file cấu hình chỉ giữ tham chiếu, không bao giờ chứa key. Nút kiểm tra kết nối.</t>
  </si>
  <si>
    <t xml:space="preserve">5</t>
  </si>
  <si>
    <t xml:space="preserve">FR-AGT-1002</t>
  </si>
  <si>
    <t xml:space="preserve">Chọn mô hình &amp; tham số</t>
  </si>
  <si>
    <t xml:space="preserve">Chọn model theo provider; tham số cơ bản (temperature, max tokens, system prompt tùy biến). Danh sách model là file cấu hình cập nhật được — không hard-code trong mã.</t>
  </si>
  <si>
    <t xml:space="preserve">FR-AGT-1003</t>
  </si>
  <si>
    <t xml:space="preserve">Agent panel</t>
  </si>
  <si>
    <t xml:space="preserve">Panel hội thoại neo bên phải: đính kèm ngữ cảnh (vùng chọn, tab hiện tại, kết quả search/SQL); lịch sử phiên lưu theo workspace; phản hồi streaming, hủy được.</t>
  </si>
  <si>
    <t xml:space="preserve">FR-AGT-1004</t>
  </si>
  <si>
    <t xml:space="preserve">Agent loop qua Editor API</t>
  </si>
  <si>
    <t xml:space="preserve">Agent hành động bằng tool-calling trên chính Editor API (document, search, csv, jsonl, graph, sql) — KHÔNG nạp toàn bộ file vào context: với file hàng GB, agent truy vấn qua chỉ mục/DuckDB và chỉ nhận kết quả gọn.</t>
  </si>
  <si>
    <t xml:space="preserve">FR-AGT-1005</t>
  </si>
  <si>
    <t xml:space="preserve">Cổng diff duyệt thay đổi</t>
  </si>
  <si>
    <t xml:space="preserve">Mọi đề xuất ghi của agent đi qua khuôn dry-run diff (như Replace in Files): xem trước, bỏ chọn từng thay đổi, áp dụng bằng applyEdits một bước undo. Auto-approve chỉ trong ngưỡng người dùng đặt (số edit, số file).</t>
  </si>
  <si>
    <t xml:space="preserve">FR-AGT-1006</t>
  </si>
  <si>
    <t xml:space="preserve">Checkpoint phiên agent</t>
  </si>
  <si>
    <t xml:space="preserve">Tự snapshot trạng thái các tài liệu liên quan trước mỗi phiên; nút "Hoàn tác cả phiên" khôi phục nguyên trạng bất kể số bước agent đã thực hiện.</t>
  </si>
  <si>
    <t xml:space="preserve">FR-AGT-1007</t>
  </si>
  <si>
    <t xml:space="preserve">Quyền tối thiểu</t>
  </si>
  <si>
    <t xml:space="preserve">Mặc định agent chỉ đọc tài liệu đang mở và gọi tool đọc; quyền shell, ghi ngoài workspace, network bổ sung phải cấp tường minh qua Permission Broker theo từng phiên.</t>
  </si>
  <si>
    <t xml:space="preserve">FR-AGT-1008</t>
  </si>
  <si>
    <t xml:space="preserve">Đồng hồ chi phí &amp; audit log</t>
  </si>
  <si>
    <t xml:space="preserve">Hiển thị realtime token vào/ra và chi phí ước tính; ngân sách trần mỗi phiên (dừng khi vượt); nhật ký mọi tool call xem được trong panel và xuất JSONL.</t>
  </si>
  <si>
    <t xml:space="preserve">FR-AGT-1009</t>
  </si>
  <si>
    <t xml:space="preserve">Lệnh lặp từ ngôn ngữ tự nhiên</t>
  </si>
  <si>
    <t xml:space="preserve">Biến một yêu cầu NL đã chạy thành công thành lệnh lưu được (macro/script sinh từ chuỗi tool call) để chạy lại 1 phím, kể cả batch trên thư mục — không cần gọi lại LLM.</t>
  </si>
  <si>
    <t xml:space="preserve">FR-AGT-1010</t>
  </si>
  <si>
    <t xml:space="preserve">Đóng gói Agent Pack</t>
  </si>
  <si>
    <t xml:space="preserve">Toàn bộ phát hành như MỘT plugin riêng (tách khỏi Knowledge Pack): zero-cost khi tắt; hoạt động hoàn toàn offline khi dùng Ollama/local endpoint.</t>
  </si>
  <si>
    <t xml:space="preserve">50 CAM KẾT CHẤT LƯỢNG — đo được, có test case chặn phát hành</t>
  </si>
  <si>
    <t xml:space="preserve">Chỉ tiêu</t>
  </si>
  <si>
    <t xml:space="preserve">Mức cam kết</t>
  </si>
  <si>
    <t xml:space="preserve">NFR-PERF-01</t>
  </si>
  <si>
    <t xml:space="preserve">Hiệu năng</t>
  </si>
  <si>
    <t xml:space="preserve">Khởi động nguội</t>
  </si>
  <si>
    <t xml:space="preserve">≤ 500 ms trên Apple Silicon (M1 trở lên); ≤ 1 giây trên Intel (i5 2019); đo tới khi cửa sổ nhận thao tác gõ.</t>
  </si>
  <si>
    <t xml:space="preserve">NFR-PERF-02</t>
  </si>
  <si>
    <t xml:space="preserve">Mở file 100 MB</t>
  </si>
  <si>
    <t xml:space="preserve">≤ 2 giây tới trạng thái tương tác được (gõ, cuộn); highlight có thể hoàn tất bất đồng bộ sau đó.</t>
  </si>
  <si>
    <t xml:space="preserve">NFR-PERF-03</t>
  </si>
  <si>
    <t xml:space="preserve">Mở file 1 GB (Large File Mode)</t>
  </si>
  <si>
    <t xml:space="preserve">≤ 8 giây tới tương tác; cuộn duy trì 60 fps; các thao tác dòng cơ bản không treo UI.</t>
  </si>
  <si>
    <t xml:space="preserve">NFR-PERF-04</t>
  </si>
  <si>
    <t xml:space="preserve">Độ trễ gõ phím</t>
  </si>
  <si>
    <t xml:space="preserve">≤ 16 ms (p95) từ nhấn phím tới hiển thị, kể cả với tài liệu 100 MB và IME tiếng Việt.</t>
  </si>
  <si>
    <t xml:space="preserve">NFR-PERF-05</t>
  </si>
  <si>
    <t xml:space="preserve">Bộ nhớ</t>
  </si>
  <si>
    <t xml:space="preserve">≤ 80 MB RAM khi idle với 1 tab văn bản nhỏ; tiêu thụ bộ nhớ với file lớn ≤ 1,5 lần kích thước file (nhờ mmap có thể thấp hơn nhiều).</t>
  </si>
  <si>
    <t xml:space="preserve">NFR-PERF-06</t>
  </si>
  <si>
    <t xml:space="preserve">Find in Files</t>
  </si>
  <si>
    <t xml:space="preserve">Quét 10.000 file tận dụng toàn bộ core CPU (scale gần tuyến tính theo số core); luôn có tiến trình và hủy được trong ≤ 200 ms.</t>
  </si>
  <si>
    <t xml:space="preserve">NFR-PERF-07</t>
  </si>
  <si>
    <t xml:space="preserve">Năng lượng</t>
  </si>
  <si>
    <t xml:space="preserve">Mức "Energy Impact: Low" trong Activity Monitor khi idle; không polling nền; dùng FSEvents/Dispatch Source thay vì vòng lặp kiểm tra.</t>
  </si>
  <si>
    <t xml:space="preserve">NFR-PERF-08</t>
  </si>
  <si>
    <t xml:space="preserve">Regex quy mô lớn</t>
  </si>
  <si>
    <t xml:space="preserve">Thay thế 1 triệu kết quả khớp trên file 100 MB hoàn tất ≤ 30 giây, có tiến trình, hủy được, và undo được trong một bước.</t>
  </si>
  <si>
    <t xml:space="preserve">NFR-REL-01</t>
  </si>
  <si>
    <t xml:space="preserve">Độ tin cậy</t>
  </si>
  <si>
    <t xml:space="preserve">Không mất dữ liệu chưa lưu</t>
  </si>
  <si>
    <t xml:space="preserve">Sau crash, kill -9 hoặc mất điện, 100% nội dung chưa lưu được khôi phục từ snapshot ở lần mở kế tiếp (mất tối đa 1 chu kỳ autosave).</t>
  </si>
  <si>
    <t xml:space="preserve">NFR-REL-02</t>
  </si>
  <si>
    <t xml:space="preserve">Ghi file an toàn</t>
  </si>
  <si>
    <t xml:space="preserve">Mọi thao tác lưu là atomic (ghi file tạm rồi rename); không bao giờ để lại file đích hỏng dở dang; bảo toàn metadata, quyền, extended attributes, tag Finder.</t>
  </si>
  <si>
    <t xml:space="preserve">NFR-REL-03</t>
  </si>
  <si>
    <t xml:space="preserve">Ổn định</t>
  </si>
  <si>
    <t xml:space="preserve">Tỷ lệ phiên không crash ≥ 99,8%; crash reporter opt-in gửi kèm ngữ cảnh tối thiểu, không kèm nội dung tài liệu.</t>
  </si>
  <si>
    <t xml:space="preserve">NFR-REL-04</t>
  </si>
  <si>
    <t xml:space="preserve">Ổ đĩa mạng &amp; iCloud</t>
  </si>
  <si>
    <t xml:space="preserve">Hoạt động đúng với file trên SMB/AFP/iCloud Drive (file có thể bị evict): dùng NSFileCoordinator, phát hiện xung đột phiên bản và cảnh báo.</t>
  </si>
  <si>
    <t xml:space="preserve">NFR-REL-05</t>
  </si>
  <si>
    <t xml:space="preserve">Regex/plugin không đánh sập app</t>
  </si>
  <si>
    <t xml:space="preserve">Lỗi hoặc treo trong regex, script, plugin phải được cô lập (timeout, XPC) và không làm mất phiên làm việc.</t>
  </si>
  <si>
    <t xml:space="preserve">NFR-SEC-01</t>
  </si>
  <si>
    <t xml:space="preserve">Bảo mật &amp; riêng tư</t>
  </si>
  <si>
    <t xml:space="preserve">Ký số &amp; công chứng</t>
  </si>
  <si>
    <t xml:space="preserve">Ứng dụng ký Developer ID, bật Hardened Runtime, notarization qua Apple; bản cập nhật ký EdDSA (Sparkle 2) tải qua HTTPS.</t>
  </si>
  <si>
    <t xml:space="preserve">NFR-SEC-02</t>
  </si>
  <si>
    <t xml:space="preserve">Không telemetry mặc định</t>
  </si>
  <si>
    <t xml:space="preserve">Không thu thập, không gửi bất kỳ dữ liệu sử dụng hay nội dung tài liệu nào ra ngoài theo mặc định; mọi thống kê (nếu có) là opt-in rõ ràng.</t>
  </si>
  <si>
    <t xml:space="preserve">NFR-SEC-03</t>
  </si>
  <si>
    <t xml:space="preserve">Chuỗi cung ứng plugin</t>
  </si>
  <si>
    <t xml:space="preserve">Plugin trong danh mục chính thức phải ký số và khớp hash SHA-256; plugin ngoài danh mục yêu cầu xác nhận rủi ro tường minh.</t>
  </si>
  <si>
    <t xml:space="preserve">NFR-SEC-04</t>
  </si>
  <si>
    <t xml:space="preserve">Sandbox (bản App Store)</t>
  </si>
  <si>
    <t xml:space="preserve">Biến thể App Store chạy trong App Sandbox, dùng security-scoped bookmark cho quyền truy cập thư mục; biến thể tải trực tiếp không sandbox để hỗ trợ plugin native và CLI.</t>
  </si>
  <si>
    <t xml:space="preserve">NFR-SEC-05</t>
  </si>
  <si>
    <t xml:space="preserve">Không yêu cầu quyền Accessibility/Full Disk Access cho luồng cơ bản; chỉ xin quyền khi tính năng tương ứng được dùng, kèm giải thích.</t>
  </si>
  <si>
    <t xml:space="preserve">NFR-MNT-01</t>
  </si>
  <si>
    <t xml:space="preserve">Bảo trì</t>
  </si>
  <si>
    <t xml:space="preserve">Kiến trúc phân lớp</t>
  </si>
  <si>
    <t xml:space="preserve">Lõi xử lý văn bản (buffer, search, encoding, CSV parser) tách thành thư viện độc lập UI, có thể test riêng và tái sử dụng đa nền tảng.</t>
  </si>
  <si>
    <t xml:space="preserve">NFR-MNT-02</t>
  </si>
  <si>
    <t xml:space="preserve">Kiểm thử</t>
  </si>
  <si>
    <t xml:space="preserve">Coverage lõi ≥ 70%; bộ test hồi quy bắt buộc cho encoding (fixture mọi bảng mã + NFC/NFD), regex, CSV RFC 4180 edge case, EOL hỗn hợp.</t>
  </si>
  <si>
    <t xml:space="preserve">NFR-MNT-03</t>
  </si>
  <si>
    <t xml:space="preserve">CI/CD hai kiến trúc</t>
  </si>
  <si>
    <t xml:space="preserve">Pipeline build universal binary và chạy toàn bộ test trên cả runner Apple Silicon lẫn Intel; artefact notarized tự động.</t>
  </si>
  <si>
    <t xml:space="preserve">NFR-MNT-04</t>
  </si>
  <si>
    <t xml:space="preserve">Nhật ký thay đổi &amp; phiên bản</t>
  </si>
  <si>
    <t xml:space="preserve">Semantic versioning; changelog công khai; chu kỳ phát hành mục tiêu 6–8 tuần.</t>
  </si>
  <si>
    <t xml:space="preserve">NFR-USE-01</t>
  </si>
  <si>
    <t xml:space="preserve">Khả dụng &amp; tiếng Việt</t>
  </si>
  <si>
    <t xml:space="preserve">Tuân thủ HIG</t>
  </si>
  <si>
    <t xml:space="preserve">Menu bar đầy đủ, phím tắt chuẩn Cmd, hỗ trợ full-screen, Stage Manager, split view hệ thống; hành vi document-based app chuẩn macOS.</t>
  </si>
  <si>
    <t xml:space="preserve">NFR-USE-02</t>
  </si>
  <si>
    <t xml:space="preserve">Bộ gõ tiếng Việt &amp; CJK</t>
  </si>
  <si>
    <t xml:space="preserve">Hoạt động hoàn hảo với bộ gõ hệ thống và EVKey/OpenKey (Telex/VNI): không nuốt dấu, không nhân đôi ký tự khi có multi-caret, marked-text hiển thị đúng.</t>
  </si>
  <si>
    <t xml:space="preserve">NFR-USE-03</t>
  </si>
  <si>
    <t xml:space="preserve">Trợ năng</t>
  </si>
  <si>
    <t xml:space="preserve">VoiceOver đọc được nội dung, vị trí caret, thông báo trạng thái; điều hướng đầy đủ bằng bàn phím; tôn trọng Reduce Motion/Increase Contrast.</t>
  </si>
  <si>
    <t xml:space="preserve">NFR-USE-04</t>
  </si>
  <si>
    <t xml:space="preserve">Khả năng học</t>
  </si>
  <si>
    <t xml:space="preserve">Người dùng mới thao tác mở-sửa-lưu không cần hướng dẫn; trang trợ giúp tích hợp; hướng dẫn di cư dành riêng cho người dùng Notepad++.</t>
  </si>
  <si>
    <t xml:space="preserve">NFR-USE-05</t>
  </si>
  <si>
    <t xml:space="preserve">Font &amp; hiển thị</t>
  </si>
  <si>
    <t xml:space="preserve">Mặc định SF Mono/Menlo; hỗ trợ ligature (bật/tắt); render đúng emoji, ký tự tổ hợp, chữ có dấu tiếng Việt ở mọi mức zoom.</t>
  </si>
  <si>
    <t xml:space="preserve">NFR-PORT-01</t>
  </si>
  <si>
    <t xml:space="preserve">Tương thích</t>
  </si>
  <si>
    <t xml:space="preserve">Universal Binary</t>
  </si>
  <si>
    <t xml:space="preserve">Một bundle .app duy nhất chứa mã native arm64 và x86_64; không phụ thuộc Rosetta 2 cho bất kỳ thành phần nào của ứng dụng.</t>
  </si>
  <si>
    <t xml:space="preserve">NFR-PORT-02</t>
  </si>
  <si>
    <t xml:space="preserve">Phạm vi hệ điều hành</t>
  </si>
  <si>
    <t xml:space="preserve">Hỗ trợ macOS 12 Monterey trở lên; tính năng phụ thuộc OS mới hơn phải suy giảm nhẹ nhàng (graceful degradation).</t>
  </si>
  <si>
    <t xml:space="preserve">NFR-PORT-03</t>
  </si>
  <si>
    <t xml:space="preserve">Cấu hình di động</t>
  </si>
  <si>
    <t xml:space="preserve">Toàn bộ cấu hình, theme, macro, script lưu dạng file văn bản (JSON/plist) trong thư mục xác định, sao lưu và đồng bộ được.</t>
  </si>
  <si>
    <t xml:space="preserve">NFR-PORT-04</t>
  </si>
  <si>
    <t xml:space="preserve">Thư viện bên thứ ba</t>
  </si>
  <si>
    <t xml:space="preserve">Mọi dependency (PCRE2, tree-sitter, DuckDB, Sparkle…) phải có bản universal hoặc build được cho cả hai kiến trúc.</t>
  </si>
  <si>
    <t xml:space="preserve">NFR-CLN-01</t>
  </si>
  <si>
    <t xml:space="preserve">Làm sạch</t>
  </si>
  <si>
    <t xml:space="preserve">Hiệu năng profile</t>
  </si>
  <si>
    <t xml:space="preserve">Data Profile trên bảng 1 triệu dòng × 20 cột hoàn tất ≤ 10 giây (máy chuẩn Apple Silicon); fuzzy dedup 100 nghìn bản ghi ≤ 60 giây có tiến trình + hủy.</t>
  </si>
  <si>
    <t xml:space="preserve">NFR-CLN-02</t>
  </si>
  <si>
    <t xml:space="preserve">An toàn thao tác làm sạch</t>
  </si>
  <si>
    <t xml:space="preserve">Mọi thao tác làm sạch bắt buộc: (a) preview hoặc số liệu phát hiện trước khi chạy, (b) một bước undo, (c) báo cáo sau khi chạy — không có thao tác làm sạch nào ghi thẳng không thông báo.</t>
  </si>
  <si>
    <t xml:space="preserve">P0*</t>
  </si>
  <si>
    <t xml:space="preserve">NFR-QRY-01</t>
  </si>
  <si>
    <t xml:space="preserve">Truy vấn</t>
  </si>
  <si>
    <t xml:space="preserve">Tương tác 1 triệu dòng</t>
  </si>
  <si>
    <t xml:space="preserve">Gõ filter phản hồi ≤ 300 ms; truy vấn nhóm/lọc thông thường trên 1 triệu dòng ≤ 2 giây (máy chuẩn Apple Silicon); mọi truy vấn hủy được ≤ 200 ms.</t>
  </si>
  <si>
    <t xml:space="preserve">NFR-QRY-02</t>
  </si>
  <si>
    <t xml:space="preserve">Hiệu năng biểu đồ</t>
  </si>
  <si>
    <t xml:space="preserve">Render biểu đồ từ 1 triệu điểm ≤ 2 giây nhờ downsample tự động (ghi chú rõ mức lấy mẫu trên biểu đồ).</t>
  </si>
  <si>
    <t xml:space="preserve">NFR-QRY-03</t>
  </si>
  <si>
    <t xml:space="preserve">Truy vấn chỉ-đọc</t>
  </si>
  <si>
    <t xml:space="preserve">Mọi filter, query, pivot, chart tuyệt đối không sửa file nguồn (kiểm bằng checksum); mọi kết quả ghi ra tab/file MỚI. Phân tích tách bạch khỏi ghi — khác với cụm FR-CLN vốn ghi có kiểm soát.</t>
  </si>
  <si>
    <t xml:space="preserve">NFR-RPT-01</t>
  </si>
  <si>
    <t xml:space="preserve">Report</t>
  </si>
  <si>
    <t xml:space="preserve">Hiệu năng render</t>
  </si>
  <si>
    <t xml:space="preserve">Báo cáo 10 block trên nguồn 1 triệu dòng render ≤ 5 giây (máy chuẩn Apple Silicon); kết quả block được cache theo hash(query + trạng thái nguồn) — chỉ block có nguồn đổi mới chạy lại.</t>
  </si>
  <si>
    <t xml:space="preserve">NFR-RPT-02</t>
  </si>
  <si>
    <t xml:space="preserve">Kế thừa chỉ-đọc</t>
  </si>
  <si>
    <t xml:space="preserve">Report/Dashboard tuyệt đối không sửa dữ liệu nguồn (kiểm checksum — kế thừa NFR-QRY-03); mọi đầu ra ghi file MỚI; không BI server, không scheduler cloud — tất cả là file cục bộ + CLI.</t>
  </si>
  <si>
    <t xml:space="preserve">NFR-MIN-01</t>
  </si>
  <si>
    <t xml:space="preserve">Mining</t>
  </si>
  <si>
    <t xml:space="preserve">Hiệu năng &amp; tài nguyên</t>
  </si>
  <si>
    <t xml:space="preserve">Trên 1 triệu dòng × 20 cột (máy chuẩn Apple Silicon): anomaly ≤ 10 s; k-means (k ≤ 20, ≤ 50 vòng) ≤ 30 s; apriori 1 triệu giao dịch ≤ 60 s. Mọi tác vụ có thanh tiến trình + hủy ≤ 200 ms (cooperative cancellation). Bộ nhớ mining ≤ 2× tổng kích thước các cột tham gia — không nhân bản toàn file.</t>
  </si>
  <si>
    <t xml:space="preserve">NFR-MIN-02</t>
  </si>
  <si>
    <t xml:space="preserve">Tất định (deterministic)</t>
  </si>
  <si>
    <t xml:space="preserve">Seed cố định ghi kèm trong mọi kết quả; chạy lại cùng dữ liệu + cùng tham số cho kết quả giống bit-by-bit trên cùng kiến trúc — là điều kiện để kiểm thử golden và để kết quả trong báo cáo .greport.md tái lập được.</t>
  </si>
  <si>
    <t xml:space="preserve">NFR-MIN-03</t>
  </si>
  <si>
    <t xml:space="preserve">Chỉ-đọc tuyệt đối</t>
  </si>
  <si>
    <t xml:space="preserve">Kế thừa NFR-QRY-03: mining không bao giờ sửa file nguồn (kiểm checksum); nhãn cụm, điểm bất thường, bảng luật đều ghi ra tab/file MỚI; thao tác Mark chỉ là trạng thái hiển thị, không chạm buffer.</t>
  </si>
  <si>
    <t xml:space="preserve">NFR-MIN-04</t>
  </si>
  <si>
    <t xml:space="preserve">Giải thích được, không black-box</t>
  </si>
  <si>
    <t xml:space="preserve">Mọi đầu ra kèm khối "Phương pháp": thuật toán, tham số, seed, công thức/định nghĩa chỉ số (silhouette, lift, MAPE…). Toàn bộ thuật toán là CỔ ĐIỂN, TỰ CÀI ĐẶT trong GEditorCore (C++/Swift) — KHÔNG dependency ML mới, không Python/sklearn, không GPU, không model file, không AutoML. Nhu cầu vượt phạm vi này đi qua Agent Pack/CLI ra công cụ ngoài.</t>
  </si>
  <si>
    <t xml:space="preserve">NFR-KNW-01</t>
  </si>
  <si>
    <t xml:space="preserve">Knowledge Pack</t>
  </si>
  <si>
    <t xml:space="preserve">Zero-cost khi tắt</t>
  </si>
  <si>
    <t xml:space="preserve">Khi Knowledge Pack không cài hoặc bị tắt, toàn bộ KPI nhóm NFR-PERF (khởi động, RAM, latency) không thay đổi so với bản không có Pack — sai lệch cho phép ≤ 1%.</t>
  </si>
  <si>
    <t xml:space="preserve">NFR-KNW-02</t>
  </si>
  <si>
    <t xml:space="preserve">Hiệu năng JSONL</t>
  </si>
  <si>
    <t xml:space="preserve">Mở và index file JSONL 1 GB tới trạng thái duyệt record được ≤ 10 giây trên máy chuẩn Apple Silicon; thống kê chunk 1 triệu record ≤ 15 giây (DuckDB).</t>
  </si>
  <si>
    <t xml:space="preserve">NFR-KNW-03</t>
  </si>
  <si>
    <t xml:space="preserve">Hiệu năng truy vấn &amp; thuật toán đồ thị</t>
  </si>
  <si>
    <t xml:space="preserve">Trên đồ thị 1 triệu cạnh (máy chuẩn AS): truy vấn 2-hop ≤ 2 s; thành phần liên thông ≤ 10 s; PageRank hội tụ ≤ 30 s; Louvain ≤ 60 s. Adjacency dựng dạng CSR một lần, tái dùng giữa các lần chạy; mọi tác vụ có tiến trình + hủy ≤ 200 ms; tất định theo chuẩn NFR-MIN-02.</t>
  </si>
  <si>
    <t xml:space="preserve">NFR-KNW-04</t>
  </si>
  <si>
    <t xml:space="preserve">Hiệu năng &amp; tính đúng Retrieval Lab</t>
  </si>
  <si>
    <t xml:space="preserve">Dựng chỉ mục BM25 cho corpus 1 GB ≤ 30 giây; truy vấn top-k ≤ 500 ms; đánh giá golden set 1.000 câu ≤ 60 giây. Điểm BM25 tất định và đối chứng được với cài đặt tham chiếu (sai số ≤ 1e-9). Chỉ mục ghi cạnh corpus dạng file mở, tự vô hiệu theo mtime — không sửa corpus (kế thừa chỉ-đọc).</t>
  </si>
  <si>
    <t xml:space="preserve">NFR-AGT-01</t>
  </si>
  <si>
    <t xml:space="preserve">Agent Pack</t>
  </si>
  <si>
    <t xml:space="preserve">An toàn khóa API</t>
  </si>
  <si>
    <t xml:space="preserve">Key chỉ tồn tại trong Keychain: không xuất hiện trong file cấu hình, export cấu hình, log, audit log, crash report hay bất kỳ file nào trên đĩa — kiểm chứng bằng test tự động quét toàn bộ output.</t>
  </si>
  <si>
    <t xml:space="preserve">NFR-AGT-02</t>
  </si>
  <si>
    <t xml:space="preserve">Pack tắt/không cài: KPI NFR-PERF không đổi (≤ 1%); không egress mạng nào phát sinh từ Pack.</t>
  </si>
  <si>
    <t xml:space="preserve">NFR-AGT-03</t>
  </si>
  <si>
    <t xml:space="preserve">Egress duy nhất là provider</t>
  </si>
  <si>
    <t xml:space="preserve">Khi hoạt động, kết nối mạng duy nhất của Pack là endpoint provider người dùng đã chọn; không telemetry, không proxy qua máy chủ MOBILUCK.</t>
  </si>
  <si>
    <t xml:space="preserve">NFR-AGT-04</t>
  </si>
  <si>
    <t xml:space="preserve">Phản hồi &amp; hủy</t>
  </si>
  <si>
    <t xml:space="preserve">Token đầu tiên hiển thị dạng streaming; hủy phiên đáp ứng ≤ 200 ms; UI editor không bao giờ bị khóa khi agent đang chạy.</t>
  </si>
  <si>
    <t xml:space="preserve">LỘ TRÌNH PHÁT HÀNH — mỗi tầng đứng trên tầng trước, không phá KPI</t>
  </si>
  <si>
    <t xml:space="preserve">Chủ đề</t>
  </si>
  <si>
    <t xml:space="preserve">Tính năng tiêu biểu</t>
  </si>
  <si>
    <t xml:space="preserve">Số FR*</t>
  </si>
  <si>
    <t xml:space="preserve">FR P0*</t>
  </si>
  <si>
    <t xml:space="preserve">Editor Gigabyte — nền tảng</t>
  </si>
  <si>
    <t xml:space="preserve">Mở 1 GB ≤ 8 giây, multi-caret/cột, regex PCRE2 an toàn, Mark lọc dòng, sửa mojibake tiếng Việt (TCVN3/VNI), Large File Mode, macro + CLI, IME Telex/EVKey chặn phát hành</t>
  </si>
  <si>
    <t xml:space="preserve">Dữ liệu văn phòng</t>
  </si>
  <si>
    <t xml:space="preserve">CSV Table view song song, Bàn làm sạch ⌘⇧L (ngày/số/null không cần regex), Data Profile, Filter theo cột, Cleaning Recipe, UDL</t>
  </si>
  <si>
    <t xml:space="preserve">Phân tích &amp; trình bày</t>
  </si>
  <si>
    <t xml:space="preserve">Query Workbench SQL + Pivot kéo-thả sinh SQL, Quick Charts, Data Mining (bất thường/phân cụm/dự báo), Report .greport.md xuất HTML/PDF, plugin native</t>
  </si>
  <si>
    <t xml:space="preserve">Knowledge Pack (plugin)</t>
  </si>
  <si>
    <t xml:space="preserve">JSONL 1 GB, Graph query openCypher→SQL, PageRank/Louvain, soạn Graph trực quan + refactor, schema validation, BM25 Retrieval Lab, context package GraphRAG</t>
  </si>
  <si>
    <t xml:space="preserve">Agent Pack (plugin BYOK)</t>
  </si>
  <si>
    <t xml:space="preserve">Nhập key (Keychain) + chọn model, agent thao tác file GB qua tools, cổng diff duyệt, hoàn tác cả phiên, đồng hồ chi phí, lệnh lặp không tốn token</t>
  </si>
  <si>
    <t xml:space="preserve">* Phase ghi dạng khoảng (1–2, 3–4) được đếm ở phase bắt đầu và phase kết thúc — con số mang tính tham chiếu.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</si>
</sst>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A3430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A34309"/>
      <name val="Arial"/>
      <family val="0"/>
      <charset val="1"/>
    </font>
    <font>
      <b val="true"/>
      <sz val="10"/>
      <color rgb="FFED6A1F"/>
      <name val="Arial"/>
      <family val="0"/>
      <charset val="1"/>
    </font>
    <font>
      <b val="true"/>
      <sz val="11"/>
      <color rgb="FFED6A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A34309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A34309"/>
        <bgColor rgb="FF993366"/>
      </patternFill>
    </fill>
    <fill>
      <patternFill patternType="solid">
        <fgColor rgb="FFFDF3EA"/>
        <bgColor rgb="FFFDF3D3"/>
      </patternFill>
    </fill>
    <fill>
      <patternFill patternType="solid">
        <fgColor rgb="FFF9DCDC"/>
        <bgColor rgb="FFEFEFEF"/>
      </patternFill>
    </fill>
    <fill>
      <patternFill patternType="solid">
        <fgColor rgb="FFFDF3D3"/>
        <bgColor rgb="FFFDF3EA"/>
      </patternFill>
    </fill>
    <fill>
      <patternFill patternType="solid">
        <fgColor rgb="FFEFEFEF"/>
        <bgColor rgb="FFFD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7B8"/>
      </left>
      <right style="thin">
        <color rgb="FFD8C7B8"/>
      </right>
      <top style="thin">
        <color rgb="FFD8C7B8"/>
      </top>
      <bottom style="thin">
        <color rgb="FFD8C7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A3430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9DCDC"/>
          <bgColor rgb="FF000000"/>
        </patternFill>
      </fill>
    </dxf>
    <dxf>
      <fill>
        <patternFill patternType="solid">
          <fgColor rgb="FFFDF3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7B8"/>
      <rgbColor rgb="FF808080"/>
      <rgbColor rgb="FF9999FF"/>
      <rgbColor rgb="FF993366"/>
      <rgbColor rgb="FFFDF3D3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3EA"/>
      <rgbColor rgb="FF99CCFF"/>
      <rgbColor rgb="FFFF99CC"/>
      <rgbColor rgb="FFCC99FF"/>
      <rgbColor rgb="FFF9DCDC"/>
      <rgbColor rgb="FF3366FF"/>
      <rgbColor rgb="FF33CCCC"/>
      <rgbColor rgb="FF99CC00"/>
      <rgbColor rgb="FFFFCC00"/>
      <rgbColor rgb="FFFF9900"/>
      <rgbColor rgb="FFED6A1F"/>
      <rgbColor rgb="FF666666"/>
      <rgbColor rgb="FF969696"/>
      <rgbColor rgb="FF003366"/>
      <rgbColor rgb="FF339966"/>
      <rgbColor rgb="FF003300"/>
      <rgbColor rgb="FF333300"/>
      <rgbColor rgb="FFA34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COUNTA('Danh mục tính năng (FR)'!A3:A500)</f>
        <v>137</v>
      </c>
    </row>
    <row r="6" customFormat="false" ht="15" hidden="false" customHeight="false" outlineLevel="0" collapsed="false">
      <c r="A6" s="4" t="s">
        <v>4</v>
      </c>
      <c r="B6" s="5" t="n">
        <f aca="false">COUNTA('Cam kết chất lượng (NFR)'!A3:A500)</f>
        <v>50</v>
      </c>
    </row>
    <row r="7" customFormat="false" ht="15" hidden="false" customHeight="false" outlineLevel="0" collapsed="false">
      <c r="A7" s="4" t="s">
        <v>5</v>
      </c>
      <c r="B7" s="5" t="n">
        <f aca="false">COUNTIF('Danh mục tính năng (FR)'!E:E,"P0")</f>
        <v>38</v>
      </c>
    </row>
    <row r="8" customFormat="false" ht="15" hidden="false" customHeight="false" outlineLevel="0" collapsed="false">
      <c r="A8" s="4" t="s">
        <v>6</v>
      </c>
      <c r="B8" s="5" t="n">
        <f aca="false">COUNTIF('Danh mục tính năng (FR)'!E:E,"P1")</f>
        <v>48</v>
      </c>
    </row>
    <row r="9" customFormat="false" ht="15" hidden="false" customHeight="false" outlineLevel="0" collapsed="false">
      <c r="A9" s="4" t="s">
        <v>7</v>
      </c>
      <c r="B9" s="5" t="n">
        <f aca="false">COUNTIF('Danh mục tính năng (FR)'!E:E,"P2")</f>
        <v>51</v>
      </c>
    </row>
    <row r="10" customFormat="false" ht="15" hidden="false" customHeight="false" outlineLevel="0" collapsed="false">
      <c r="A10" s="4" t="s">
        <v>8</v>
      </c>
      <c r="B10" s="5" t="s">
        <v>9</v>
      </c>
    </row>
    <row r="12" customFormat="false" ht="15" hidden="false" customHeight="false" outlineLevel="0" collapsed="false">
      <c r="A12" s="3" t="s">
        <v>10</v>
      </c>
    </row>
    <row r="13" customFormat="false" ht="23.85" hidden="false" customHeight="false" outlineLevel="0" collapsed="false">
      <c r="A13" s="6" t="s">
        <v>11</v>
      </c>
      <c r="C13" s="7" t="s">
        <v>12</v>
      </c>
    </row>
    <row r="14" customFormat="false" ht="15" hidden="false" customHeight="false" outlineLevel="0" collapsed="false">
      <c r="A14" s="6" t="s">
        <v>13</v>
      </c>
      <c r="C14" s="7" t="s">
        <v>14</v>
      </c>
    </row>
    <row r="15" customFormat="false" ht="23.85" hidden="false" customHeight="false" outlineLevel="0" collapsed="false">
      <c r="A15" s="6" t="s">
        <v>15</v>
      </c>
      <c r="C15" s="7" t="s">
        <v>16</v>
      </c>
    </row>
    <row r="16" customFormat="false" ht="23.85" hidden="false" customHeight="false" outlineLevel="0" collapsed="false">
      <c r="A16" s="6" t="s">
        <v>17</v>
      </c>
      <c r="C16" s="7" t="s">
        <v>18</v>
      </c>
    </row>
    <row r="17" customFormat="false" ht="23.85" hidden="false" customHeight="false" outlineLevel="0" collapsed="false">
      <c r="A17" s="6" t="s">
        <v>19</v>
      </c>
      <c r="C17" s="7" t="s">
        <v>20</v>
      </c>
    </row>
    <row r="18" customFormat="false" ht="23.85" hidden="false" customHeight="false" outlineLevel="0" collapsed="false">
      <c r="A18" s="6" t="s">
        <v>21</v>
      </c>
      <c r="C18" s="7" t="s">
        <v>22</v>
      </c>
    </row>
    <row r="19" customFormat="false" ht="23.85" hidden="false" customHeight="false" outlineLevel="0" collapsed="false">
      <c r="A19" s="6" t="s">
        <v>23</v>
      </c>
      <c r="C19" s="7" t="s">
        <v>24</v>
      </c>
    </row>
    <row r="20" customFormat="false" ht="23.85" hidden="false" customHeight="false" outlineLevel="0" collapsed="false">
      <c r="A20" s="6" t="s">
        <v>25</v>
      </c>
      <c r="C20" s="7" t="s">
        <v>26</v>
      </c>
    </row>
    <row r="22" customFormat="false" ht="15" hidden="false" customHeight="false" outlineLevel="0" collapsed="false">
      <c r="A22" s="3" t="s">
        <v>27</v>
      </c>
    </row>
    <row r="23" customFormat="false" ht="23.85" hidden="false" customHeight="false" outlineLevel="0" collapsed="false">
      <c r="A23" s="8" t="s">
        <v>28</v>
      </c>
      <c r="C23" s="7" t="s">
        <v>29</v>
      </c>
    </row>
    <row r="24" customFormat="false" ht="23.85" hidden="false" customHeight="false" outlineLevel="0" collapsed="false">
      <c r="A24" s="8" t="s">
        <v>28</v>
      </c>
      <c r="C24" s="7" t="s">
        <v>30</v>
      </c>
    </row>
    <row r="25" customFormat="false" ht="23.85" hidden="false" customHeight="false" outlineLevel="0" collapsed="false">
      <c r="A25" s="8" t="s">
        <v>28</v>
      </c>
      <c r="C25" s="7" t="s">
        <v>31</v>
      </c>
    </row>
    <row r="26" customFormat="false" ht="23.85" hidden="false" customHeight="false" outlineLevel="0" collapsed="false">
      <c r="A26" s="8" t="s">
        <v>28</v>
      </c>
      <c r="C26" s="7" t="s">
        <v>32</v>
      </c>
    </row>
    <row r="27" customFormat="false" ht="35.05" hidden="false" customHeight="false" outlineLevel="0" collapsed="false">
      <c r="A27" s="8" t="s">
        <v>28</v>
      </c>
      <c r="C27" s="7" t="s">
        <v>33</v>
      </c>
    </row>
    <row r="28" customFormat="false" ht="23.85" hidden="false" customHeight="false" outlineLevel="0" collapsed="false">
      <c r="A28" s="8" t="s">
        <v>28</v>
      </c>
      <c r="C28" s="7" t="s">
        <v>34</v>
      </c>
    </row>
    <row r="30" customFormat="false" ht="15" hidden="false" customHeight="false" outlineLevel="0" collapsed="false">
      <c r="A30" s="3" t="s">
        <v>35</v>
      </c>
    </row>
    <row r="31" customFormat="false" ht="15" hidden="false" customHeight="false" outlineLevel="0" collapsed="false">
      <c r="A31" s="9" t="s">
        <v>36</v>
      </c>
      <c r="B31" s="9" t="s">
        <v>37</v>
      </c>
      <c r="C31" s="9" t="s">
        <v>38</v>
      </c>
    </row>
    <row r="32" customFormat="false" ht="15" hidden="false" customHeight="false" outlineLevel="0" collapsed="false">
      <c r="A32" s="10" t="s">
        <v>39</v>
      </c>
      <c r="B32" s="11" t="n">
        <f aca="false">COUNTIF('Danh mục tính năng (FR)'!B:B,"Soạn thảo lõi")</f>
        <v>18</v>
      </c>
      <c r="C32" s="12" t="s">
        <v>40</v>
      </c>
    </row>
    <row r="33" customFormat="false" ht="15" hidden="false" customHeight="false" outlineLevel="0" collapsed="false">
      <c r="A33" s="13" t="s">
        <v>41</v>
      </c>
      <c r="B33" s="14" t="n">
        <f aca="false">COUNTIF('Danh mục tính năng (FR)'!B:B,"Tìm kiếm &amp; thay thế")</f>
        <v>11</v>
      </c>
      <c r="C33" s="15" t="s">
        <v>42</v>
      </c>
    </row>
    <row r="34" customFormat="false" ht="15" hidden="false" customHeight="false" outlineLevel="0" collapsed="false">
      <c r="A34" s="10" t="s">
        <v>43</v>
      </c>
      <c r="B34" s="11" t="n">
        <f aca="false">COUNTIF('Danh mục tính năng (FR)'!B:B,"Bảng mã &amp; tiếng Việt")</f>
        <v>7</v>
      </c>
      <c r="C34" s="12" t="s">
        <v>44</v>
      </c>
    </row>
    <row r="35" customFormat="false" ht="15" hidden="false" customHeight="false" outlineLevel="0" collapsed="false">
      <c r="A35" s="13" t="s">
        <v>45</v>
      </c>
      <c r="B35" s="14" t="n">
        <f aca="false">COUNTIF('Danh mục tính năng (FR)'!B:B,"Tài liệu &amp; file lớn")</f>
        <v>14</v>
      </c>
      <c r="C35" s="15" t="s">
        <v>46</v>
      </c>
    </row>
    <row r="36" customFormat="false" ht="15" hidden="false" customHeight="false" outlineLevel="0" collapsed="false">
      <c r="A36" s="10" t="s">
        <v>47</v>
      </c>
      <c r="B36" s="11" t="n">
        <f aca="false">COUNTIF('Danh mục tính năng (FR)'!B:B,"CSV first-class")</f>
        <v>8</v>
      </c>
      <c r="C36" s="12" t="s">
        <v>48</v>
      </c>
    </row>
    <row r="37" customFormat="false" ht="15" hidden="false" customHeight="false" outlineLevel="0" collapsed="false">
      <c r="A37" s="13" t="s">
        <v>49</v>
      </c>
      <c r="B37" s="14" t="n">
        <f aca="false">COUNTIF('Danh mục tính năng (FR)'!B:B,"Định dạng &amp; ngôn ngữ")</f>
        <v>8</v>
      </c>
      <c r="C37" s="15" t="s">
        <v>50</v>
      </c>
    </row>
    <row r="38" customFormat="false" ht="15" hidden="false" customHeight="false" outlineLevel="0" collapsed="false">
      <c r="A38" s="10" t="s">
        <v>51</v>
      </c>
      <c r="B38" s="11" t="n">
        <f aca="false">COUNTIF('Danh mục tính năng (FR)'!B:B,"Tự động hóa")</f>
        <v>6</v>
      </c>
      <c r="C38" s="12" t="s">
        <v>52</v>
      </c>
    </row>
    <row r="39" customFormat="false" ht="15" hidden="false" customHeight="false" outlineLevel="0" collapsed="false">
      <c r="A39" s="13" t="s">
        <v>53</v>
      </c>
      <c r="B39" s="14" t="n">
        <f aca="false">COUNTIF('Danh mục tính năng (FR)'!B:B,"Hệ sinh thái plugin")</f>
        <v>5</v>
      </c>
      <c r="C39" s="15" t="s">
        <v>54</v>
      </c>
    </row>
    <row r="40" customFormat="false" ht="15" hidden="false" customHeight="false" outlineLevel="0" collapsed="false">
      <c r="A40" s="10" t="s">
        <v>55</v>
      </c>
      <c r="B40" s="11" t="n">
        <f aca="false">COUNTIF('Danh mục tính năng (FR)'!B:B,"Giao diện &amp; cá nhân hóa")</f>
        <v>5</v>
      </c>
      <c r="C40" s="12" t="s">
        <v>56</v>
      </c>
    </row>
    <row r="41" customFormat="false" ht="15" hidden="false" customHeight="false" outlineLevel="0" collapsed="false">
      <c r="A41" s="13" t="s">
        <v>57</v>
      </c>
      <c r="B41" s="14" t="n">
        <f aca="false">COUNTIF('Danh mục tính năng (FR)'!B:B,"Làm sạch &amp; chuẩn hóa")</f>
        <v>6</v>
      </c>
      <c r="C41" s="15" t="s">
        <v>58</v>
      </c>
    </row>
    <row r="42" customFormat="false" ht="15" hidden="false" customHeight="false" outlineLevel="0" collapsed="false">
      <c r="A42" s="10" t="s">
        <v>59</v>
      </c>
      <c r="B42" s="11" t="n">
        <f aca="false">COUNTIF('Danh mục tính năng (FR)'!B:B,"Truy vấn &amp; phân tích")</f>
        <v>6</v>
      </c>
      <c r="C42" s="12" t="s">
        <v>60</v>
      </c>
    </row>
    <row r="43" customFormat="false" ht="15" hidden="false" customHeight="false" outlineLevel="0" collapsed="false">
      <c r="A43" s="13" t="s">
        <v>61</v>
      </c>
      <c r="B43" s="14" t="n">
        <f aca="false">COUNTIF('Danh mục tính năng (FR)'!B:B,"Visualization Report")</f>
        <v>6</v>
      </c>
      <c r="C43" s="15" t="s">
        <v>62</v>
      </c>
    </row>
    <row r="44" customFormat="false" ht="15" hidden="false" customHeight="false" outlineLevel="0" collapsed="false">
      <c r="A44" s="10" t="s">
        <v>63</v>
      </c>
      <c r="B44" s="11" t="n">
        <f aca="false">COUNTIF('Danh mục tính năng (FR)'!B:B,"Data Mining")</f>
        <v>6</v>
      </c>
      <c r="C44" s="12" t="s">
        <v>64</v>
      </c>
    </row>
    <row r="45" customFormat="false" ht="15" hidden="false" customHeight="false" outlineLevel="0" collapsed="false">
      <c r="A45" s="13" t="s">
        <v>65</v>
      </c>
      <c r="B45" s="14" t="n">
        <f aca="false">COUNTIF('Danh mục tính năng (FR)'!B:B,"Knowledge Pack (Graph/RAG)")</f>
        <v>21</v>
      </c>
      <c r="C45" s="15" t="s">
        <v>66</v>
      </c>
    </row>
    <row r="46" customFormat="false" ht="15" hidden="false" customHeight="false" outlineLevel="0" collapsed="false">
      <c r="A46" s="10" t="s">
        <v>67</v>
      </c>
      <c r="B46" s="11" t="n">
        <f aca="false">COUNTIF('Danh mục tính năng (FR)'!B:B,"Agent Pack (BYOK)")</f>
        <v>10</v>
      </c>
      <c r="C46" s="1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68"/>
    <col collapsed="false" customWidth="true" hidden="false" outlineLevel="0" max="6" min="5" style="0" width="9"/>
  </cols>
  <sheetData>
    <row r="1" customFormat="false" ht="15" hidden="false" customHeight="false" outlineLevel="0" collapsed="false">
      <c r="A1" s="16" t="s">
        <v>69</v>
      </c>
    </row>
    <row r="2" customFormat="false" ht="15" hidden="false" customHeight="false" outlineLevel="0" collapsed="false">
      <c r="A2" s="9" t="s">
        <v>70</v>
      </c>
      <c r="B2" s="9" t="s">
        <v>8</v>
      </c>
      <c r="C2" s="9" t="s">
        <v>71</v>
      </c>
      <c r="D2" s="9" t="s">
        <v>72</v>
      </c>
      <c r="E2" s="9" t="s">
        <v>73</v>
      </c>
      <c r="F2" s="9" t="s">
        <v>74</v>
      </c>
    </row>
    <row r="3" customFormat="false" ht="35.05" hidden="false" customHeight="false" outlineLevel="0" collapsed="false">
      <c r="A3" s="15" t="s">
        <v>75</v>
      </c>
      <c r="B3" s="15" t="s">
        <v>39</v>
      </c>
      <c r="C3" s="15" t="s">
        <v>76</v>
      </c>
      <c r="D3" s="15" t="s">
        <v>77</v>
      </c>
      <c r="E3" s="17" t="s">
        <v>78</v>
      </c>
      <c r="F3" s="14" t="s">
        <v>79</v>
      </c>
    </row>
    <row r="4" customFormat="false" ht="23.85" hidden="false" customHeight="false" outlineLevel="0" collapsed="false">
      <c r="A4" s="15" t="s">
        <v>80</v>
      </c>
      <c r="B4" s="15" t="s">
        <v>39</v>
      </c>
      <c r="C4" s="15" t="s">
        <v>81</v>
      </c>
      <c r="D4" s="15" t="s">
        <v>82</v>
      </c>
      <c r="E4" s="17" t="s">
        <v>78</v>
      </c>
      <c r="F4" s="14" t="s">
        <v>79</v>
      </c>
    </row>
    <row r="5" customFormat="false" ht="23.85" hidden="false" customHeight="false" outlineLevel="0" collapsed="false">
      <c r="A5" s="15" t="s">
        <v>83</v>
      </c>
      <c r="B5" s="15" t="s">
        <v>39</v>
      </c>
      <c r="C5" s="15" t="s">
        <v>84</v>
      </c>
      <c r="D5" s="15" t="s">
        <v>85</v>
      </c>
      <c r="E5" s="17" t="s">
        <v>78</v>
      </c>
      <c r="F5" s="14" t="s">
        <v>79</v>
      </c>
    </row>
    <row r="6" customFormat="false" ht="23.85" hidden="false" customHeight="false" outlineLevel="0" collapsed="false">
      <c r="A6" s="15" t="s">
        <v>86</v>
      </c>
      <c r="B6" s="15" t="s">
        <v>39</v>
      </c>
      <c r="C6" s="15" t="s">
        <v>87</v>
      </c>
      <c r="D6" s="15" t="s">
        <v>88</v>
      </c>
      <c r="E6" s="17" t="s">
        <v>78</v>
      </c>
      <c r="F6" s="14" t="s">
        <v>79</v>
      </c>
    </row>
    <row r="7" customFormat="false" ht="23.85" hidden="false" customHeight="false" outlineLevel="0" collapsed="false">
      <c r="A7" s="15" t="s">
        <v>89</v>
      </c>
      <c r="B7" s="15" t="s">
        <v>39</v>
      </c>
      <c r="C7" s="15" t="s">
        <v>90</v>
      </c>
      <c r="D7" s="15" t="s">
        <v>91</v>
      </c>
      <c r="E7" s="17" t="s">
        <v>78</v>
      </c>
      <c r="F7" s="14" t="s">
        <v>79</v>
      </c>
    </row>
    <row r="8" customFormat="false" ht="23.85" hidden="false" customHeight="false" outlineLevel="0" collapsed="false">
      <c r="A8" s="15" t="s">
        <v>92</v>
      </c>
      <c r="B8" s="15" t="s">
        <v>39</v>
      </c>
      <c r="C8" s="15" t="s">
        <v>93</v>
      </c>
      <c r="D8" s="15" t="s">
        <v>94</v>
      </c>
      <c r="E8" s="17" t="s">
        <v>78</v>
      </c>
      <c r="F8" s="14" t="s">
        <v>79</v>
      </c>
    </row>
    <row r="9" customFormat="false" ht="23.85" hidden="false" customHeight="false" outlineLevel="0" collapsed="false">
      <c r="A9" s="15" t="s">
        <v>95</v>
      </c>
      <c r="B9" s="15" t="s">
        <v>39</v>
      </c>
      <c r="C9" s="15" t="s">
        <v>96</v>
      </c>
      <c r="D9" s="15" t="s">
        <v>97</v>
      </c>
      <c r="E9" s="17" t="s">
        <v>78</v>
      </c>
      <c r="F9" s="14" t="s">
        <v>79</v>
      </c>
    </row>
    <row r="10" customFormat="false" ht="35.05" hidden="false" customHeight="false" outlineLevel="0" collapsed="false">
      <c r="A10" s="15" t="s">
        <v>98</v>
      </c>
      <c r="B10" s="15" t="s">
        <v>39</v>
      </c>
      <c r="C10" s="15" t="s">
        <v>99</v>
      </c>
      <c r="D10" s="15" t="s">
        <v>100</v>
      </c>
      <c r="E10" s="17" t="s">
        <v>78</v>
      </c>
      <c r="F10" s="14" t="s">
        <v>79</v>
      </c>
    </row>
    <row r="11" customFormat="false" ht="23.85" hidden="false" customHeight="false" outlineLevel="0" collapsed="false">
      <c r="A11" s="15" t="s">
        <v>101</v>
      </c>
      <c r="B11" s="15" t="s">
        <v>39</v>
      </c>
      <c r="C11" s="15" t="s">
        <v>102</v>
      </c>
      <c r="D11" s="15" t="s">
        <v>103</v>
      </c>
      <c r="E11" s="17" t="s">
        <v>78</v>
      </c>
      <c r="F11" s="14" t="s">
        <v>79</v>
      </c>
    </row>
    <row r="12" customFormat="false" ht="23.85" hidden="false" customHeight="false" outlineLevel="0" collapsed="false">
      <c r="A12" s="15" t="s">
        <v>104</v>
      </c>
      <c r="B12" s="15" t="s">
        <v>39</v>
      </c>
      <c r="C12" s="15" t="s">
        <v>105</v>
      </c>
      <c r="D12" s="15" t="s">
        <v>106</v>
      </c>
      <c r="E12" s="18" t="s">
        <v>107</v>
      </c>
      <c r="F12" s="14" t="s">
        <v>79</v>
      </c>
    </row>
    <row r="13" customFormat="false" ht="23.85" hidden="false" customHeight="false" outlineLevel="0" collapsed="false">
      <c r="A13" s="15" t="s">
        <v>108</v>
      </c>
      <c r="B13" s="15" t="s">
        <v>39</v>
      </c>
      <c r="C13" s="15" t="s">
        <v>109</v>
      </c>
      <c r="D13" s="15" t="s">
        <v>110</v>
      </c>
      <c r="E13" s="18" t="s">
        <v>107</v>
      </c>
      <c r="F13" s="14" t="s">
        <v>79</v>
      </c>
    </row>
    <row r="14" customFormat="false" ht="23.85" hidden="false" customHeight="false" outlineLevel="0" collapsed="false">
      <c r="A14" s="15" t="s">
        <v>111</v>
      </c>
      <c r="B14" s="15" t="s">
        <v>39</v>
      </c>
      <c r="C14" s="15" t="s">
        <v>112</v>
      </c>
      <c r="D14" s="15" t="s">
        <v>113</v>
      </c>
      <c r="E14" s="18" t="s">
        <v>107</v>
      </c>
      <c r="F14" s="14" t="s">
        <v>79</v>
      </c>
    </row>
    <row r="15" customFormat="false" ht="23.85" hidden="false" customHeight="false" outlineLevel="0" collapsed="false">
      <c r="A15" s="15" t="s">
        <v>114</v>
      </c>
      <c r="B15" s="15" t="s">
        <v>39</v>
      </c>
      <c r="C15" s="15" t="s">
        <v>115</v>
      </c>
      <c r="D15" s="15" t="s">
        <v>116</v>
      </c>
      <c r="E15" s="18" t="s">
        <v>107</v>
      </c>
      <c r="F15" s="14" t="s">
        <v>117</v>
      </c>
    </row>
    <row r="16" customFormat="false" ht="15" hidden="false" customHeight="false" outlineLevel="0" collapsed="false">
      <c r="A16" s="15" t="s">
        <v>118</v>
      </c>
      <c r="B16" s="15" t="s">
        <v>39</v>
      </c>
      <c r="C16" s="15" t="s">
        <v>119</v>
      </c>
      <c r="D16" s="15" t="s">
        <v>120</v>
      </c>
      <c r="E16" s="18" t="s">
        <v>107</v>
      </c>
      <c r="F16" s="14" t="s">
        <v>79</v>
      </c>
    </row>
    <row r="17" customFormat="false" ht="23.85" hidden="false" customHeight="false" outlineLevel="0" collapsed="false">
      <c r="A17" s="15" t="s">
        <v>121</v>
      </c>
      <c r="B17" s="15" t="s">
        <v>39</v>
      </c>
      <c r="C17" s="15" t="s">
        <v>122</v>
      </c>
      <c r="D17" s="15" t="s">
        <v>123</v>
      </c>
      <c r="E17" s="17" t="s">
        <v>78</v>
      </c>
      <c r="F17" s="14" t="s">
        <v>79</v>
      </c>
    </row>
    <row r="18" customFormat="false" ht="15" hidden="false" customHeight="false" outlineLevel="0" collapsed="false">
      <c r="A18" s="15" t="s">
        <v>124</v>
      </c>
      <c r="B18" s="15" t="s">
        <v>39</v>
      </c>
      <c r="C18" s="15" t="s">
        <v>125</v>
      </c>
      <c r="D18" s="15" t="s">
        <v>126</v>
      </c>
      <c r="E18" s="19" t="s">
        <v>127</v>
      </c>
      <c r="F18" s="14" t="s">
        <v>79</v>
      </c>
    </row>
    <row r="19" customFormat="false" ht="15" hidden="false" customHeight="false" outlineLevel="0" collapsed="false">
      <c r="A19" s="15" t="s">
        <v>128</v>
      </c>
      <c r="B19" s="15" t="s">
        <v>39</v>
      </c>
      <c r="C19" s="15" t="s">
        <v>129</v>
      </c>
      <c r="D19" s="15" t="s">
        <v>130</v>
      </c>
      <c r="E19" s="19" t="s">
        <v>127</v>
      </c>
      <c r="F19" s="14" t="s">
        <v>117</v>
      </c>
    </row>
    <row r="20" customFormat="false" ht="23.85" hidden="false" customHeight="false" outlineLevel="0" collapsed="false">
      <c r="A20" s="15" t="s">
        <v>131</v>
      </c>
      <c r="B20" s="15" t="s">
        <v>39</v>
      </c>
      <c r="C20" s="15" t="s">
        <v>132</v>
      </c>
      <c r="D20" s="15" t="s">
        <v>133</v>
      </c>
      <c r="E20" s="17" t="s">
        <v>78</v>
      </c>
      <c r="F20" s="14" t="s">
        <v>79</v>
      </c>
    </row>
    <row r="21" customFormat="false" ht="23.85" hidden="false" customHeight="false" outlineLevel="0" collapsed="false">
      <c r="A21" s="15" t="s">
        <v>134</v>
      </c>
      <c r="B21" s="15" t="s">
        <v>41</v>
      </c>
      <c r="C21" s="15" t="s">
        <v>135</v>
      </c>
      <c r="D21" s="15" t="s">
        <v>136</v>
      </c>
      <c r="E21" s="17" t="s">
        <v>78</v>
      </c>
      <c r="F21" s="14" t="s">
        <v>79</v>
      </c>
    </row>
    <row r="22" customFormat="false" ht="35.05" hidden="false" customHeight="false" outlineLevel="0" collapsed="false">
      <c r="A22" s="15" t="s">
        <v>137</v>
      </c>
      <c r="B22" s="15" t="s">
        <v>41</v>
      </c>
      <c r="C22" s="15" t="s">
        <v>138</v>
      </c>
      <c r="D22" s="15" t="s">
        <v>139</v>
      </c>
      <c r="E22" s="17" t="s">
        <v>78</v>
      </c>
      <c r="F22" s="14" t="s">
        <v>79</v>
      </c>
    </row>
    <row r="23" customFormat="false" ht="23.85" hidden="false" customHeight="false" outlineLevel="0" collapsed="false">
      <c r="A23" s="15" t="s">
        <v>140</v>
      </c>
      <c r="B23" s="15" t="s">
        <v>41</v>
      </c>
      <c r="C23" s="15" t="s">
        <v>141</v>
      </c>
      <c r="D23" s="15" t="s">
        <v>142</v>
      </c>
      <c r="E23" s="17" t="s">
        <v>78</v>
      </c>
      <c r="F23" s="14" t="s">
        <v>79</v>
      </c>
    </row>
    <row r="24" customFormat="false" ht="23.85" hidden="false" customHeight="false" outlineLevel="0" collapsed="false">
      <c r="A24" s="15" t="s">
        <v>143</v>
      </c>
      <c r="B24" s="15" t="s">
        <v>41</v>
      </c>
      <c r="C24" s="15" t="s">
        <v>144</v>
      </c>
      <c r="D24" s="15" t="s">
        <v>145</v>
      </c>
      <c r="E24" s="17" t="s">
        <v>78</v>
      </c>
      <c r="F24" s="14" t="s">
        <v>79</v>
      </c>
    </row>
    <row r="25" customFormat="false" ht="23.85" hidden="false" customHeight="false" outlineLevel="0" collapsed="false">
      <c r="A25" s="15" t="s">
        <v>146</v>
      </c>
      <c r="B25" s="15" t="s">
        <v>41</v>
      </c>
      <c r="C25" s="15" t="s">
        <v>147</v>
      </c>
      <c r="D25" s="15" t="s">
        <v>148</v>
      </c>
      <c r="E25" s="17" t="s">
        <v>78</v>
      </c>
      <c r="F25" s="14" t="s">
        <v>79</v>
      </c>
    </row>
    <row r="26" customFormat="false" ht="23.85" hidden="false" customHeight="false" outlineLevel="0" collapsed="false">
      <c r="A26" s="15" t="s">
        <v>149</v>
      </c>
      <c r="B26" s="15" t="s">
        <v>41</v>
      </c>
      <c r="C26" s="15" t="s">
        <v>150</v>
      </c>
      <c r="D26" s="15" t="s">
        <v>151</v>
      </c>
      <c r="E26" s="17" t="s">
        <v>78</v>
      </c>
      <c r="F26" s="14" t="s">
        <v>152</v>
      </c>
    </row>
    <row r="27" customFormat="false" ht="23.85" hidden="false" customHeight="false" outlineLevel="0" collapsed="false">
      <c r="A27" s="15" t="s">
        <v>153</v>
      </c>
      <c r="B27" s="15" t="s">
        <v>41</v>
      </c>
      <c r="C27" s="15" t="s">
        <v>154</v>
      </c>
      <c r="D27" s="15" t="s">
        <v>155</v>
      </c>
      <c r="E27" s="17" t="s">
        <v>78</v>
      </c>
      <c r="F27" s="14" t="s">
        <v>79</v>
      </c>
    </row>
    <row r="28" customFormat="false" ht="23.85" hidden="false" customHeight="false" outlineLevel="0" collapsed="false">
      <c r="A28" s="15" t="s">
        <v>156</v>
      </c>
      <c r="B28" s="15" t="s">
        <v>41</v>
      </c>
      <c r="C28" s="15" t="s">
        <v>157</v>
      </c>
      <c r="D28" s="15" t="s">
        <v>158</v>
      </c>
      <c r="E28" s="18" t="s">
        <v>107</v>
      </c>
      <c r="F28" s="14" t="s">
        <v>79</v>
      </c>
    </row>
    <row r="29" customFormat="false" ht="23.85" hidden="false" customHeight="false" outlineLevel="0" collapsed="false">
      <c r="A29" s="15" t="s">
        <v>159</v>
      </c>
      <c r="B29" s="15" t="s">
        <v>41</v>
      </c>
      <c r="C29" s="15" t="s">
        <v>160</v>
      </c>
      <c r="D29" s="15" t="s">
        <v>161</v>
      </c>
      <c r="E29" s="18" t="s">
        <v>107</v>
      </c>
      <c r="F29" s="14" t="s">
        <v>79</v>
      </c>
    </row>
    <row r="30" customFormat="false" ht="23.85" hidden="false" customHeight="false" outlineLevel="0" collapsed="false">
      <c r="A30" s="15" t="s">
        <v>162</v>
      </c>
      <c r="B30" s="15" t="s">
        <v>41</v>
      </c>
      <c r="C30" s="15" t="s">
        <v>163</v>
      </c>
      <c r="D30" s="15" t="s">
        <v>164</v>
      </c>
      <c r="E30" s="19" t="s">
        <v>127</v>
      </c>
      <c r="F30" s="14" t="s">
        <v>117</v>
      </c>
    </row>
    <row r="31" customFormat="false" ht="15" hidden="false" customHeight="false" outlineLevel="0" collapsed="false">
      <c r="A31" s="15" t="s">
        <v>165</v>
      </c>
      <c r="B31" s="15" t="s">
        <v>41</v>
      </c>
      <c r="C31" s="15" t="s">
        <v>166</v>
      </c>
      <c r="D31" s="15" t="s">
        <v>167</v>
      </c>
      <c r="E31" s="17" t="s">
        <v>78</v>
      </c>
      <c r="F31" s="14" t="s">
        <v>79</v>
      </c>
    </row>
    <row r="32" customFormat="false" ht="35.05" hidden="false" customHeight="false" outlineLevel="0" collapsed="false">
      <c r="A32" s="15" t="s">
        <v>168</v>
      </c>
      <c r="B32" s="15" t="s">
        <v>43</v>
      </c>
      <c r="C32" s="15" t="s">
        <v>169</v>
      </c>
      <c r="D32" s="15" t="s">
        <v>170</v>
      </c>
      <c r="E32" s="17" t="s">
        <v>78</v>
      </c>
      <c r="F32" s="14" t="s">
        <v>152</v>
      </c>
    </row>
    <row r="33" customFormat="false" ht="23.85" hidden="false" customHeight="false" outlineLevel="0" collapsed="false">
      <c r="A33" s="15" t="s">
        <v>171</v>
      </c>
      <c r="B33" s="15" t="s">
        <v>43</v>
      </c>
      <c r="C33" s="15" t="s">
        <v>172</v>
      </c>
      <c r="D33" s="15" t="s">
        <v>173</v>
      </c>
      <c r="E33" s="17" t="s">
        <v>78</v>
      </c>
      <c r="F33" s="14" t="s">
        <v>79</v>
      </c>
    </row>
    <row r="34" customFormat="false" ht="23.85" hidden="false" customHeight="false" outlineLevel="0" collapsed="false">
      <c r="A34" s="15" t="s">
        <v>174</v>
      </c>
      <c r="B34" s="15" t="s">
        <v>43</v>
      </c>
      <c r="C34" s="15" t="s">
        <v>175</v>
      </c>
      <c r="D34" s="15" t="s">
        <v>176</v>
      </c>
      <c r="E34" s="17" t="s">
        <v>78</v>
      </c>
      <c r="F34" s="14" t="s">
        <v>79</v>
      </c>
    </row>
    <row r="35" customFormat="false" ht="23.85" hidden="false" customHeight="false" outlineLevel="0" collapsed="false">
      <c r="A35" s="15" t="s">
        <v>177</v>
      </c>
      <c r="B35" s="15" t="s">
        <v>43</v>
      </c>
      <c r="C35" s="15" t="s">
        <v>178</v>
      </c>
      <c r="D35" s="15" t="s">
        <v>179</v>
      </c>
      <c r="E35" s="17" t="s">
        <v>78</v>
      </c>
      <c r="F35" s="14" t="s">
        <v>79</v>
      </c>
    </row>
    <row r="36" customFormat="false" ht="23.85" hidden="false" customHeight="false" outlineLevel="0" collapsed="false">
      <c r="A36" s="15" t="s">
        <v>180</v>
      </c>
      <c r="B36" s="15" t="s">
        <v>43</v>
      </c>
      <c r="C36" s="15" t="s">
        <v>181</v>
      </c>
      <c r="D36" s="15" t="s">
        <v>182</v>
      </c>
      <c r="E36" s="17" t="s">
        <v>78</v>
      </c>
      <c r="F36" s="14" t="s">
        <v>79</v>
      </c>
    </row>
    <row r="37" customFormat="false" ht="35.05" hidden="false" customHeight="false" outlineLevel="0" collapsed="false">
      <c r="A37" s="15" t="s">
        <v>183</v>
      </c>
      <c r="B37" s="15" t="s">
        <v>43</v>
      </c>
      <c r="C37" s="15" t="s">
        <v>184</v>
      </c>
      <c r="D37" s="15" t="s">
        <v>185</v>
      </c>
      <c r="E37" s="18" t="s">
        <v>107</v>
      </c>
      <c r="F37" s="14" t="s">
        <v>79</v>
      </c>
    </row>
    <row r="38" customFormat="false" ht="15" hidden="false" customHeight="false" outlineLevel="0" collapsed="false">
      <c r="A38" s="15" t="s">
        <v>186</v>
      </c>
      <c r="B38" s="15" t="s">
        <v>43</v>
      </c>
      <c r="C38" s="15" t="s">
        <v>187</v>
      </c>
      <c r="D38" s="15" t="s">
        <v>188</v>
      </c>
      <c r="E38" s="18" t="s">
        <v>107</v>
      </c>
      <c r="F38" s="14" t="s">
        <v>79</v>
      </c>
    </row>
    <row r="39" customFormat="false" ht="23.85" hidden="false" customHeight="false" outlineLevel="0" collapsed="false">
      <c r="A39" s="15" t="s">
        <v>189</v>
      </c>
      <c r="B39" s="15" t="s">
        <v>45</v>
      </c>
      <c r="C39" s="15" t="s">
        <v>190</v>
      </c>
      <c r="D39" s="15" t="s">
        <v>191</v>
      </c>
      <c r="E39" s="17" t="s">
        <v>78</v>
      </c>
      <c r="F39" s="14" t="s">
        <v>79</v>
      </c>
    </row>
    <row r="40" customFormat="false" ht="23.85" hidden="false" customHeight="false" outlineLevel="0" collapsed="false">
      <c r="A40" s="15" t="s">
        <v>192</v>
      </c>
      <c r="B40" s="15" t="s">
        <v>45</v>
      </c>
      <c r="C40" s="15" t="s">
        <v>193</v>
      </c>
      <c r="D40" s="15" t="s">
        <v>194</v>
      </c>
      <c r="E40" s="17" t="s">
        <v>78</v>
      </c>
      <c r="F40" s="14" t="s">
        <v>79</v>
      </c>
    </row>
    <row r="41" customFormat="false" ht="23.85" hidden="false" customHeight="false" outlineLevel="0" collapsed="false">
      <c r="A41" s="15" t="s">
        <v>195</v>
      </c>
      <c r="B41" s="15" t="s">
        <v>45</v>
      </c>
      <c r="C41" s="15" t="s">
        <v>196</v>
      </c>
      <c r="D41" s="15" t="s">
        <v>197</v>
      </c>
      <c r="E41" s="17" t="s">
        <v>78</v>
      </c>
      <c r="F41" s="14" t="s">
        <v>79</v>
      </c>
    </row>
    <row r="42" customFormat="false" ht="23.85" hidden="false" customHeight="false" outlineLevel="0" collapsed="false">
      <c r="A42" s="15" t="s">
        <v>198</v>
      </c>
      <c r="B42" s="15" t="s">
        <v>45</v>
      </c>
      <c r="C42" s="15" t="s">
        <v>199</v>
      </c>
      <c r="D42" s="15" t="s">
        <v>200</v>
      </c>
      <c r="E42" s="17" t="s">
        <v>78</v>
      </c>
      <c r="F42" s="14" t="s">
        <v>79</v>
      </c>
    </row>
    <row r="43" customFormat="false" ht="23.85" hidden="false" customHeight="false" outlineLevel="0" collapsed="false">
      <c r="A43" s="15" t="s">
        <v>201</v>
      </c>
      <c r="B43" s="15" t="s">
        <v>45</v>
      </c>
      <c r="C43" s="15" t="s">
        <v>202</v>
      </c>
      <c r="D43" s="15" t="s">
        <v>203</v>
      </c>
      <c r="E43" s="19" t="s">
        <v>127</v>
      </c>
      <c r="F43" s="14" t="s">
        <v>204</v>
      </c>
    </row>
    <row r="44" customFormat="false" ht="15" hidden="false" customHeight="false" outlineLevel="0" collapsed="false">
      <c r="A44" s="15" t="s">
        <v>205</v>
      </c>
      <c r="B44" s="15" t="s">
        <v>45</v>
      </c>
      <c r="C44" s="15" t="s">
        <v>206</v>
      </c>
      <c r="D44" s="15" t="s">
        <v>207</v>
      </c>
      <c r="E44" s="18" t="s">
        <v>107</v>
      </c>
      <c r="F44" s="14" t="s">
        <v>117</v>
      </c>
    </row>
    <row r="45" customFormat="false" ht="23.85" hidden="false" customHeight="false" outlineLevel="0" collapsed="false">
      <c r="A45" s="15" t="s">
        <v>208</v>
      </c>
      <c r="B45" s="15" t="s">
        <v>45</v>
      </c>
      <c r="C45" s="15" t="s">
        <v>209</v>
      </c>
      <c r="D45" s="15" t="s">
        <v>210</v>
      </c>
      <c r="E45" s="18" t="s">
        <v>107</v>
      </c>
      <c r="F45" s="14" t="s">
        <v>117</v>
      </c>
    </row>
    <row r="46" customFormat="false" ht="23.85" hidden="false" customHeight="false" outlineLevel="0" collapsed="false">
      <c r="A46" s="15" t="s">
        <v>211</v>
      </c>
      <c r="B46" s="15" t="s">
        <v>45</v>
      </c>
      <c r="C46" s="15" t="s">
        <v>212</v>
      </c>
      <c r="D46" s="15" t="s">
        <v>213</v>
      </c>
      <c r="E46" s="18" t="s">
        <v>107</v>
      </c>
      <c r="F46" s="14" t="s">
        <v>117</v>
      </c>
    </row>
    <row r="47" customFormat="false" ht="23.85" hidden="false" customHeight="false" outlineLevel="0" collapsed="false">
      <c r="A47" s="15" t="s">
        <v>214</v>
      </c>
      <c r="B47" s="15" t="s">
        <v>45</v>
      </c>
      <c r="C47" s="15" t="s">
        <v>215</v>
      </c>
      <c r="D47" s="15" t="s">
        <v>216</v>
      </c>
      <c r="E47" s="18" t="s">
        <v>107</v>
      </c>
      <c r="F47" s="14" t="s">
        <v>79</v>
      </c>
    </row>
    <row r="48" customFormat="false" ht="35.05" hidden="false" customHeight="false" outlineLevel="0" collapsed="false">
      <c r="A48" s="15" t="s">
        <v>217</v>
      </c>
      <c r="B48" s="15" t="s">
        <v>45</v>
      </c>
      <c r="C48" s="15" t="s">
        <v>218</v>
      </c>
      <c r="D48" s="15" t="s">
        <v>219</v>
      </c>
      <c r="E48" s="17" t="s">
        <v>78</v>
      </c>
      <c r="F48" s="14" t="s">
        <v>79</v>
      </c>
    </row>
    <row r="49" customFormat="false" ht="23.85" hidden="false" customHeight="false" outlineLevel="0" collapsed="false">
      <c r="A49" s="15" t="s">
        <v>220</v>
      </c>
      <c r="B49" s="15" t="s">
        <v>45</v>
      </c>
      <c r="C49" s="15" t="s">
        <v>221</v>
      </c>
      <c r="D49" s="15" t="s">
        <v>222</v>
      </c>
      <c r="E49" s="18" t="s">
        <v>107</v>
      </c>
      <c r="F49" s="14" t="s">
        <v>79</v>
      </c>
    </row>
    <row r="50" customFormat="false" ht="15" hidden="false" customHeight="false" outlineLevel="0" collapsed="false">
      <c r="A50" s="15" t="s">
        <v>223</v>
      </c>
      <c r="B50" s="15" t="s">
        <v>45</v>
      </c>
      <c r="C50" s="15" t="s">
        <v>224</v>
      </c>
      <c r="D50" s="15" t="s">
        <v>225</v>
      </c>
      <c r="E50" s="18" t="s">
        <v>107</v>
      </c>
      <c r="F50" s="14" t="s">
        <v>79</v>
      </c>
    </row>
    <row r="51" customFormat="false" ht="23.85" hidden="false" customHeight="false" outlineLevel="0" collapsed="false">
      <c r="A51" s="15" t="s">
        <v>226</v>
      </c>
      <c r="B51" s="15" t="s">
        <v>45</v>
      </c>
      <c r="C51" s="15" t="s">
        <v>227</v>
      </c>
      <c r="D51" s="15" t="s">
        <v>228</v>
      </c>
      <c r="E51" s="19" t="s">
        <v>127</v>
      </c>
      <c r="F51" s="14" t="s">
        <v>117</v>
      </c>
    </row>
    <row r="52" customFormat="false" ht="23.85" hidden="false" customHeight="false" outlineLevel="0" collapsed="false">
      <c r="A52" s="15" t="s">
        <v>229</v>
      </c>
      <c r="B52" s="15" t="s">
        <v>45</v>
      </c>
      <c r="C52" s="15" t="s">
        <v>230</v>
      </c>
      <c r="D52" s="15" t="s">
        <v>231</v>
      </c>
      <c r="E52" s="17" t="s">
        <v>78</v>
      </c>
      <c r="F52" s="14" t="s">
        <v>79</v>
      </c>
    </row>
    <row r="53" customFormat="false" ht="35.05" hidden="false" customHeight="false" outlineLevel="0" collapsed="false">
      <c r="A53" s="15" t="s">
        <v>232</v>
      </c>
      <c r="B53" s="15" t="s">
        <v>47</v>
      </c>
      <c r="C53" s="15" t="s">
        <v>233</v>
      </c>
      <c r="D53" s="15" t="s">
        <v>234</v>
      </c>
      <c r="E53" s="17" t="s">
        <v>78</v>
      </c>
      <c r="F53" s="14" t="s">
        <v>117</v>
      </c>
    </row>
    <row r="54" customFormat="false" ht="23.85" hidden="false" customHeight="false" outlineLevel="0" collapsed="false">
      <c r="A54" s="15" t="s">
        <v>235</v>
      </c>
      <c r="B54" s="15" t="s">
        <v>47</v>
      </c>
      <c r="C54" s="15" t="s">
        <v>236</v>
      </c>
      <c r="D54" s="15" t="s">
        <v>237</v>
      </c>
      <c r="E54" s="17" t="s">
        <v>78</v>
      </c>
      <c r="F54" s="14" t="s">
        <v>117</v>
      </c>
    </row>
    <row r="55" customFormat="false" ht="35.05" hidden="false" customHeight="false" outlineLevel="0" collapsed="false">
      <c r="A55" s="15" t="s">
        <v>238</v>
      </c>
      <c r="B55" s="15" t="s">
        <v>47</v>
      </c>
      <c r="C55" s="15" t="s">
        <v>239</v>
      </c>
      <c r="D55" s="15" t="s">
        <v>240</v>
      </c>
      <c r="E55" s="17" t="s">
        <v>78</v>
      </c>
      <c r="F55" s="14" t="s">
        <v>117</v>
      </c>
    </row>
    <row r="56" customFormat="false" ht="23.85" hidden="false" customHeight="false" outlineLevel="0" collapsed="false">
      <c r="A56" s="15" t="s">
        <v>241</v>
      </c>
      <c r="B56" s="15" t="s">
        <v>47</v>
      </c>
      <c r="C56" s="15" t="s">
        <v>242</v>
      </c>
      <c r="D56" s="15" t="s">
        <v>243</v>
      </c>
      <c r="E56" s="17" t="s">
        <v>78</v>
      </c>
      <c r="F56" s="14" t="s">
        <v>117</v>
      </c>
    </row>
    <row r="57" customFormat="false" ht="23.85" hidden="false" customHeight="false" outlineLevel="0" collapsed="false">
      <c r="A57" s="15" t="s">
        <v>244</v>
      </c>
      <c r="B57" s="15" t="s">
        <v>47</v>
      </c>
      <c r="C57" s="15" t="s">
        <v>245</v>
      </c>
      <c r="D57" s="15" t="s">
        <v>246</v>
      </c>
      <c r="E57" s="18" t="s">
        <v>107</v>
      </c>
      <c r="F57" s="14" t="s">
        <v>117</v>
      </c>
    </row>
    <row r="58" customFormat="false" ht="23.85" hidden="false" customHeight="false" outlineLevel="0" collapsed="false">
      <c r="A58" s="15" t="s">
        <v>247</v>
      </c>
      <c r="B58" s="15" t="s">
        <v>47</v>
      </c>
      <c r="C58" s="15" t="s">
        <v>248</v>
      </c>
      <c r="D58" s="15" t="s">
        <v>249</v>
      </c>
      <c r="E58" s="18" t="s">
        <v>107</v>
      </c>
      <c r="F58" s="14" t="s">
        <v>117</v>
      </c>
    </row>
    <row r="59" customFormat="false" ht="23.85" hidden="false" customHeight="false" outlineLevel="0" collapsed="false">
      <c r="A59" s="15" t="s">
        <v>250</v>
      </c>
      <c r="B59" s="15" t="s">
        <v>47</v>
      </c>
      <c r="C59" s="15" t="s">
        <v>251</v>
      </c>
      <c r="D59" s="15" t="s">
        <v>252</v>
      </c>
      <c r="E59" s="18" t="s">
        <v>107</v>
      </c>
      <c r="F59" s="14" t="s">
        <v>204</v>
      </c>
    </row>
    <row r="60" customFormat="false" ht="23.85" hidden="false" customHeight="false" outlineLevel="0" collapsed="false">
      <c r="A60" s="15" t="s">
        <v>253</v>
      </c>
      <c r="B60" s="15" t="s">
        <v>47</v>
      </c>
      <c r="C60" s="15" t="s">
        <v>254</v>
      </c>
      <c r="D60" s="15" t="s">
        <v>255</v>
      </c>
      <c r="E60" s="19" t="s">
        <v>127</v>
      </c>
      <c r="F60" s="14" t="s">
        <v>204</v>
      </c>
    </row>
    <row r="61" customFormat="false" ht="35.05" hidden="false" customHeight="false" outlineLevel="0" collapsed="false">
      <c r="A61" s="15" t="s">
        <v>256</v>
      </c>
      <c r="B61" s="15" t="s">
        <v>49</v>
      </c>
      <c r="C61" s="15" t="s">
        <v>257</v>
      </c>
      <c r="D61" s="15" t="s">
        <v>258</v>
      </c>
      <c r="E61" s="17" t="s">
        <v>78</v>
      </c>
      <c r="F61" s="14" t="s">
        <v>259</v>
      </c>
    </row>
    <row r="62" customFormat="false" ht="35.05" hidden="false" customHeight="false" outlineLevel="0" collapsed="false">
      <c r="A62" s="15" t="s">
        <v>260</v>
      </c>
      <c r="B62" s="15" t="s">
        <v>49</v>
      </c>
      <c r="C62" s="15" t="s">
        <v>261</v>
      </c>
      <c r="D62" s="15" t="s">
        <v>262</v>
      </c>
      <c r="E62" s="18" t="s">
        <v>107</v>
      </c>
      <c r="F62" s="14" t="s">
        <v>263</v>
      </c>
    </row>
    <row r="63" customFormat="false" ht="23.85" hidden="false" customHeight="false" outlineLevel="0" collapsed="false">
      <c r="A63" s="15" t="s">
        <v>264</v>
      </c>
      <c r="B63" s="15" t="s">
        <v>49</v>
      </c>
      <c r="C63" s="15" t="s">
        <v>265</v>
      </c>
      <c r="D63" s="15" t="s">
        <v>266</v>
      </c>
      <c r="E63" s="18" t="s">
        <v>107</v>
      </c>
      <c r="F63" s="14" t="s">
        <v>79</v>
      </c>
    </row>
    <row r="64" customFormat="false" ht="23.85" hidden="false" customHeight="false" outlineLevel="0" collapsed="false">
      <c r="A64" s="15" t="s">
        <v>267</v>
      </c>
      <c r="B64" s="15" t="s">
        <v>49</v>
      </c>
      <c r="C64" s="15" t="s">
        <v>268</v>
      </c>
      <c r="D64" s="15" t="s">
        <v>269</v>
      </c>
      <c r="E64" s="18" t="s">
        <v>107</v>
      </c>
      <c r="F64" s="14" t="s">
        <v>117</v>
      </c>
    </row>
    <row r="65" customFormat="false" ht="15" hidden="false" customHeight="false" outlineLevel="0" collapsed="false">
      <c r="A65" s="15" t="s">
        <v>270</v>
      </c>
      <c r="B65" s="15" t="s">
        <v>49</v>
      </c>
      <c r="C65" s="15" t="s">
        <v>271</v>
      </c>
      <c r="D65" s="15" t="s">
        <v>272</v>
      </c>
      <c r="E65" s="18" t="s">
        <v>107</v>
      </c>
      <c r="F65" s="14" t="s">
        <v>117</v>
      </c>
    </row>
    <row r="66" customFormat="false" ht="23.85" hidden="false" customHeight="false" outlineLevel="0" collapsed="false">
      <c r="A66" s="15" t="s">
        <v>273</v>
      </c>
      <c r="B66" s="15" t="s">
        <v>49</v>
      </c>
      <c r="C66" s="15" t="s">
        <v>274</v>
      </c>
      <c r="D66" s="15" t="s">
        <v>275</v>
      </c>
      <c r="E66" s="19" t="s">
        <v>127</v>
      </c>
      <c r="F66" s="14" t="s">
        <v>117</v>
      </c>
    </row>
    <row r="67" customFormat="false" ht="15" hidden="false" customHeight="false" outlineLevel="0" collapsed="false">
      <c r="A67" s="15" t="s">
        <v>276</v>
      </c>
      <c r="B67" s="15" t="s">
        <v>49</v>
      </c>
      <c r="C67" s="15" t="s">
        <v>277</v>
      </c>
      <c r="D67" s="15" t="s">
        <v>278</v>
      </c>
      <c r="E67" s="18" t="s">
        <v>107</v>
      </c>
      <c r="F67" s="14" t="s">
        <v>117</v>
      </c>
    </row>
    <row r="68" customFormat="false" ht="23.85" hidden="false" customHeight="false" outlineLevel="0" collapsed="false">
      <c r="A68" s="15" t="s">
        <v>279</v>
      </c>
      <c r="B68" s="15" t="s">
        <v>49</v>
      </c>
      <c r="C68" s="15" t="s">
        <v>280</v>
      </c>
      <c r="D68" s="15" t="s">
        <v>281</v>
      </c>
      <c r="E68" s="19" t="s">
        <v>127</v>
      </c>
      <c r="F68" s="14" t="s">
        <v>204</v>
      </c>
    </row>
    <row r="69" customFormat="false" ht="23.85" hidden="false" customHeight="false" outlineLevel="0" collapsed="false">
      <c r="A69" s="15" t="s">
        <v>282</v>
      </c>
      <c r="B69" s="15" t="s">
        <v>51</v>
      </c>
      <c r="C69" s="15" t="s">
        <v>283</v>
      </c>
      <c r="D69" s="15" t="s">
        <v>284</v>
      </c>
      <c r="E69" s="17" t="s">
        <v>78</v>
      </c>
      <c r="F69" s="14" t="s">
        <v>79</v>
      </c>
    </row>
    <row r="70" customFormat="false" ht="23.85" hidden="false" customHeight="false" outlineLevel="0" collapsed="false">
      <c r="A70" s="15" t="s">
        <v>285</v>
      </c>
      <c r="B70" s="15" t="s">
        <v>51</v>
      </c>
      <c r="C70" s="15" t="s">
        <v>286</v>
      </c>
      <c r="D70" s="15" t="s">
        <v>287</v>
      </c>
      <c r="E70" s="17" t="s">
        <v>78</v>
      </c>
      <c r="F70" s="14" t="s">
        <v>152</v>
      </c>
    </row>
    <row r="71" customFormat="false" ht="23.85" hidden="false" customHeight="false" outlineLevel="0" collapsed="false">
      <c r="A71" s="15" t="s">
        <v>288</v>
      </c>
      <c r="B71" s="15" t="s">
        <v>51</v>
      </c>
      <c r="C71" s="15" t="s">
        <v>289</v>
      </c>
      <c r="D71" s="15" t="s">
        <v>290</v>
      </c>
      <c r="E71" s="18" t="s">
        <v>107</v>
      </c>
      <c r="F71" s="14" t="s">
        <v>117</v>
      </c>
    </row>
    <row r="72" customFormat="false" ht="35.05" hidden="false" customHeight="false" outlineLevel="0" collapsed="false">
      <c r="A72" s="15" t="s">
        <v>291</v>
      </c>
      <c r="B72" s="15" t="s">
        <v>51</v>
      </c>
      <c r="C72" s="15" t="s">
        <v>292</v>
      </c>
      <c r="D72" s="15" t="s">
        <v>293</v>
      </c>
      <c r="E72" s="18" t="s">
        <v>107</v>
      </c>
      <c r="F72" s="14" t="s">
        <v>117</v>
      </c>
    </row>
    <row r="73" customFormat="false" ht="23.85" hidden="false" customHeight="false" outlineLevel="0" collapsed="false">
      <c r="A73" s="15" t="s">
        <v>294</v>
      </c>
      <c r="B73" s="15" t="s">
        <v>51</v>
      </c>
      <c r="C73" s="15" t="s">
        <v>295</v>
      </c>
      <c r="D73" s="15" t="s">
        <v>296</v>
      </c>
      <c r="E73" s="18" t="s">
        <v>107</v>
      </c>
      <c r="F73" s="14" t="s">
        <v>79</v>
      </c>
    </row>
    <row r="74" customFormat="false" ht="23.85" hidden="false" customHeight="false" outlineLevel="0" collapsed="false">
      <c r="A74" s="15" t="s">
        <v>297</v>
      </c>
      <c r="B74" s="15" t="s">
        <v>51</v>
      </c>
      <c r="C74" s="15" t="s">
        <v>298</v>
      </c>
      <c r="D74" s="15" t="s">
        <v>299</v>
      </c>
      <c r="E74" s="19" t="s">
        <v>127</v>
      </c>
      <c r="F74" s="14" t="s">
        <v>204</v>
      </c>
    </row>
    <row r="75" customFormat="false" ht="23.85" hidden="false" customHeight="false" outlineLevel="0" collapsed="false">
      <c r="A75" s="15" t="s">
        <v>300</v>
      </c>
      <c r="B75" s="15" t="s">
        <v>53</v>
      </c>
      <c r="C75" s="15" t="s">
        <v>301</v>
      </c>
      <c r="D75" s="15" t="s">
        <v>302</v>
      </c>
      <c r="E75" s="18" t="s">
        <v>107</v>
      </c>
      <c r="F75" s="14" t="s">
        <v>117</v>
      </c>
    </row>
    <row r="76" customFormat="false" ht="23.85" hidden="false" customHeight="false" outlineLevel="0" collapsed="false">
      <c r="A76" s="15" t="s">
        <v>303</v>
      </c>
      <c r="B76" s="15" t="s">
        <v>53</v>
      </c>
      <c r="C76" s="15" t="s">
        <v>304</v>
      </c>
      <c r="D76" s="15" t="s">
        <v>305</v>
      </c>
      <c r="E76" s="19" t="s">
        <v>127</v>
      </c>
      <c r="F76" s="14" t="s">
        <v>204</v>
      </c>
    </row>
    <row r="77" customFormat="false" ht="23.85" hidden="false" customHeight="false" outlineLevel="0" collapsed="false">
      <c r="A77" s="15" t="s">
        <v>306</v>
      </c>
      <c r="B77" s="15" t="s">
        <v>53</v>
      </c>
      <c r="C77" s="15" t="s">
        <v>307</v>
      </c>
      <c r="D77" s="15" t="s">
        <v>308</v>
      </c>
      <c r="E77" s="19" t="s">
        <v>127</v>
      </c>
      <c r="F77" s="14" t="s">
        <v>204</v>
      </c>
    </row>
    <row r="78" customFormat="false" ht="23.85" hidden="false" customHeight="false" outlineLevel="0" collapsed="false">
      <c r="A78" s="15" t="s">
        <v>309</v>
      </c>
      <c r="B78" s="15" t="s">
        <v>53</v>
      </c>
      <c r="C78" s="15" t="s">
        <v>310</v>
      </c>
      <c r="D78" s="15" t="s">
        <v>311</v>
      </c>
      <c r="E78" s="19" t="s">
        <v>127</v>
      </c>
      <c r="F78" s="14" t="s">
        <v>204</v>
      </c>
    </row>
    <row r="79" customFormat="false" ht="23.85" hidden="false" customHeight="false" outlineLevel="0" collapsed="false">
      <c r="A79" s="15" t="s">
        <v>312</v>
      </c>
      <c r="B79" s="15" t="s">
        <v>53</v>
      </c>
      <c r="C79" s="15" t="s">
        <v>313</v>
      </c>
      <c r="D79" s="15" t="s">
        <v>314</v>
      </c>
      <c r="E79" s="18" t="s">
        <v>107</v>
      </c>
      <c r="F79" s="14" t="s">
        <v>117</v>
      </c>
    </row>
    <row r="80" customFormat="false" ht="23.85" hidden="false" customHeight="false" outlineLevel="0" collapsed="false">
      <c r="A80" s="15" t="s">
        <v>315</v>
      </c>
      <c r="B80" s="15" t="s">
        <v>55</v>
      </c>
      <c r="C80" s="15" t="s">
        <v>316</v>
      </c>
      <c r="D80" s="15" t="s">
        <v>317</v>
      </c>
      <c r="E80" s="18" t="s">
        <v>107</v>
      </c>
      <c r="F80" s="14" t="s">
        <v>152</v>
      </c>
    </row>
    <row r="81" customFormat="false" ht="23.85" hidden="false" customHeight="false" outlineLevel="0" collapsed="false">
      <c r="A81" s="15" t="s">
        <v>318</v>
      </c>
      <c r="B81" s="15" t="s">
        <v>55</v>
      </c>
      <c r="C81" s="15" t="s">
        <v>319</v>
      </c>
      <c r="D81" s="15" t="s">
        <v>320</v>
      </c>
      <c r="E81" s="18" t="s">
        <v>107</v>
      </c>
      <c r="F81" s="14" t="s">
        <v>117</v>
      </c>
    </row>
    <row r="82" customFormat="false" ht="23.85" hidden="false" customHeight="false" outlineLevel="0" collapsed="false">
      <c r="A82" s="15" t="s">
        <v>321</v>
      </c>
      <c r="B82" s="15" t="s">
        <v>55</v>
      </c>
      <c r="C82" s="15" t="s">
        <v>322</v>
      </c>
      <c r="D82" s="15" t="s">
        <v>323</v>
      </c>
      <c r="E82" s="18" t="s">
        <v>107</v>
      </c>
      <c r="F82" s="14" t="s">
        <v>79</v>
      </c>
    </row>
    <row r="83" customFormat="false" ht="23.85" hidden="false" customHeight="false" outlineLevel="0" collapsed="false">
      <c r="A83" s="15" t="s">
        <v>324</v>
      </c>
      <c r="B83" s="15" t="s">
        <v>55</v>
      </c>
      <c r="C83" s="15" t="s">
        <v>325</v>
      </c>
      <c r="D83" s="15" t="s">
        <v>326</v>
      </c>
      <c r="E83" s="18" t="s">
        <v>107</v>
      </c>
      <c r="F83" s="14" t="s">
        <v>79</v>
      </c>
    </row>
    <row r="84" customFormat="false" ht="23.85" hidden="false" customHeight="false" outlineLevel="0" collapsed="false">
      <c r="A84" s="15" t="s">
        <v>327</v>
      </c>
      <c r="B84" s="15" t="s">
        <v>55</v>
      </c>
      <c r="C84" s="15" t="s">
        <v>328</v>
      </c>
      <c r="D84" s="15" t="s">
        <v>329</v>
      </c>
      <c r="E84" s="17" t="s">
        <v>78</v>
      </c>
      <c r="F84" s="14" t="s">
        <v>79</v>
      </c>
    </row>
    <row r="85" customFormat="false" ht="57.45" hidden="false" customHeight="false" outlineLevel="0" collapsed="false">
      <c r="A85" s="15" t="s">
        <v>330</v>
      </c>
      <c r="B85" s="15" t="s">
        <v>57</v>
      </c>
      <c r="C85" s="15" t="s">
        <v>331</v>
      </c>
      <c r="D85" s="15" t="s">
        <v>332</v>
      </c>
      <c r="E85" s="18" t="s">
        <v>107</v>
      </c>
      <c r="F85" s="14" t="s">
        <v>117</v>
      </c>
    </row>
    <row r="86" customFormat="false" ht="35.05" hidden="false" customHeight="false" outlineLevel="0" collapsed="false">
      <c r="A86" s="15" t="s">
        <v>333</v>
      </c>
      <c r="B86" s="15" t="s">
        <v>57</v>
      </c>
      <c r="C86" s="15" t="s">
        <v>334</v>
      </c>
      <c r="D86" s="15" t="s">
        <v>335</v>
      </c>
      <c r="E86" s="18" t="s">
        <v>107</v>
      </c>
      <c r="F86" s="14" t="s">
        <v>117</v>
      </c>
    </row>
    <row r="87" customFormat="false" ht="46.25" hidden="false" customHeight="false" outlineLevel="0" collapsed="false">
      <c r="A87" s="15" t="s">
        <v>336</v>
      </c>
      <c r="B87" s="15" t="s">
        <v>57</v>
      </c>
      <c r="C87" s="15" t="s">
        <v>337</v>
      </c>
      <c r="D87" s="15" t="s">
        <v>338</v>
      </c>
      <c r="E87" s="18" t="s">
        <v>107</v>
      </c>
      <c r="F87" s="14" t="s">
        <v>117</v>
      </c>
    </row>
    <row r="88" customFormat="false" ht="35.05" hidden="false" customHeight="false" outlineLevel="0" collapsed="false">
      <c r="A88" s="15" t="s">
        <v>339</v>
      </c>
      <c r="B88" s="15" t="s">
        <v>57</v>
      </c>
      <c r="C88" s="15" t="s">
        <v>340</v>
      </c>
      <c r="D88" s="15" t="s">
        <v>341</v>
      </c>
      <c r="E88" s="19" t="s">
        <v>127</v>
      </c>
      <c r="F88" s="14" t="s">
        <v>342</v>
      </c>
    </row>
    <row r="89" customFormat="false" ht="35.05" hidden="false" customHeight="false" outlineLevel="0" collapsed="false">
      <c r="A89" s="15" t="s">
        <v>343</v>
      </c>
      <c r="B89" s="15" t="s">
        <v>57</v>
      </c>
      <c r="C89" s="15" t="s">
        <v>344</v>
      </c>
      <c r="D89" s="15" t="s">
        <v>345</v>
      </c>
      <c r="E89" s="18" t="s">
        <v>107</v>
      </c>
      <c r="F89" s="14" t="s">
        <v>263</v>
      </c>
    </row>
    <row r="90" customFormat="false" ht="46.25" hidden="false" customHeight="false" outlineLevel="0" collapsed="false">
      <c r="A90" s="15" t="s">
        <v>346</v>
      </c>
      <c r="B90" s="15" t="s">
        <v>57</v>
      </c>
      <c r="C90" s="15" t="s">
        <v>347</v>
      </c>
      <c r="D90" s="15" t="s">
        <v>348</v>
      </c>
      <c r="E90" s="18" t="s">
        <v>107</v>
      </c>
      <c r="F90" s="14" t="s">
        <v>117</v>
      </c>
    </row>
    <row r="91" customFormat="false" ht="46.25" hidden="false" customHeight="false" outlineLevel="0" collapsed="false">
      <c r="A91" s="15" t="s">
        <v>349</v>
      </c>
      <c r="B91" s="15" t="s">
        <v>59</v>
      </c>
      <c r="C91" s="15" t="s">
        <v>350</v>
      </c>
      <c r="D91" s="15" t="s">
        <v>351</v>
      </c>
      <c r="E91" s="18" t="s">
        <v>107</v>
      </c>
      <c r="F91" s="14" t="s">
        <v>263</v>
      </c>
    </row>
    <row r="92" customFormat="false" ht="35.05" hidden="false" customHeight="false" outlineLevel="0" collapsed="false">
      <c r="A92" s="15" t="s">
        <v>352</v>
      </c>
      <c r="B92" s="15" t="s">
        <v>59</v>
      </c>
      <c r="C92" s="15" t="s">
        <v>353</v>
      </c>
      <c r="D92" s="15" t="s">
        <v>354</v>
      </c>
      <c r="E92" s="18" t="s">
        <v>107</v>
      </c>
      <c r="F92" s="14" t="s">
        <v>117</v>
      </c>
    </row>
    <row r="93" customFormat="false" ht="35.05" hidden="false" customHeight="false" outlineLevel="0" collapsed="false">
      <c r="A93" s="15" t="s">
        <v>355</v>
      </c>
      <c r="B93" s="15" t="s">
        <v>59</v>
      </c>
      <c r="C93" s="15" t="s">
        <v>356</v>
      </c>
      <c r="D93" s="15" t="s">
        <v>357</v>
      </c>
      <c r="E93" s="18" t="s">
        <v>107</v>
      </c>
      <c r="F93" s="14" t="s">
        <v>204</v>
      </c>
    </row>
    <row r="94" customFormat="false" ht="35.05" hidden="false" customHeight="false" outlineLevel="0" collapsed="false">
      <c r="A94" s="15" t="s">
        <v>358</v>
      </c>
      <c r="B94" s="15" t="s">
        <v>59</v>
      </c>
      <c r="C94" s="15" t="s">
        <v>359</v>
      </c>
      <c r="D94" s="15" t="s">
        <v>360</v>
      </c>
      <c r="E94" s="18" t="s">
        <v>107</v>
      </c>
      <c r="F94" s="14" t="s">
        <v>204</v>
      </c>
    </row>
    <row r="95" customFormat="false" ht="35.05" hidden="false" customHeight="false" outlineLevel="0" collapsed="false">
      <c r="A95" s="15" t="s">
        <v>361</v>
      </c>
      <c r="B95" s="15" t="s">
        <v>59</v>
      </c>
      <c r="C95" s="15" t="s">
        <v>362</v>
      </c>
      <c r="D95" s="15" t="s">
        <v>363</v>
      </c>
      <c r="E95" s="19" t="s">
        <v>127</v>
      </c>
      <c r="F95" s="14" t="s">
        <v>204</v>
      </c>
    </row>
    <row r="96" customFormat="false" ht="23.85" hidden="false" customHeight="false" outlineLevel="0" collapsed="false">
      <c r="A96" s="15" t="s">
        <v>364</v>
      </c>
      <c r="B96" s="15" t="s">
        <v>59</v>
      </c>
      <c r="C96" s="15" t="s">
        <v>365</v>
      </c>
      <c r="D96" s="15" t="s">
        <v>366</v>
      </c>
      <c r="E96" s="19" t="s">
        <v>127</v>
      </c>
      <c r="F96" s="14" t="s">
        <v>204</v>
      </c>
    </row>
    <row r="97" customFormat="false" ht="46.25" hidden="false" customHeight="false" outlineLevel="0" collapsed="false">
      <c r="A97" s="15" t="s">
        <v>367</v>
      </c>
      <c r="B97" s="15" t="s">
        <v>61</v>
      </c>
      <c r="C97" s="15" t="s">
        <v>368</v>
      </c>
      <c r="D97" s="15" t="s">
        <v>369</v>
      </c>
      <c r="E97" s="18" t="s">
        <v>107</v>
      </c>
      <c r="F97" s="14" t="s">
        <v>204</v>
      </c>
    </row>
    <row r="98" customFormat="false" ht="35.05" hidden="false" customHeight="false" outlineLevel="0" collapsed="false">
      <c r="A98" s="15" t="s">
        <v>370</v>
      </c>
      <c r="B98" s="15" t="s">
        <v>61</v>
      </c>
      <c r="C98" s="15" t="s">
        <v>371</v>
      </c>
      <c r="D98" s="15" t="s">
        <v>372</v>
      </c>
      <c r="E98" s="18" t="s">
        <v>107</v>
      </c>
      <c r="F98" s="14" t="s">
        <v>204</v>
      </c>
    </row>
    <row r="99" customFormat="false" ht="35.05" hidden="false" customHeight="false" outlineLevel="0" collapsed="false">
      <c r="A99" s="15" t="s">
        <v>373</v>
      </c>
      <c r="B99" s="15" t="s">
        <v>61</v>
      </c>
      <c r="C99" s="15" t="s">
        <v>374</v>
      </c>
      <c r="D99" s="15" t="s">
        <v>375</v>
      </c>
      <c r="E99" s="19" t="s">
        <v>127</v>
      </c>
      <c r="F99" s="14" t="s">
        <v>204</v>
      </c>
    </row>
    <row r="100" customFormat="false" ht="35.05" hidden="false" customHeight="false" outlineLevel="0" collapsed="false">
      <c r="A100" s="15" t="s">
        <v>376</v>
      </c>
      <c r="B100" s="15" t="s">
        <v>61</v>
      </c>
      <c r="C100" s="15" t="s">
        <v>377</v>
      </c>
      <c r="D100" s="15" t="s">
        <v>378</v>
      </c>
      <c r="E100" s="18" t="s">
        <v>107</v>
      </c>
      <c r="F100" s="14" t="s">
        <v>204</v>
      </c>
    </row>
    <row r="101" customFormat="false" ht="35.05" hidden="false" customHeight="false" outlineLevel="0" collapsed="false">
      <c r="A101" s="15" t="s">
        <v>379</v>
      </c>
      <c r="B101" s="15" t="s">
        <v>61</v>
      </c>
      <c r="C101" s="15" t="s">
        <v>380</v>
      </c>
      <c r="D101" s="15" t="s">
        <v>381</v>
      </c>
      <c r="E101" s="18" t="s">
        <v>107</v>
      </c>
      <c r="F101" s="14" t="s">
        <v>204</v>
      </c>
    </row>
    <row r="102" customFormat="false" ht="23.85" hidden="false" customHeight="false" outlineLevel="0" collapsed="false">
      <c r="A102" s="15" t="s">
        <v>382</v>
      </c>
      <c r="B102" s="15" t="s">
        <v>61</v>
      </c>
      <c r="C102" s="15" t="s">
        <v>383</v>
      </c>
      <c r="D102" s="15" t="s">
        <v>384</v>
      </c>
      <c r="E102" s="19" t="s">
        <v>127</v>
      </c>
      <c r="F102" s="14" t="s">
        <v>342</v>
      </c>
    </row>
    <row r="103" customFormat="false" ht="79.85" hidden="false" customHeight="false" outlineLevel="0" collapsed="false">
      <c r="A103" s="15" t="s">
        <v>385</v>
      </c>
      <c r="B103" s="15" t="s">
        <v>63</v>
      </c>
      <c r="C103" s="15" t="s">
        <v>386</v>
      </c>
      <c r="D103" s="15" t="s">
        <v>387</v>
      </c>
      <c r="E103" s="18" t="s">
        <v>107</v>
      </c>
      <c r="F103" s="14" t="s">
        <v>204</v>
      </c>
    </row>
    <row r="104" customFormat="false" ht="79.85" hidden="false" customHeight="false" outlineLevel="0" collapsed="false">
      <c r="A104" s="15" t="s">
        <v>388</v>
      </c>
      <c r="B104" s="15" t="s">
        <v>63</v>
      </c>
      <c r="C104" s="15" t="s">
        <v>389</v>
      </c>
      <c r="D104" s="15" t="s">
        <v>390</v>
      </c>
      <c r="E104" s="18" t="s">
        <v>107</v>
      </c>
      <c r="F104" s="14" t="s">
        <v>204</v>
      </c>
    </row>
    <row r="105" customFormat="false" ht="57.45" hidden="false" customHeight="false" outlineLevel="0" collapsed="false">
      <c r="A105" s="15" t="s">
        <v>391</v>
      </c>
      <c r="B105" s="15" t="s">
        <v>63</v>
      </c>
      <c r="C105" s="15" t="s">
        <v>392</v>
      </c>
      <c r="D105" s="15" t="s">
        <v>393</v>
      </c>
      <c r="E105" s="19" t="s">
        <v>127</v>
      </c>
      <c r="F105" s="14" t="s">
        <v>204</v>
      </c>
    </row>
    <row r="106" customFormat="false" ht="79.85" hidden="false" customHeight="false" outlineLevel="0" collapsed="false">
      <c r="A106" s="15" t="s">
        <v>394</v>
      </c>
      <c r="B106" s="15" t="s">
        <v>63</v>
      </c>
      <c r="C106" s="15" t="s">
        <v>395</v>
      </c>
      <c r="D106" s="15" t="s">
        <v>396</v>
      </c>
      <c r="E106" s="19" t="s">
        <v>127</v>
      </c>
      <c r="F106" s="14" t="s">
        <v>204</v>
      </c>
    </row>
    <row r="107" customFormat="false" ht="46.25" hidden="false" customHeight="false" outlineLevel="0" collapsed="false">
      <c r="A107" s="15" t="s">
        <v>397</v>
      </c>
      <c r="B107" s="15" t="s">
        <v>63</v>
      </c>
      <c r="C107" s="15" t="s">
        <v>398</v>
      </c>
      <c r="D107" s="15" t="s">
        <v>399</v>
      </c>
      <c r="E107" s="18" t="s">
        <v>107</v>
      </c>
      <c r="F107" s="14" t="s">
        <v>204</v>
      </c>
    </row>
    <row r="108" customFormat="false" ht="68.65" hidden="false" customHeight="false" outlineLevel="0" collapsed="false">
      <c r="A108" s="15" t="s">
        <v>400</v>
      </c>
      <c r="B108" s="15" t="s">
        <v>63</v>
      </c>
      <c r="C108" s="15" t="s">
        <v>401</v>
      </c>
      <c r="D108" s="15" t="s">
        <v>402</v>
      </c>
      <c r="E108" s="19" t="s">
        <v>127</v>
      </c>
      <c r="F108" s="14" t="s">
        <v>342</v>
      </c>
    </row>
    <row r="109" customFormat="false" ht="35.05" hidden="false" customHeight="false" outlineLevel="0" collapsed="false">
      <c r="A109" s="15" t="s">
        <v>403</v>
      </c>
      <c r="B109" s="15" t="s">
        <v>65</v>
      </c>
      <c r="C109" s="15" t="s">
        <v>404</v>
      </c>
      <c r="D109" s="15" t="s">
        <v>405</v>
      </c>
      <c r="E109" s="19" t="s">
        <v>127</v>
      </c>
      <c r="F109" s="14" t="s">
        <v>342</v>
      </c>
    </row>
    <row r="110" customFormat="false" ht="35.05" hidden="false" customHeight="false" outlineLevel="0" collapsed="false">
      <c r="A110" s="15" t="s">
        <v>406</v>
      </c>
      <c r="B110" s="15" t="s">
        <v>65</v>
      </c>
      <c r="C110" s="15" t="s">
        <v>407</v>
      </c>
      <c r="D110" s="15" t="s">
        <v>408</v>
      </c>
      <c r="E110" s="19" t="s">
        <v>127</v>
      </c>
      <c r="F110" s="14" t="s">
        <v>342</v>
      </c>
    </row>
    <row r="111" customFormat="false" ht="35.05" hidden="false" customHeight="false" outlineLevel="0" collapsed="false">
      <c r="A111" s="15" t="s">
        <v>409</v>
      </c>
      <c r="B111" s="15" t="s">
        <v>65</v>
      </c>
      <c r="C111" s="15" t="s">
        <v>410</v>
      </c>
      <c r="D111" s="15" t="s">
        <v>411</v>
      </c>
      <c r="E111" s="19" t="s">
        <v>127</v>
      </c>
      <c r="F111" s="14" t="s">
        <v>342</v>
      </c>
    </row>
    <row r="112" customFormat="false" ht="35.05" hidden="false" customHeight="false" outlineLevel="0" collapsed="false">
      <c r="A112" s="15" t="s">
        <v>412</v>
      </c>
      <c r="B112" s="15" t="s">
        <v>65</v>
      </c>
      <c r="C112" s="15" t="s">
        <v>413</v>
      </c>
      <c r="D112" s="15" t="s">
        <v>414</v>
      </c>
      <c r="E112" s="19" t="s">
        <v>127</v>
      </c>
      <c r="F112" s="14" t="s">
        <v>342</v>
      </c>
    </row>
    <row r="113" customFormat="false" ht="35.05" hidden="false" customHeight="false" outlineLevel="0" collapsed="false">
      <c r="A113" s="15" t="s">
        <v>415</v>
      </c>
      <c r="B113" s="15" t="s">
        <v>65</v>
      </c>
      <c r="C113" s="15" t="s">
        <v>416</v>
      </c>
      <c r="D113" s="15" t="s">
        <v>417</v>
      </c>
      <c r="E113" s="19" t="s">
        <v>127</v>
      </c>
      <c r="F113" s="14" t="s">
        <v>342</v>
      </c>
    </row>
    <row r="114" customFormat="false" ht="23.85" hidden="false" customHeight="false" outlineLevel="0" collapsed="false">
      <c r="A114" s="15" t="s">
        <v>418</v>
      </c>
      <c r="B114" s="15" t="s">
        <v>65</v>
      </c>
      <c r="C114" s="15" t="s">
        <v>419</v>
      </c>
      <c r="D114" s="15" t="s">
        <v>420</v>
      </c>
      <c r="E114" s="19" t="s">
        <v>127</v>
      </c>
      <c r="F114" s="14" t="s">
        <v>342</v>
      </c>
    </row>
    <row r="115" customFormat="false" ht="23.85" hidden="false" customHeight="false" outlineLevel="0" collapsed="false">
      <c r="A115" s="15" t="s">
        <v>421</v>
      </c>
      <c r="B115" s="15" t="s">
        <v>65</v>
      </c>
      <c r="C115" s="15" t="s">
        <v>422</v>
      </c>
      <c r="D115" s="15" t="s">
        <v>423</v>
      </c>
      <c r="E115" s="19" t="s">
        <v>127</v>
      </c>
      <c r="F115" s="14" t="s">
        <v>342</v>
      </c>
    </row>
    <row r="116" customFormat="false" ht="23.85" hidden="false" customHeight="false" outlineLevel="0" collapsed="false">
      <c r="A116" s="15" t="s">
        <v>424</v>
      </c>
      <c r="B116" s="15" t="s">
        <v>65</v>
      </c>
      <c r="C116" s="15" t="s">
        <v>425</v>
      </c>
      <c r="D116" s="15" t="s">
        <v>426</v>
      </c>
      <c r="E116" s="19" t="s">
        <v>127</v>
      </c>
      <c r="F116" s="14" t="s">
        <v>342</v>
      </c>
    </row>
    <row r="117" customFormat="false" ht="23.85" hidden="false" customHeight="false" outlineLevel="0" collapsed="false">
      <c r="A117" s="15" t="s">
        <v>427</v>
      </c>
      <c r="B117" s="15" t="s">
        <v>65</v>
      </c>
      <c r="C117" s="15" t="s">
        <v>428</v>
      </c>
      <c r="D117" s="15" t="s">
        <v>429</v>
      </c>
      <c r="E117" s="19" t="s">
        <v>127</v>
      </c>
      <c r="F117" s="14" t="s">
        <v>342</v>
      </c>
    </row>
    <row r="118" customFormat="false" ht="23.85" hidden="false" customHeight="false" outlineLevel="0" collapsed="false">
      <c r="A118" s="15" t="s">
        <v>430</v>
      </c>
      <c r="B118" s="15" t="s">
        <v>65</v>
      </c>
      <c r="C118" s="15" t="s">
        <v>431</v>
      </c>
      <c r="D118" s="15" t="s">
        <v>432</v>
      </c>
      <c r="E118" s="19" t="s">
        <v>127</v>
      </c>
      <c r="F118" s="14" t="s">
        <v>342</v>
      </c>
    </row>
    <row r="119" customFormat="false" ht="35.05" hidden="false" customHeight="false" outlineLevel="0" collapsed="false">
      <c r="A119" s="15" t="s">
        <v>433</v>
      </c>
      <c r="B119" s="15" t="s">
        <v>65</v>
      </c>
      <c r="C119" s="15" t="s">
        <v>434</v>
      </c>
      <c r="D119" s="15" t="s">
        <v>435</v>
      </c>
      <c r="E119" s="19" t="s">
        <v>127</v>
      </c>
      <c r="F119" s="14" t="s">
        <v>342</v>
      </c>
    </row>
    <row r="120" customFormat="false" ht="23.85" hidden="false" customHeight="false" outlineLevel="0" collapsed="false">
      <c r="A120" s="15" t="s">
        <v>436</v>
      </c>
      <c r="B120" s="15" t="s">
        <v>65</v>
      </c>
      <c r="C120" s="15" t="s">
        <v>437</v>
      </c>
      <c r="D120" s="15" t="s">
        <v>438</v>
      </c>
      <c r="E120" s="19" t="s">
        <v>127</v>
      </c>
      <c r="F120" s="14" t="s">
        <v>342</v>
      </c>
    </row>
    <row r="121" customFormat="false" ht="79.85" hidden="false" customHeight="false" outlineLevel="0" collapsed="false">
      <c r="A121" s="15" t="s">
        <v>439</v>
      </c>
      <c r="B121" s="15" t="s">
        <v>65</v>
      </c>
      <c r="C121" s="15" t="s">
        <v>440</v>
      </c>
      <c r="D121" s="15" t="s">
        <v>441</v>
      </c>
      <c r="E121" s="19" t="s">
        <v>127</v>
      </c>
      <c r="F121" s="14" t="s">
        <v>342</v>
      </c>
    </row>
    <row r="122" customFormat="false" ht="68.65" hidden="false" customHeight="false" outlineLevel="0" collapsed="false">
      <c r="A122" s="15" t="s">
        <v>442</v>
      </c>
      <c r="B122" s="15" t="s">
        <v>65</v>
      </c>
      <c r="C122" s="15" t="s">
        <v>443</v>
      </c>
      <c r="D122" s="15" t="s">
        <v>444</v>
      </c>
      <c r="E122" s="19" t="s">
        <v>127</v>
      </c>
      <c r="F122" s="14" t="s">
        <v>342</v>
      </c>
    </row>
    <row r="123" customFormat="false" ht="57.45" hidden="false" customHeight="false" outlineLevel="0" collapsed="false">
      <c r="A123" s="15" t="s">
        <v>445</v>
      </c>
      <c r="B123" s="15" t="s">
        <v>65</v>
      </c>
      <c r="C123" s="15" t="s">
        <v>446</v>
      </c>
      <c r="D123" s="15" t="s">
        <v>447</v>
      </c>
      <c r="E123" s="19" t="s">
        <v>127</v>
      </c>
      <c r="F123" s="14" t="s">
        <v>342</v>
      </c>
    </row>
    <row r="124" customFormat="false" ht="68.65" hidden="false" customHeight="false" outlineLevel="0" collapsed="false">
      <c r="A124" s="15" t="s">
        <v>448</v>
      </c>
      <c r="B124" s="15" t="s">
        <v>65</v>
      </c>
      <c r="C124" s="15" t="s">
        <v>449</v>
      </c>
      <c r="D124" s="15" t="s">
        <v>450</v>
      </c>
      <c r="E124" s="19" t="s">
        <v>127</v>
      </c>
      <c r="F124" s="14" t="s">
        <v>342</v>
      </c>
    </row>
    <row r="125" customFormat="false" ht="46.25" hidden="false" customHeight="false" outlineLevel="0" collapsed="false">
      <c r="A125" s="15" t="s">
        <v>451</v>
      </c>
      <c r="B125" s="15" t="s">
        <v>65</v>
      </c>
      <c r="C125" s="15" t="s">
        <v>452</v>
      </c>
      <c r="D125" s="15" t="s">
        <v>453</v>
      </c>
      <c r="E125" s="19" t="s">
        <v>127</v>
      </c>
      <c r="F125" s="14" t="s">
        <v>342</v>
      </c>
    </row>
    <row r="126" customFormat="false" ht="68.65" hidden="false" customHeight="false" outlineLevel="0" collapsed="false">
      <c r="A126" s="15" t="s">
        <v>454</v>
      </c>
      <c r="B126" s="15" t="s">
        <v>65</v>
      </c>
      <c r="C126" s="15" t="s">
        <v>455</v>
      </c>
      <c r="D126" s="15" t="s">
        <v>456</v>
      </c>
      <c r="E126" s="19" t="s">
        <v>127</v>
      </c>
      <c r="F126" s="14" t="s">
        <v>342</v>
      </c>
    </row>
    <row r="127" customFormat="false" ht="57.45" hidden="false" customHeight="false" outlineLevel="0" collapsed="false">
      <c r="A127" s="15" t="s">
        <v>457</v>
      </c>
      <c r="B127" s="15" t="s">
        <v>65</v>
      </c>
      <c r="C127" s="15" t="s">
        <v>458</v>
      </c>
      <c r="D127" s="15" t="s">
        <v>459</v>
      </c>
      <c r="E127" s="19" t="s">
        <v>127</v>
      </c>
      <c r="F127" s="14" t="s">
        <v>342</v>
      </c>
    </row>
    <row r="128" customFormat="false" ht="79.85" hidden="false" customHeight="false" outlineLevel="0" collapsed="false">
      <c r="A128" s="15" t="s">
        <v>460</v>
      </c>
      <c r="B128" s="15" t="s">
        <v>65</v>
      </c>
      <c r="C128" s="15" t="s">
        <v>461</v>
      </c>
      <c r="D128" s="15" t="s">
        <v>462</v>
      </c>
      <c r="E128" s="19" t="s">
        <v>127</v>
      </c>
      <c r="F128" s="14" t="s">
        <v>342</v>
      </c>
    </row>
    <row r="129" customFormat="false" ht="46.25" hidden="false" customHeight="false" outlineLevel="0" collapsed="false">
      <c r="A129" s="15" t="s">
        <v>463</v>
      </c>
      <c r="B129" s="15" t="s">
        <v>65</v>
      </c>
      <c r="C129" s="15" t="s">
        <v>464</v>
      </c>
      <c r="D129" s="15" t="s">
        <v>465</v>
      </c>
      <c r="E129" s="19" t="s">
        <v>127</v>
      </c>
      <c r="F129" s="14" t="s">
        <v>342</v>
      </c>
    </row>
    <row r="130" customFormat="false" ht="35.05" hidden="false" customHeight="false" outlineLevel="0" collapsed="false">
      <c r="A130" s="15" t="s">
        <v>466</v>
      </c>
      <c r="B130" s="15" t="s">
        <v>67</v>
      </c>
      <c r="C130" s="15" t="s">
        <v>467</v>
      </c>
      <c r="D130" s="15" t="s">
        <v>468</v>
      </c>
      <c r="E130" s="19" t="s">
        <v>127</v>
      </c>
      <c r="F130" s="14" t="s">
        <v>469</v>
      </c>
    </row>
    <row r="131" customFormat="false" ht="35.05" hidden="false" customHeight="false" outlineLevel="0" collapsed="false">
      <c r="A131" s="15" t="s">
        <v>470</v>
      </c>
      <c r="B131" s="15" t="s">
        <v>67</v>
      </c>
      <c r="C131" s="15" t="s">
        <v>471</v>
      </c>
      <c r="D131" s="15" t="s">
        <v>472</v>
      </c>
      <c r="E131" s="19" t="s">
        <v>127</v>
      </c>
      <c r="F131" s="14" t="s">
        <v>469</v>
      </c>
    </row>
    <row r="132" customFormat="false" ht="23.85" hidden="false" customHeight="false" outlineLevel="0" collapsed="false">
      <c r="A132" s="15" t="s">
        <v>473</v>
      </c>
      <c r="B132" s="15" t="s">
        <v>67</v>
      </c>
      <c r="C132" s="15" t="s">
        <v>474</v>
      </c>
      <c r="D132" s="15" t="s">
        <v>475</v>
      </c>
      <c r="E132" s="19" t="s">
        <v>127</v>
      </c>
      <c r="F132" s="14" t="s">
        <v>469</v>
      </c>
    </row>
    <row r="133" customFormat="false" ht="35.05" hidden="false" customHeight="false" outlineLevel="0" collapsed="false">
      <c r="A133" s="15" t="s">
        <v>476</v>
      </c>
      <c r="B133" s="15" t="s">
        <v>67</v>
      </c>
      <c r="C133" s="15" t="s">
        <v>477</v>
      </c>
      <c r="D133" s="15" t="s">
        <v>478</v>
      </c>
      <c r="E133" s="19" t="s">
        <v>127</v>
      </c>
      <c r="F133" s="14" t="s">
        <v>469</v>
      </c>
    </row>
    <row r="134" customFormat="false" ht="35.05" hidden="false" customHeight="false" outlineLevel="0" collapsed="false">
      <c r="A134" s="15" t="s">
        <v>479</v>
      </c>
      <c r="B134" s="15" t="s">
        <v>67</v>
      </c>
      <c r="C134" s="15" t="s">
        <v>480</v>
      </c>
      <c r="D134" s="15" t="s">
        <v>481</v>
      </c>
      <c r="E134" s="19" t="s">
        <v>127</v>
      </c>
      <c r="F134" s="14" t="s">
        <v>469</v>
      </c>
    </row>
    <row r="135" customFormat="false" ht="23.85" hidden="false" customHeight="false" outlineLevel="0" collapsed="false">
      <c r="A135" s="15" t="s">
        <v>482</v>
      </c>
      <c r="B135" s="15" t="s">
        <v>67</v>
      </c>
      <c r="C135" s="15" t="s">
        <v>483</v>
      </c>
      <c r="D135" s="15" t="s">
        <v>484</v>
      </c>
      <c r="E135" s="19" t="s">
        <v>127</v>
      </c>
      <c r="F135" s="14" t="s">
        <v>469</v>
      </c>
    </row>
    <row r="136" customFormat="false" ht="35.05" hidden="false" customHeight="false" outlineLevel="0" collapsed="false">
      <c r="A136" s="15" t="s">
        <v>485</v>
      </c>
      <c r="B136" s="15" t="s">
        <v>67</v>
      </c>
      <c r="C136" s="15" t="s">
        <v>486</v>
      </c>
      <c r="D136" s="15" t="s">
        <v>487</v>
      </c>
      <c r="E136" s="19" t="s">
        <v>127</v>
      </c>
      <c r="F136" s="14" t="s">
        <v>469</v>
      </c>
    </row>
    <row r="137" customFormat="false" ht="23.85" hidden="false" customHeight="false" outlineLevel="0" collapsed="false">
      <c r="A137" s="15" t="s">
        <v>488</v>
      </c>
      <c r="B137" s="15" t="s">
        <v>67</v>
      </c>
      <c r="C137" s="15" t="s">
        <v>489</v>
      </c>
      <c r="D137" s="15" t="s">
        <v>490</v>
      </c>
      <c r="E137" s="19" t="s">
        <v>127</v>
      </c>
      <c r="F137" s="14" t="s">
        <v>469</v>
      </c>
    </row>
    <row r="138" customFormat="false" ht="35.05" hidden="false" customHeight="false" outlineLevel="0" collapsed="false">
      <c r="A138" s="15" t="s">
        <v>491</v>
      </c>
      <c r="B138" s="15" t="s">
        <v>67</v>
      </c>
      <c r="C138" s="15" t="s">
        <v>492</v>
      </c>
      <c r="D138" s="15" t="s">
        <v>493</v>
      </c>
      <c r="E138" s="19" t="s">
        <v>127</v>
      </c>
      <c r="F138" s="14" t="s">
        <v>469</v>
      </c>
    </row>
    <row r="139" customFormat="false" ht="23.85" hidden="false" customHeight="false" outlineLevel="0" collapsed="false">
      <c r="A139" s="15" t="s">
        <v>494</v>
      </c>
      <c r="B139" s="15" t="s">
        <v>67</v>
      </c>
      <c r="C139" s="15" t="s">
        <v>495</v>
      </c>
      <c r="D139" s="15" t="s">
        <v>496</v>
      </c>
      <c r="E139" s="19" t="s">
        <v>127</v>
      </c>
      <c r="F139" s="14" t="s">
        <v>469</v>
      </c>
    </row>
  </sheetData>
  <autoFilter ref="A2:F1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72"/>
    <col collapsed="false" customWidth="true" hidden="false" outlineLevel="0" max="5" min="5" style="0" width="9"/>
  </cols>
  <sheetData>
    <row r="1" customFormat="false" ht="15" hidden="false" customHeight="false" outlineLevel="0" collapsed="false">
      <c r="A1" s="16" t="s">
        <v>497</v>
      </c>
    </row>
    <row r="2" customFormat="false" ht="15" hidden="false" customHeight="false" outlineLevel="0" collapsed="false">
      <c r="A2" s="9" t="s">
        <v>70</v>
      </c>
      <c r="B2" s="9" t="s">
        <v>36</v>
      </c>
      <c r="C2" s="9" t="s">
        <v>498</v>
      </c>
      <c r="D2" s="9" t="s">
        <v>499</v>
      </c>
      <c r="E2" s="9" t="s">
        <v>73</v>
      </c>
    </row>
    <row r="3" customFormat="false" ht="23.85" hidden="false" customHeight="false" outlineLevel="0" collapsed="false">
      <c r="A3" s="15" t="s">
        <v>500</v>
      </c>
      <c r="B3" s="15" t="s">
        <v>501</v>
      </c>
      <c r="C3" s="15" t="s">
        <v>502</v>
      </c>
      <c r="D3" s="15" t="s">
        <v>503</v>
      </c>
      <c r="E3" s="17" t="s">
        <v>78</v>
      </c>
    </row>
    <row r="4" customFormat="false" ht="23.85" hidden="false" customHeight="false" outlineLevel="0" collapsed="false">
      <c r="A4" s="15" t="s">
        <v>504</v>
      </c>
      <c r="B4" s="15" t="s">
        <v>501</v>
      </c>
      <c r="C4" s="15" t="s">
        <v>505</v>
      </c>
      <c r="D4" s="15" t="s">
        <v>506</v>
      </c>
      <c r="E4" s="17" t="s">
        <v>78</v>
      </c>
    </row>
    <row r="5" customFormat="false" ht="15" hidden="false" customHeight="false" outlineLevel="0" collapsed="false">
      <c r="A5" s="15" t="s">
        <v>507</v>
      </c>
      <c r="B5" s="15" t="s">
        <v>501</v>
      </c>
      <c r="C5" s="15" t="s">
        <v>508</v>
      </c>
      <c r="D5" s="15" t="s">
        <v>509</v>
      </c>
      <c r="E5" s="17" t="s">
        <v>78</v>
      </c>
    </row>
    <row r="6" customFormat="false" ht="15" hidden="false" customHeight="false" outlineLevel="0" collapsed="false">
      <c r="A6" s="15" t="s">
        <v>510</v>
      </c>
      <c r="B6" s="15" t="s">
        <v>501</v>
      </c>
      <c r="C6" s="15" t="s">
        <v>511</v>
      </c>
      <c r="D6" s="15" t="s">
        <v>512</v>
      </c>
      <c r="E6" s="17" t="s">
        <v>78</v>
      </c>
    </row>
    <row r="7" customFormat="false" ht="23.85" hidden="false" customHeight="false" outlineLevel="0" collapsed="false">
      <c r="A7" s="15" t="s">
        <v>513</v>
      </c>
      <c r="B7" s="15" t="s">
        <v>501</v>
      </c>
      <c r="C7" s="15" t="s">
        <v>514</v>
      </c>
      <c r="D7" s="15" t="s">
        <v>515</v>
      </c>
      <c r="E7" s="18" t="s">
        <v>107</v>
      </c>
    </row>
    <row r="8" customFormat="false" ht="23.85" hidden="false" customHeight="false" outlineLevel="0" collapsed="false">
      <c r="A8" s="15" t="s">
        <v>516</v>
      </c>
      <c r="B8" s="15" t="s">
        <v>501</v>
      </c>
      <c r="C8" s="15" t="s">
        <v>517</v>
      </c>
      <c r="D8" s="15" t="s">
        <v>518</v>
      </c>
      <c r="E8" s="17" t="s">
        <v>78</v>
      </c>
    </row>
    <row r="9" customFormat="false" ht="23.85" hidden="false" customHeight="false" outlineLevel="0" collapsed="false">
      <c r="A9" s="15" t="s">
        <v>519</v>
      </c>
      <c r="B9" s="15" t="s">
        <v>501</v>
      </c>
      <c r="C9" s="15" t="s">
        <v>520</v>
      </c>
      <c r="D9" s="15" t="s">
        <v>521</v>
      </c>
      <c r="E9" s="18" t="s">
        <v>107</v>
      </c>
    </row>
    <row r="10" customFormat="false" ht="23.85" hidden="false" customHeight="false" outlineLevel="0" collapsed="false">
      <c r="A10" s="15" t="s">
        <v>522</v>
      </c>
      <c r="B10" s="15" t="s">
        <v>501</v>
      </c>
      <c r="C10" s="15" t="s">
        <v>523</v>
      </c>
      <c r="D10" s="15" t="s">
        <v>524</v>
      </c>
      <c r="E10" s="18" t="s">
        <v>107</v>
      </c>
    </row>
    <row r="11" customFormat="false" ht="23.85" hidden="false" customHeight="false" outlineLevel="0" collapsed="false">
      <c r="A11" s="15" t="s">
        <v>525</v>
      </c>
      <c r="B11" s="15" t="s">
        <v>526</v>
      </c>
      <c r="C11" s="15" t="s">
        <v>527</v>
      </c>
      <c r="D11" s="15" t="s">
        <v>528</v>
      </c>
      <c r="E11" s="17" t="s">
        <v>78</v>
      </c>
    </row>
    <row r="12" customFormat="false" ht="23.85" hidden="false" customHeight="false" outlineLevel="0" collapsed="false">
      <c r="A12" s="15" t="s">
        <v>529</v>
      </c>
      <c r="B12" s="15" t="s">
        <v>526</v>
      </c>
      <c r="C12" s="15" t="s">
        <v>530</v>
      </c>
      <c r="D12" s="15" t="s">
        <v>531</v>
      </c>
      <c r="E12" s="17" t="s">
        <v>78</v>
      </c>
    </row>
    <row r="13" customFormat="false" ht="23.85" hidden="false" customHeight="false" outlineLevel="0" collapsed="false">
      <c r="A13" s="15" t="s">
        <v>532</v>
      </c>
      <c r="B13" s="15" t="s">
        <v>526</v>
      </c>
      <c r="C13" s="15" t="s">
        <v>533</v>
      </c>
      <c r="D13" s="15" t="s">
        <v>534</v>
      </c>
      <c r="E13" s="17" t="s">
        <v>78</v>
      </c>
    </row>
    <row r="14" customFormat="false" ht="23.85" hidden="false" customHeight="false" outlineLevel="0" collapsed="false">
      <c r="A14" s="15" t="s">
        <v>535</v>
      </c>
      <c r="B14" s="15" t="s">
        <v>526</v>
      </c>
      <c r="C14" s="15" t="s">
        <v>536</v>
      </c>
      <c r="D14" s="15" t="s">
        <v>537</v>
      </c>
      <c r="E14" s="18" t="s">
        <v>107</v>
      </c>
    </row>
    <row r="15" customFormat="false" ht="23.85" hidden="false" customHeight="false" outlineLevel="0" collapsed="false">
      <c r="A15" s="15" t="s">
        <v>538</v>
      </c>
      <c r="B15" s="15" t="s">
        <v>526</v>
      </c>
      <c r="C15" s="15" t="s">
        <v>539</v>
      </c>
      <c r="D15" s="15" t="s">
        <v>540</v>
      </c>
      <c r="E15" s="17" t="s">
        <v>78</v>
      </c>
    </row>
    <row r="16" customFormat="false" ht="23.85" hidden="false" customHeight="false" outlineLevel="0" collapsed="false">
      <c r="A16" s="15" t="s">
        <v>541</v>
      </c>
      <c r="B16" s="15" t="s">
        <v>542</v>
      </c>
      <c r="C16" s="15" t="s">
        <v>543</v>
      </c>
      <c r="D16" s="15" t="s">
        <v>544</v>
      </c>
      <c r="E16" s="17" t="s">
        <v>78</v>
      </c>
    </row>
    <row r="17" customFormat="false" ht="23.85" hidden="false" customHeight="false" outlineLevel="0" collapsed="false">
      <c r="A17" s="15" t="s">
        <v>545</v>
      </c>
      <c r="B17" s="15" t="s">
        <v>542</v>
      </c>
      <c r="C17" s="15" t="s">
        <v>546</v>
      </c>
      <c r="D17" s="15" t="s">
        <v>547</v>
      </c>
      <c r="E17" s="17" t="s">
        <v>78</v>
      </c>
    </row>
    <row r="18" customFormat="false" ht="23.85" hidden="false" customHeight="false" outlineLevel="0" collapsed="false">
      <c r="A18" s="15" t="s">
        <v>548</v>
      </c>
      <c r="B18" s="15" t="s">
        <v>542</v>
      </c>
      <c r="C18" s="15" t="s">
        <v>549</v>
      </c>
      <c r="D18" s="15" t="s">
        <v>550</v>
      </c>
      <c r="E18" s="18" t="s">
        <v>107</v>
      </c>
    </row>
    <row r="19" customFormat="false" ht="23.85" hidden="false" customHeight="false" outlineLevel="0" collapsed="false">
      <c r="A19" s="15" t="s">
        <v>551</v>
      </c>
      <c r="B19" s="15" t="s">
        <v>542</v>
      </c>
      <c r="C19" s="15" t="s">
        <v>552</v>
      </c>
      <c r="D19" s="15" t="s">
        <v>553</v>
      </c>
      <c r="E19" s="18" t="s">
        <v>107</v>
      </c>
    </row>
    <row r="20" customFormat="false" ht="23.85" hidden="false" customHeight="false" outlineLevel="0" collapsed="false">
      <c r="A20" s="15" t="s">
        <v>554</v>
      </c>
      <c r="B20" s="15" t="s">
        <v>542</v>
      </c>
      <c r="C20" s="15" t="s">
        <v>486</v>
      </c>
      <c r="D20" s="15" t="s">
        <v>555</v>
      </c>
      <c r="E20" s="18" t="s">
        <v>107</v>
      </c>
    </row>
    <row r="21" customFormat="false" ht="23.85" hidden="false" customHeight="false" outlineLevel="0" collapsed="false">
      <c r="A21" s="15" t="s">
        <v>556</v>
      </c>
      <c r="B21" s="15" t="s">
        <v>557</v>
      </c>
      <c r="C21" s="15" t="s">
        <v>558</v>
      </c>
      <c r="D21" s="15" t="s">
        <v>559</v>
      </c>
      <c r="E21" s="17" t="s">
        <v>78</v>
      </c>
    </row>
    <row r="22" customFormat="false" ht="23.85" hidden="false" customHeight="false" outlineLevel="0" collapsed="false">
      <c r="A22" s="15" t="s">
        <v>560</v>
      </c>
      <c r="B22" s="15" t="s">
        <v>557</v>
      </c>
      <c r="C22" s="15" t="s">
        <v>561</v>
      </c>
      <c r="D22" s="15" t="s">
        <v>562</v>
      </c>
      <c r="E22" s="17" t="s">
        <v>78</v>
      </c>
    </row>
    <row r="23" customFormat="false" ht="23.85" hidden="false" customHeight="false" outlineLevel="0" collapsed="false">
      <c r="A23" s="15" t="s">
        <v>563</v>
      </c>
      <c r="B23" s="15" t="s">
        <v>557</v>
      </c>
      <c r="C23" s="15" t="s">
        <v>564</v>
      </c>
      <c r="D23" s="15" t="s">
        <v>565</v>
      </c>
      <c r="E23" s="17" t="s">
        <v>78</v>
      </c>
    </row>
    <row r="24" customFormat="false" ht="15" hidden="false" customHeight="false" outlineLevel="0" collapsed="false">
      <c r="A24" s="15" t="s">
        <v>566</v>
      </c>
      <c r="B24" s="15" t="s">
        <v>557</v>
      </c>
      <c r="C24" s="15" t="s">
        <v>567</v>
      </c>
      <c r="D24" s="15" t="s">
        <v>568</v>
      </c>
      <c r="E24" s="19" t="s">
        <v>127</v>
      </c>
    </row>
    <row r="25" customFormat="false" ht="23.85" hidden="false" customHeight="false" outlineLevel="0" collapsed="false">
      <c r="A25" s="15" t="s">
        <v>569</v>
      </c>
      <c r="B25" s="15" t="s">
        <v>570</v>
      </c>
      <c r="C25" s="15" t="s">
        <v>571</v>
      </c>
      <c r="D25" s="15" t="s">
        <v>572</v>
      </c>
      <c r="E25" s="17" t="s">
        <v>78</v>
      </c>
    </row>
    <row r="26" customFormat="false" ht="23.85" hidden="false" customHeight="false" outlineLevel="0" collapsed="false">
      <c r="A26" s="15" t="s">
        <v>573</v>
      </c>
      <c r="B26" s="15" t="s">
        <v>570</v>
      </c>
      <c r="C26" s="15" t="s">
        <v>574</v>
      </c>
      <c r="D26" s="15" t="s">
        <v>575</v>
      </c>
      <c r="E26" s="17" t="s">
        <v>78</v>
      </c>
    </row>
    <row r="27" customFormat="false" ht="23.85" hidden="false" customHeight="false" outlineLevel="0" collapsed="false">
      <c r="A27" s="15" t="s">
        <v>576</v>
      </c>
      <c r="B27" s="15" t="s">
        <v>570</v>
      </c>
      <c r="C27" s="15" t="s">
        <v>577</v>
      </c>
      <c r="D27" s="15" t="s">
        <v>578</v>
      </c>
      <c r="E27" s="18" t="s">
        <v>107</v>
      </c>
    </row>
    <row r="28" customFormat="false" ht="23.85" hidden="false" customHeight="false" outlineLevel="0" collapsed="false">
      <c r="A28" s="15" t="s">
        <v>579</v>
      </c>
      <c r="B28" s="15" t="s">
        <v>570</v>
      </c>
      <c r="C28" s="15" t="s">
        <v>580</v>
      </c>
      <c r="D28" s="15" t="s">
        <v>581</v>
      </c>
      <c r="E28" s="18" t="s">
        <v>107</v>
      </c>
    </row>
    <row r="29" customFormat="false" ht="23.85" hidden="false" customHeight="false" outlineLevel="0" collapsed="false">
      <c r="A29" s="15" t="s">
        <v>582</v>
      </c>
      <c r="B29" s="15" t="s">
        <v>570</v>
      </c>
      <c r="C29" s="15" t="s">
        <v>583</v>
      </c>
      <c r="D29" s="15" t="s">
        <v>584</v>
      </c>
      <c r="E29" s="18" t="s">
        <v>107</v>
      </c>
    </row>
    <row r="30" customFormat="false" ht="23.85" hidden="false" customHeight="false" outlineLevel="0" collapsed="false">
      <c r="A30" s="15" t="s">
        <v>585</v>
      </c>
      <c r="B30" s="15" t="s">
        <v>586</v>
      </c>
      <c r="C30" s="15" t="s">
        <v>587</v>
      </c>
      <c r="D30" s="15" t="s">
        <v>588</v>
      </c>
      <c r="E30" s="17" t="s">
        <v>78</v>
      </c>
    </row>
    <row r="31" customFormat="false" ht="23.85" hidden="false" customHeight="false" outlineLevel="0" collapsed="false">
      <c r="A31" s="15" t="s">
        <v>589</v>
      </c>
      <c r="B31" s="15" t="s">
        <v>586</v>
      </c>
      <c r="C31" s="15" t="s">
        <v>590</v>
      </c>
      <c r="D31" s="15" t="s">
        <v>591</v>
      </c>
      <c r="E31" s="17" t="s">
        <v>78</v>
      </c>
    </row>
    <row r="32" customFormat="false" ht="23.85" hidden="false" customHeight="false" outlineLevel="0" collapsed="false">
      <c r="A32" s="15" t="s">
        <v>592</v>
      </c>
      <c r="B32" s="15" t="s">
        <v>586</v>
      </c>
      <c r="C32" s="15" t="s">
        <v>593</v>
      </c>
      <c r="D32" s="15" t="s">
        <v>594</v>
      </c>
      <c r="E32" s="18" t="s">
        <v>107</v>
      </c>
    </row>
    <row r="33" customFormat="false" ht="23.85" hidden="false" customHeight="false" outlineLevel="0" collapsed="false">
      <c r="A33" s="15" t="s">
        <v>595</v>
      </c>
      <c r="B33" s="15" t="s">
        <v>586</v>
      </c>
      <c r="C33" s="15" t="s">
        <v>596</v>
      </c>
      <c r="D33" s="15" t="s">
        <v>597</v>
      </c>
      <c r="E33" s="17" t="s">
        <v>78</v>
      </c>
    </row>
    <row r="34" customFormat="false" ht="23.85" hidden="false" customHeight="false" outlineLevel="0" collapsed="false">
      <c r="A34" s="15" t="s">
        <v>598</v>
      </c>
      <c r="B34" s="15" t="s">
        <v>599</v>
      </c>
      <c r="C34" s="15" t="s">
        <v>600</v>
      </c>
      <c r="D34" s="15" t="s">
        <v>601</v>
      </c>
      <c r="E34" s="18" t="s">
        <v>107</v>
      </c>
    </row>
    <row r="35" customFormat="false" ht="35.05" hidden="false" customHeight="false" outlineLevel="0" collapsed="false">
      <c r="A35" s="15" t="s">
        <v>602</v>
      </c>
      <c r="B35" s="15" t="s">
        <v>599</v>
      </c>
      <c r="C35" s="15" t="s">
        <v>603</v>
      </c>
      <c r="D35" s="15" t="s">
        <v>604</v>
      </c>
      <c r="E35" s="17" t="s">
        <v>605</v>
      </c>
    </row>
    <row r="36" customFormat="false" ht="23.85" hidden="false" customHeight="false" outlineLevel="0" collapsed="false">
      <c r="A36" s="15" t="s">
        <v>606</v>
      </c>
      <c r="B36" s="15" t="s">
        <v>607</v>
      </c>
      <c r="C36" s="15" t="s">
        <v>608</v>
      </c>
      <c r="D36" s="15" t="s">
        <v>609</v>
      </c>
      <c r="E36" s="18" t="s">
        <v>107</v>
      </c>
    </row>
    <row r="37" customFormat="false" ht="23.85" hidden="false" customHeight="false" outlineLevel="0" collapsed="false">
      <c r="A37" s="15" t="s">
        <v>610</v>
      </c>
      <c r="B37" s="15" t="s">
        <v>607</v>
      </c>
      <c r="C37" s="15" t="s">
        <v>611</v>
      </c>
      <c r="D37" s="15" t="s">
        <v>612</v>
      </c>
      <c r="E37" s="18" t="s">
        <v>107</v>
      </c>
    </row>
    <row r="38" customFormat="false" ht="35.05" hidden="false" customHeight="false" outlineLevel="0" collapsed="false">
      <c r="A38" s="15" t="s">
        <v>613</v>
      </c>
      <c r="B38" s="15" t="s">
        <v>607</v>
      </c>
      <c r="C38" s="15" t="s">
        <v>614</v>
      </c>
      <c r="D38" s="15" t="s">
        <v>615</v>
      </c>
      <c r="E38" s="17" t="s">
        <v>605</v>
      </c>
    </row>
    <row r="39" customFormat="false" ht="35.05" hidden="false" customHeight="false" outlineLevel="0" collapsed="false">
      <c r="A39" s="15" t="s">
        <v>616</v>
      </c>
      <c r="B39" s="15" t="s">
        <v>617</v>
      </c>
      <c r="C39" s="15" t="s">
        <v>618</v>
      </c>
      <c r="D39" s="15" t="s">
        <v>619</v>
      </c>
      <c r="E39" s="18" t="s">
        <v>107</v>
      </c>
    </row>
    <row r="40" customFormat="false" ht="35.05" hidden="false" customHeight="false" outlineLevel="0" collapsed="false">
      <c r="A40" s="15" t="s">
        <v>620</v>
      </c>
      <c r="B40" s="15" t="s">
        <v>617</v>
      </c>
      <c r="C40" s="15" t="s">
        <v>621</v>
      </c>
      <c r="D40" s="15" t="s">
        <v>622</v>
      </c>
      <c r="E40" s="17" t="s">
        <v>605</v>
      </c>
    </row>
    <row r="41" customFormat="false" ht="46.25" hidden="false" customHeight="false" outlineLevel="0" collapsed="false">
      <c r="A41" s="15" t="s">
        <v>623</v>
      </c>
      <c r="B41" s="15" t="s">
        <v>624</v>
      </c>
      <c r="C41" s="15" t="s">
        <v>625</v>
      </c>
      <c r="D41" s="15" t="s">
        <v>626</v>
      </c>
      <c r="E41" s="18" t="s">
        <v>107</v>
      </c>
    </row>
    <row r="42" customFormat="false" ht="35.05" hidden="false" customHeight="false" outlineLevel="0" collapsed="false">
      <c r="A42" s="15" t="s">
        <v>627</v>
      </c>
      <c r="B42" s="15" t="s">
        <v>624</v>
      </c>
      <c r="C42" s="15" t="s">
        <v>628</v>
      </c>
      <c r="D42" s="15" t="s">
        <v>629</v>
      </c>
      <c r="E42" s="18" t="s">
        <v>107</v>
      </c>
    </row>
    <row r="43" customFormat="false" ht="35.05" hidden="false" customHeight="false" outlineLevel="0" collapsed="false">
      <c r="A43" s="15" t="s">
        <v>630</v>
      </c>
      <c r="B43" s="15" t="s">
        <v>624</v>
      </c>
      <c r="C43" s="15" t="s">
        <v>631</v>
      </c>
      <c r="D43" s="15" t="s">
        <v>632</v>
      </c>
      <c r="E43" s="17" t="s">
        <v>605</v>
      </c>
    </row>
    <row r="44" customFormat="false" ht="57.45" hidden="false" customHeight="false" outlineLevel="0" collapsed="false">
      <c r="A44" s="15" t="s">
        <v>633</v>
      </c>
      <c r="B44" s="15" t="s">
        <v>624</v>
      </c>
      <c r="C44" s="15" t="s">
        <v>634</v>
      </c>
      <c r="D44" s="15" t="s">
        <v>635</v>
      </c>
      <c r="E44" s="18" t="s">
        <v>107</v>
      </c>
    </row>
    <row r="45" customFormat="false" ht="23.85" hidden="false" customHeight="false" outlineLevel="0" collapsed="false">
      <c r="A45" s="15" t="s">
        <v>636</v>
      </c>
      <c r="B45" s="15" t="s">
        <v>637</v>
      </c>
      <c r="C45" s="15" t="s">
        <v>638</v>
      </c>
      <c r="D45" s="15" t="s">
        <v>639</v>
      </c>
      <c r="E45" s="19" t="s">
        <v>127</v>
      </c>
    </row>
    <row r="46" customFormat="false" ht="23.85" hidden="false" customHeight="false" outlineLevel="0" collapsed="false">
      <c r="A46" s="15" t="s">
        <v>640</v>
      </c>
      <c r="B46" s="15" t="s">
        <v>637</v>
      </c>
      <c r="C46" s="15" t="s">
        <v>641</v>
      </c>
      <c r="D46" s="15" t="s">
        <v>642</v>
      </c>
      <c r="E46" s="19" t="s">
        <v>127</v>
      </c>
    </row>
    <row r="47" customFormat="false" ht="46.25" hidden="false" customHeight="false" outlineLevel="0" collapsed="false">
      <c r="A47" s="15" t="s">
        <v>643</v>
      </c>
      <c r="B47" s="15" t="s">
        <v>637</v>
      </c>
      <c r="C47" s="15" t="s">
        <v>644</v>
      </c>
      <c r="D47" s="15" t="s">
        <v>645</v>
      </c>
      <c r="E47" s="19" t="s">
        <v>127</v>
      </c>
    </row>
    <row r="48" customFormat="false" ht="46.25" hidden="false" customHeight="false" outlineLevel="0" collapsed="false">
      <c r="A48" s="15" t="s">
        <v>646</v>
      </c>
      <c r="B48" s="15" t="s">
        <v>637</v>
      </c>
      <c r="C48" s="15" t="s">
        <v>647</v>
      </c>
      <c r="D48" s="15" t="s">
        <v>648</v>
      </c>
      <c r="E48" s="19" t="s">
        <v>127</v>
      </c>
    </row>
    <row r="49" customFormat="false" ht="35.05" hidden="false" customHeight="false" outlineLevel="0" collapsed="false">
      <c r="A49" s="15" t="s">
        <v>649</v>
      </c>
      <c r="B49" s="15" t="s">
        <v>650</v>
      </c>
      <c r="C49" s="15" t="s">
        <v>651</v>
      </c>
      <c r="D49" s="15" t="s">
        <v>652</v>
      </c>
      <c r="E49" s="19" t="s">
        <v>127</v>
      </c>
    </row>
    <row r="50" customFormat="false" ht="23.85" hidden="false" customHeight="false" outlineLevel="0" collapsed="false">
      <c r="A50" s="15" t="s">
        <v>653</v>
      </c>
      <c r="B50" s="15" t="s">
        <v>650</v>
      </c>
      <c r="C50" s="15" t="s">
        <v>638</v>
      </c>
      <c r="D50" s="15" t="s">
        <v>654</v>
      </c>
      <c r="E50" s="19" t="s">
        <v>127</v>
      </c>
    </row>
    <row r="51" customFormat="false" ht="23.85" hidden="false" customHeight="false" outlineLevel="0" collapsed="false">
      <c r="A51" s="15" t="s">
        <v>655</v>
      </c>
      <c r="B51" s="15" t="s">
        <v>650</v>
      </c>
      <c r="C51" s="15" t="s">
        <v>656</v>
      </c>
      <c r="D51" s="15" t="s">
        <v>657</v>
      </c>
      <c r="E51" s="19" t="s">
        <v>127</v>
      </c>
    </row>
    <row r="52" customFormat="false" ht="23.85" hidden="false" customHeight="false" outlineLevel="0" collapsed="false">
      <c r="A52" s="15" t="s">
        <v>658</v>
      </c>
      <c r="B52" s="15" t="s">
        <v>650</v>
      </c>
      <c r="C52" s="15" t="s">
        <v>659</v>
      </c>
      <c r="D52" s="15" t="s">
        <v>660</v>
      </c>
      <c r="E52" s="19" t="s">
        <v>127</v>
      </c>
    </row>
  </sheetData>
  <autoFilter ref="A2:E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72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6" t="s">
        <v>661</v>
      </c>
    </row>
    <row r="2" customFormat="false" ht="15" hidden="false" customHeight="false" outlineLevel="0" collapsed="false">
      <c r="A2" s="9" t="s">
        <v>74</v>
      </c>
      <c r="B2" s="9" t="s">
        <v>662</v>
      </c>
      <c r="C2" s="9" t="s">
        <v>663</v>
      </c>
      <c r="D2" s="9" t="s">
        <v>664</v>
      </c>
      <c r="E2" s="9" t="s">
        <v>665</v>
      </c>
    </row>
    <row r="3" customFormat="false" ht="35.05" hidden="false" customHeight="false" outlineLevel="0" collapsed="false">
      <c r="A3" s="20" t="s">
        <v>79</v>
      </c>
      <c r="B3" s="15" t="s">
        <v>666</v>
      </c>
      <c r="C3" s="15" t="s">
        <v>667</v>
      </c>
      <c r="D3" s="15" t="n">
        <f aca="false">COUNTIF('Danh mục tính năng (FR)'!F:F,"1")+COUNTIF('Danh mục tính năng (FR)'!F:F,"*–1*")+COUNTIF('Danh mục tính năng (FR)'!F:F,"1–*")</f>
        <v>51</v>
      </c>
      <c r="E3" s="15" t="n">
        <f aca="false">COUNTIFS('Danh mục tính năng (FR)'!F:F,"1",'Danh mục tính năng (FR)'!E:E,"P0")</f>
        <v>30</v>
      </c>
    </row>
    <row r="4" customFormat="false" ht="23.85" hidden="false" customHeight="false" outlineLevel="0" collapsed="false">
      <c r="A4" s="20" t="s">
        <v>117</v>
      </c>
      <c r="B4" s="15" t="s">
        <v>668</v>
      </c>
      <c r="C4" s="15" t="s">
        <v>669</v>
      </c>
      <c r="D4" s="15" t="n">
        <f aca="false">COUNTIF('Danh mục tính năng (FR)'!F:F,"2")+COUNTIF('Danh mục tính năng (FR)'!F:F,"*–2*")+COUNTIF('Danh mục tính năng (FR)'!F:F,"2–*")</f>
        <v>34</v>
      </c>
      <c r="E4" s="15" t="n">
        <f aca="false">COUNTIFS('Danh mục tính năng (FR)'!F:F,"2",'Danh mục tính năng (FR)'!E:E,"P0")</f>
        <v>4</v>
      </c>
    </row>
    <row r="5" customFormat="false" ht="23.85" hidden="false" customHeight="false" outlineLevel="0" collapsed="false">
      <c r="A5" s="20" t="s">
        <v>204</v>
      </c>
      <c r="B5" s="15" t="s">
        <v>670</v>
      </c>
      <c r="C5" s="15" t="s">
        <v>671</v>
      </c>
      <c r="D5" s="15" t="n">
        <f aca="false">COUNTIF('Danh mục tính năng (FR)'!F:F,"3")+COUNTIF('Danh mục tính năng (FR)'!F:F,"*–3*")+COUNTIF('Danh mục tính năng (FR)'!F:F,"3–*")</f>
        <v>26</v>
      </c>
      <c r="E5" s="15" t="n">
        <f aca="false">COUNTIFS('Danh mục tính năng (FR)'!F:F,"3",'Danh mục tính năng (FR)'!E:E,"P0")</f>
        <v>0</v>
      </c>
    </row>
    <row r="6" customFormat="false" ht="23.85" hidden="false" customHeight="false" outlineLevel="0" collapsed="false">
      <c r="A6" s="20" t="s">
        <v>342</v>
      </c>
      <c r="B6" s="15" t="s">
        <v>672</v>
      </c>
      <c r="C6" s="15" t="s">
        <v>673</v>
      </c>
      <c r="D6" s="15" t="n">
        <f aca="false">COUNTIF('Danh mục tính năng (FR)'!F:F,"4")+COUNTIF('Danh mục tính năng (FR)'!F:F,"*–4*")+COUNTIF('Danh mục tính năng (FR)'!F:F,"4–*")</f>
        <v>24</v>
      </c>
      <c r="E6" s="15" t="n">
        <f aca="false">COUNTIFS('Danh mục tính năng (FR)'!F:F,"4",'Danh mục tính năng (FR)'!E:E,"P0")</f>
        <v>0</v>
      </c>
    </row>
    <row r="7" customFormat="false" ht="23.85" hidden="false" customHeight="false" outlineLevel="0" collapsed="false">
      <c r="A7" s="20" t="s">
        <v>469</v>
      </c>
      <c r="B7" s="15" t="s">
        <v>674</v>
      </c>
      <c r="C7" s="15" t="s">
        <v>675</v>
      </c>
      <c r="D7" s="15" t="n">
        <f aca="false">COUNTIF('Danh mục tính năng (FR)'!F:F,"5")+COUNTIF('Danh mục tính năng (FR)'!F:F,"*–5*")+COUNTIF('Danh mục tính năng (FR)'!F:F,"5–*")</f>
        <v>10</v>
      </c>
      <c r="E7" s="15" t="n">
        <f aca="false">COUNTIFS('Danh mục tính năng (FR)'!F:F,"5",'Danh mục tính năng (FR)'!E:E,"P0")</f>
        <v>0</v>
      </c>
    </row>
    <row r="8" customFormat="false" ht="15" hidden="false" customHeight="false" outlineLevel="0" collapsed="false">
      <c r="B8" s="21" t="s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2026-08-20T15:22:21Z</dcterms:created>
  <dc:creator>openpyxl</dc:creator>
  <dc:description/>
  <dc:language>en-US</dc:language>
  <cp:lastModifiedBy/>
  <dcterms:modified xsi:type="dcterms:W3CDTF">2026-08-20T15:22:21Z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