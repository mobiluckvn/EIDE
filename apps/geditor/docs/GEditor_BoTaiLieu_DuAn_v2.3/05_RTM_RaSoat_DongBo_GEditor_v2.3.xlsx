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Ma trận FR" sheetId="2" state="visible" r:id="rId4"/>
    <sheet name="Ma trận NFR" sheetId="3" state="visible" r:id="rId5"/>
    <sheet name="Hành động khắc phục" sheetId="4" state="visible" r:id="rId6"/>
  </sheets>
  <definedNames>
    <definedName function="false" hidden="true" localSheetId="1" name="_xlnm._FilterDatabase" vbProcedure="false">'Ma trận FR'!$A$2:$J$169</definedName>
    <definedName function="false" hidden="true" localSheetId="2" name="_xlnm._FilterDatabase" vbProcedure="false">'Ma trận NFR'!$A$2:$I$63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<sst xmlns="http://schemas.openxmlformats.org/spreadsheetml/2006/main" count="2263" uniqueCount="1295">
  <si>
    <t xml:space="preserve">MA TRẬN RÀ SOÁT ĐỒNG BỘ BỘ TÀI LIỆU MOBITEXT FOR MACOS</t>
  </si>
  <si>
    <t xml:space="preserve">MBL-RTM-GEDIT-001 · v2.3 · 20/08/2026 · Đối chiếu: SRS v2.2 ↔ SAD v2.3 ↔ STP v2.3 ↔ UI/UX v2.3 (+ DQR, hybrid GraphRAG, tái ưu tiên lõi Graph/RAG)</t>
  </si>
  <si>
    <t xml:space="preserve">THỐNG KÊ ĐỒNG BỘ (đếm tự động từ 2 sheet ma trận)</t>
  </si>
  <si>
    <t xml:space="preserve">Tổng yêu cầu chức năng (FR)</t>
  </si>
  <si>
    <t xml:space="preserve">Tổng yêu cầu phi chức năng (NFR)</t>
  </si>
  <si>
    <t xml:space="preserve">FR — Đồng bộ đủ</t>
  </si>
  <si>
    <t xml:space="preserve">FR — Thiếu một phần</t>
  </si>
  <si>
    <t xml:space="preserve">FR — Thiếu</t>
  </si>
  <si>
    <t xml:space="preserve">NFR — Đồng bộ đủ</t>
  </si>
  <si>
    <t xml:space="preserve">NFR — Thiếu một phần</t>
  </si>
  <si>
    <t xml:space="preserve">NFR — Thiếu</t>
  </si>
  <si>
    <t xml:space="preserve">Yêu cầu P0 chưa 'Đồng bộ đủ' (FR)</t>
  </si>
  <si>
    <t xml:space="preserve">PHÁT HIỆN CHÍNH (Findings)</t>
  </si>
  <si>
    <t xml:space="preserve">Mã</t>
  </si>
  <si>
    <t xml:space="preserve">Phát hiện</t>
  </si>
  <si>
    <t xml:space="preserve">Mức độ</t>
  </si>
  <si>
    <t xml:space="preserve">Hành động</t>
  </si>
  <si>
    <t xml:space="preserve">F-01</t>
  </si>
  <si>
    <t xml:space="preserve">SỐ LIỆU TỔNG HỢP SAI: STP (trang bìa và §1.1) ghi "74 FR / 26 NFR" nhưng SRS thực tế có 82 FR / 31 NFR (đếm lại: CORE 18 + SRCH 11 + ENC 7 + DOC 14 + CSV 8 + FMT 8 + AUTO 6 + PLUG 5 + UI 5 = 82; PERF 8 + REL 5 + SEC 5 + MNT 4 + USE 5 + PORT 4 = 31). Con số 74/26 cũng bị lặp trong phần giới thiệu UI/UX (hero không ghi nhưng tóm tắt bàn giao có).</t>
  </si>
  <si>
    <t xml:space="preserve">Đã đóng</t>
  </si>
  <si>
    <t xml:space="preserve">ĐÃ XỬ LÝ (STP v1.3)</t>
  </si>
  <si>
    <t xml:space="preserve">F-02</t>
  </si>
  <si>
    <t xml:space="preserve">6 yêu cầu vắng mặt hoàn toàn ở cả SAD, STP lẫn UI/UX: FR-CORE-012 (khớp ngoặc — P1 Phase 1), FR-DOC-311 (chỉ đọc — P1 Phase 1), FR-CORE-013, FR-CORE-017, FR-DOC-313, FR-SRCH-110. Hai mục đầu thuộc Phase 1 nên phải xử lý trước khi chốt kế hoạch Phase 1.</t>
  </si>
  <si>
    <t xml:space="preserve">Cao</t>
  </si>
  <si>
    <t xml:space="preserve">XỬ LÝ MỘT PHẦN: CORE-012 và DOC-311 đã khắc phục; còn CORE-013/017, DOC-313, SRCH-110 theo A-04/A-07/A-10</t>
  </si>
  <si>
    <t xml:space="preserve">F-03</t>
  </si>
  <si>
    <t xml:space="preserve">5 yêu cầu P0 chưa đạt "Đồng bộ đủ": FR-CORE-003 (SAD không nêu tên Column Editor), FR-CORE-009 &amp; FR-CORE-015 &amp; FR-SRCH-105 &amp; FR-SRCH-111 (thiếu TC trong STP), FR-DOC-314 (UI/UX thiếu spec hộp Save As chọn encoding/EOL). Đây là điều kiện chặn trước khi nâng các tài liệu từ Draft lên Approved.</t>
  </si>
  <si>
    <t xml:space="preserve">ĐÃ XỬ LÝ (STP/SAD/UIUX v1.3)</t>
  </si>
  <si>
    <t xml:space="preserve">F-04</t>
  </si>
  <si>
    <t xml:space="preserve">Nhóm công cụ định dạng FR-FMT-504/505/506 (JSON/XML/Markdown) hoàn toàn chưa có đặc tả UI/UX và chưa có module trong SAD — trong khi SRS xếp P1 Phase 2. Cần một mục UI "Công cụ định dạng" + module Dịch vụ tương ứng trước khi vào Phase 2.</t>
  </si>
  <si>
    <t xml:space="preserve">Trung bình</t>
  </si>
  <si>
    <t xml:space="preserve">A-04</t>
  </si>
  <si>
    <t xml:space="preserve">F-05</t>
  </si>
  <si>
    <t xml:space="preserve">Xung đột phím tắt ⇧⌘D (Nhân đôi dòng vs Distraction-free) mới được ghi chú trong UI/UX §9, chưa chốt trong file keymap chuẩn — nguy cơ hai tài liệu/keymap trôi khác nhau.</t>
  </si>
  <si>
    <t xml:space="preserve">ĐÃ XỬ LÝ (UIUX v1.3)</t>
  </si>
  <si>
    <t xml:space="preserve">F-06</t>
  </si>
  <si>
    <t xml:space="preserve">~15 yêu cầu P1/P2 thiếu TC trong STP (đã liệt kê ở cột ghi chú từng dòng). Chấp nhận được ở giai đoạn Draft, nhưng cần lịch bổ sung gắn với planning của phase tương ứng.</t>
  </si>
  <si>
    <t xml:space="preserve">Thấp</t>
  </si>
  <si>
    <t xml:space="preserve">A-08</t>
  </si>
  <si>
    <t xml:space="preserve">F-07</t>
  </si>
  <si>
    <t xml:space="preserve">Nhất quán thuật ngữ &amp; tên gọi đã kiểm: tên CLI "geditor", màu thương hiệu, mã Phase, mã FR/NFR dùng thống nhất ở cả 4 tài liệu — không phát hiện lệch. Kiến trúc UI/UX tuân đúng nguyên tắc "buffer là nguồn sự thật" của SAD.</t>
  </si>
  <si>
    <t xml:space="preserve">Đạt</t>
  </si>
  <si>
    <t xml:space="preserve">—</t>
  </si>
  <si>
    <t xml:space="preserve">F-08</t>
  </si>
  <si>
    <t xml:space="preserve">Knowledge Pack (Phase 4) được bổ sung đồng bộ ngay từ khâu thiết kế: SRS Phụ lục D (12 FR + 2 NFR) ↔ SAD Chương 9 + ADR-11 ↔ STP suite TC-KNW-01…08 ↔ UI/UX mục 14. Còn 3 FR (908/909/910) thiếu TC/mockup — chấp nhận được vì gắn đợt phát hành Pack, đã ghi cột ghi chú.</t>
  </si>
  <si>
    <t xml:space="preserve">Theo dõi khi kích hoạt Phase 4</t>
  </si>
  <si>
    <t xml:space="preserve">F-09</t>
  </si>
  <si>
    <t xml:space="preserve">Agent Pack (Phase 5, BYOK) bổ sung đồng bộ ngay từ thiết kế: SRS Phụ lục E (10 FR + 4 NFR) ↔ SAD Chương 10 + ADR-12 ↔ STP TC-AGT-01…08 ↔ UI/UX mục 15. Điều kiện chặn phát hành Pack: TC-AGT-01 (key không rò). Còn FR-AGT-1009 thiếu TC riêng — gắn đợt phát hành Pack.</t>
  </si>
  <si>
    <t xml:space="preserve">Theo dõi khi kích hoạt Phase 5</t>
  </si>
  <si>
    <t xml:space="preserve">F-10</t>
  </si>
  <si>
    <t xml:space="preserve">Cụm Làm sạch &amp; chuẩn hóa dữ liệu (FR-CLN-001…006 + NFR-CLN) bổ sung đồng bộ 4 tài liệu: SRS §3.2.10 ↔ SAD DataCleanService/RecipeEngine/FuzzyDeduper ↔ STP TC-CLN-01…06 (fixture có ground truth) ↔ UI/UX §6.2 Bàn làm sạch. FR-CSV-408 được thay thế bởi FR-CLN-003 và kéo lên Phase 2 — đã cập nhật trạng thái dòng tương ứng.</t>
  </si>
  <si>
    <t xml:space="preserve">Theo dõi ở planning Phase 2</t>
  </si>
  <si>
    <t xml:space="preserve">F-11</t>
  </si>
  <si>
    <t xml:space="preserve">Cụm Truy vấn &amp; phân tích (FR-QRY-001…006 + NFR-QRY) bổ sung đồng bộ 4 tài liệu: SRS §3.2.11 ↔ SAD QueryWorkbench/VirtualCatalog/ChartRenderer/FilterBar ↔ STP TC-QRY-01…06 (kết quả vàng duckdb) ↔ UI/UX §6.3. FR-CSV-407 (console) được hợp nhất vào FR-QRY-001 — đã cập nhật dòng tương ứng. Bất biến chỉ-đọc NFR-QRY-03 tách bạch phân tích khỏi ghi.</t>
  </si>
  <si>
    <t xml:space="preserve">Theo dõi planning Phase 2–3</t>
  </si>
  <si>
    <t xml:space="preserve">F-12</t>
  </si>
  <si>
    <t xml:space="preserve">Cụm Visualization Report (FR-RPT-001…006 + NFR-RPT) bổ sung đồng bộ 4 tài liệu: SRS §3.2.12 ↔ SAD ReportEngine/ReportRenderer/BatchReporter ↔ STP TC-RPT-01…06 (golden images + batch 63 tỉnh) ↔ UI/UX §6.4. FR-RPT-005 đồng thời ĐÓNG khoảng trống FR-DOC-313 (In ấn) — nhóm "Thiếu" của RTM giảm còn 5. Báo cáo là file .greport.md thuần văn bản, chỉ-đọc với nguồn.</t>
  </si>
  <si>
    <t xml:space="preserve">Theo dõi planning Phase 3</t>
  </si>
  <si>
    <t xml:space="preserve">F-13</t>
  </si>
  <si>
    <t xml:space="preserve">Cụm Data Mining (FR-MIN-001…006 + 4 NFR-MIN) bổ sung đồng bộ 4 tài liệu: SRS §3.2.13 ↔ SAD MiningEngine/MiningAssistant/block mining ↔ STP TC-MIN-01…08 (fixture ground truth, đối chứng độc lập numpy/mlxtend offline trong CI) ↔ UI/UX §6.5. Quyết định kiến trúc then chốt: thuật toán cổ điển TỰ CÀI ĐẶT trong lõi, KHÔNG dependency ML (không Python/sklearn/GPU) — bảo toàn KPI 500ms/80MB; tất định seed cố định; chỉ-đọc tuyệt đối.</t>
  </si>
  <si>
    <t xml:space="preserve">F-14</t>
  </si>
  <si>
    <t xml:space="preserve">Mở rộng Knowledge Pack (FR-KNW-913…921 + NFR-KNW-03/04) đồng bộ 4 tài liệu: truy vấn Graph THỰC THI được (openCypher tập con dịch sang SQL hiển thị), thuật toán đồ thị chuẩn Mining, soạn thảo trực quan ghi ngược văn bản, refactoring qua diff, schema validation, BM25 Retrieval Lab + golden set + context package GraphRAG. Ranh giới ADR-11 giữ nguyên: không embedding/vector/LLM — điểm vector chỉ nhập từ ngoài để so sánh. Vòng đời Graph/RAG phủ trọn: thiết kế → soạn → truy vấn → kiểm định.</t>
  </si>
  <si>
    <t xml:space="preserve">F-15</t>
  </si>
  <si>
    <t xml:space="preserve">Python Pack (Phase 6, plugin thứ ba — FR-PY-1101…1109 + 3 NFR-PY) bổ sung đồng bộ 4 tài liệu: SRS Phụ lục F ↔ SAD Chương 11 + ADR-13 + Hình 7 ↔ STP TC-PY-01…08 ↔ UI/UX mục 16. Kiến trúc TUYỆT ĐỐI out-of-process (không CPython trong tiến trình editor — bất biến vĩnh viễn); cầu geditor với đường ghi duy nhất applyEdits; trust theo hash + 2 cổng cho agent-script; NFR-PY-03 trung thực: không tuyên bố sandbox. NFR-MIN-04 giữ nguyên — lõi không phụ thuộc Python.</t>
  </si>
  <si>
    <t xml:space="preserve">Theo dõi khi kích hoạt Phase 6</t>
  </si>
  <si>
    <t xml:space="preserve">F-16</t>
  </si>
  <si>
    <t xml:space="preserve">Mermaid Studio (FR-MMD-001…008 + 3 NFR-MMD, Phase 3–4) bổ sung đồng bộ 4 tài liệu: SRS §3.2.14 ↔ SAD MermaidRenderer/Sync/VisualEdit/Toolkit ↔ STP TC-MMD-01…06 (golden snapshots) ↔ UI/UX mục 17. Soạn thảo HAI CHẾ ĐỘ (text + trực quan) cho mọi loại sơ đồ; văn bản là nguồn sự thật; mermaid.js đóng gói offline phiên bản pin, WKWebView sandboxed lazy-init. FR-KNW-905/915 cập nhật dùng chung engine. FR-MMD-008 thiếu TC riêng — gắn đợt Phase 4.</t>
  </si>
  <si>
    <t xml:space="preserve">F-17</t>
  </si>
  <si>
    <t xml:space="preserve">Chu trình trọng tâm chiến lược v2.3: (a) cụm Data Quality Report (FR-DQR-001…006 + 3 NFR) — nâng Profile mô tả lên phán xét theo .gquality.yaml, điểm 6 chiều, drift, quality gate CLI, vòng khép kín với Bàn làm sạch; (b) mở rộng Graph/RAG: chunk quality (922), entity resolution (923), graph quality (924), HYBRID retrieval α·BM25+(1−α)·graph với bất biến α=1≡BM25 (925), Golden Set Builder ≤3 click (926); (c) mining sâu: group-by (007) + phân rã đóng góp (008); (d) TÁI ƯU TIÊN 8 FR lõi Graph/RAG lên P1 và kéo Phase sớm theo định hướng chiến lược. Đồng bộ đủ 4 tài liệu, có TC ground-truth cho mọi FR mới.</t>
  </si>
  <si>
    <t xml:space="preserve">Theo dõi planning Phase 2–4</t>
  </si>
  <si>
    <t xml:space="preserve">MA TRẬN ĐỒNG BỘ YÊU CẦU CHỨC NĂNG (82 FR) — SRS ↔ SAD ↔ STP ↔ UI/UX</t>
  </si>
  <si>
    <t xml:space="preserve">Mã YC</t>
  </si>
  <si>
    <t xml:space="preserve">Tên yêu cầu</t>
  </si>
  <si>
    <t xml:space="preserve">Ưu tiên</t>
  </si>
  <si>
    <t xml:space="preserve">Phase</t>
  </si>
  <si>
    <t xml:space="preserve">SRS</t>
  </si>
  <si>
    <t xml:space="preserve">SAD — vị trí đáp ứng</t>
  </si>
  <si>
    <t xml:space="preserve">STP — test case</t>
  </si>
  <si>
    <t xml:space="preserve">UI/UX — vị trí đặc tả</t>
  </si>
  <si>
    <t xml:space="preserve">Trạng thái</t>
  </si>
  <si>
    <t xml:space="preserve">Ghi chú / hành động khắc phục</t>
  </si>
  <si>
    <t xml:space="preserve">FR-CORE-001</t>
  </si>
  <si>
    <t xml:space="preserve">Multi-caret / Cmd+D</t>
  </si>
  <si>
    <t xml:space="preserve">P0</t>
  </si>
  <si>
    <t xml:space="preserve">1</t>
  </si>
  <si>
    <t xml:space="preserve">§3.2</t>
  </si>
  <si>
    <t xml:space="preserve">§2.4 EditorView; ADR-01</t>
  </si>
  <si>
    <t xml:space="preserve">TC-CORE-01/02</t>
  </si>
  <si>
    <t xml:space="preserve">§4.1 + Hình 4.1</t>
  </si>
  <si>
    <t xml:space="preserve">Đồng bộ đủ</t>
  </si>
  <si>
    <t xml:space="preserve">FR-CORE-002</t>
  </si>
  <si>
    <t xml:space="preserve">Chế độ chọn cột</t>
  </si>
  <si>
    <t xml:space="preserve">§2.4 EditorView; PoC-A</t>
  </si>
  <si>
    <t xml:space="preserve">TC-CORE-03/05</t>
  </si>
  <si>
    <t xml:space="preserve">FR-CORE-003</t>
  </si>
  <si>
    <t xml:space="preserve">Column Editor</t>
  </si>
  <si>
    <t xml:space="preserve">§2.4 EditorView (đã nêu tên Column Editor)</t>
  </si>
  <si>
    <t xml:space="preserve">TC-CORE-04</t>
  </si>
  <si>
    <t xml:space="preserve">§4.1 popover ⌥⌘E</t>
  </si>
  <si>
    <t xml:space="preserve">Đã khắc phục (A-05)</t>
  </si>
  <si>
    <t xml:space="preserve">FR-CORE-004</t>
  </si>
  <si>
    <t xml:space="preserve">Undo/Redo không giới hạn</t>
  </si>
  <si>
    <t xml:space="preserve">§2.3 TextBuffer; ADR-02</t>
  </si>
  <si>
    <t xml:space="preserve">TC-CORE-10</t>
  </si>
  <si>
    <t xml:space="preserve">NT-5</t>
  </si>
  <si>
    <t xml:space="preserve">FR-CORE-005</t>
  </si>
  <si>
    <t xml:space="preserve">Sắp xếp dòng (kể cả theo cột)</t>
  </si>
  <si>
    <t xml:space="preserve">§2.3 LineOps</t>
  </si>
  <si>
    <t xml:space="preserve">TC-CORE-06/07</t>
  </si>
  <si>
    <t xml:space="preserve">Lệnh menu (không cần mockup)</t>
  </si>
  <si>
    <t xml:space="preserve">FR-CORE-006</t>
  </si>
  <si>
    <t xml:space="preserve">Khử trùng lặp dòng</t>
  </si>
  <si>
    <t xml:space="preserve">TC-CORE-08</t>
  </si>
  <si>
    <t xml:space="preserve">Lệnh menu</t>
  </si>
  <si>
    <t xml:space="preserve">FR-CORE-007</t>
  </si>
  <si>
    <t xml:space="preserve">Thao tác dòng (join/split/move…)</t>
  </si>
  <si>
    <t xml:space="preserve">TC-CORE-07 (một phần)</t>
  </si>
  <si>
    <t xml:space="preserve">§9 phím tắt</t>
  </si>
  <si>
    <t xml:space="preserve">STP: TC join/split gộp trong CORE-07 — đủ mức đại diện</t>
  </si>
  <si>
    <t xml:space="preserve">FR-CORE-008</t>
  </si>
  <si>
    <t xml:space="preserve">Thao tác khoảng trắng + trim-on-save</t>
  </si>
  <si>
    <t xml:space="preserve">TC-CORE-09</t>
  </si>
  <si>
    <t xml:space="preserve">§8.1 'Khi lưu'</t>
  </si>
  <si>
    <t xml:space="preserve">FR-CORE-009</t>
  </si>
  <si>
    <t xml:space="preserve">Chuyển đổi TAB ↔ Space</t>
  </si>
  <si>
    <t xml:space="preserve">TC-CORE-12 (bổ sung)</t>
  </si>
  <si>
    <t xml:space="preserve">§8.1 Thụt lề</t>
  </si>
  <si>
    <t xml:space="preserve">Đã khắc phục (A-02)</t>
  </si>
  <si>
    <t xml:space="preserve">FR-CORE-010</t>
  </si>
  <si>
    <t xml:space="preserve">Chuyển đổi hoa/thường + case-style</t>
  </si>
  <si>
    <t xml:space="preserve">P1</t>
  </si>
  <si>
    <t xml:space="preserve">TC-CORE-11</t>
  </si>
  <si>
    <t xml:space="preserve">FR-CORE-011</t>
  </si>
  <si>
    <t xml:space="preserve">Tự động thụt lề (smart indent)</t>
  </si>
  <si>
    <t xml:space="preserve">Gián tiếp (tree-sitter)</t>
  </si>
  <si>
    <t xml:space="preserve">KHÔNG có TC</t>
  </si>
  <si>
    <t xml:space="preserve">Không đề cập</t>
  </si>
  <si>
    <t xml:space="preserve">Thiếu một phần</t>
  </si>
  <si>
    <t xml:space="preserve">SAD nêu gián tiếp; STP bổ sung TC ở đợt cập nhật Phase 1</t>
  </si>
  <si>
    <t xml:space="preserve">FR-CORE-012</t>
  </si>
  <si>
    <t xml:space="preserve">Khớp ngoặc / thẻ</t>
  </si>
  <si>
    <t xml:space="preserve">§2.4 EditorView</t>
  </si>
  <si>
    <t xml:space="preserve">TC-CORE-14 (bổ sung)</t>
  </si>
  <si>
    <t xml:space="preserve">Highlight cặp — không cần mockup riêng</t>
  </si>
  <si>
    <t xml:space="preserve">FR-CORE-013</t>
  </si>
  <si>
    <t xml:space="preserve">Tự hoàn thành (auto-completion)</t>
  </si>
  <si>
    <t xml:space="preserve">2</t>
  </si>
  <si>
    <t xml:space="preserve">KHÔNG đề cập</t>
  </si>
  <si>
    <t xml:space="preserve">KHÔNG đặc tả</t>
  </si>
  <si>
    <t xml:space="preserve">Thiếu</t>
  </si>
  <si>
    <t xml:space="preserve">Bổ sung trước khi vào Phase 2 (A-05)</t>
  </si>
  <si>
    <t xml:space="preserve">FR-CORE-014</t>
  </si>
  <si>
    <t xml:space="preserve">Comment nhanh ⌘/</t>
  </si>
  <si>
    <t xml:space="preserve">Không cần module riêng</t>
  </si>
  <si>
    <t xml:space="preserve">STP bổ sung TC nhẹ</t>
  </si>
  <si>
    <t xml:space="preserve">FR-CORE-015</t>
  </si>
  <si>
    <t xml:space="preserve">Word wrap 3 chế độ</t>
  </si>
  <si>
    <t xml:space="preserve">LFM controller (khía cạnh tắt wrap)</t>
  </si>
  <si>
    <t xml:space="preserve">TC-CORE-13 (bổ sung)</t>
  </si>
  <si>
    <t xml:space="preserve">Banner LFM §7.1</t>
  </si>
  <si>
    <t xml:space="preserve">FR-CORE-016</t>
  </si>
  <si>
    <t xml:space="preserve">Thu phóng theo view</t>
  </si>
  <si>
    <t xml:space="preserve">P2</t>
  </si>
  <si>
    <t xml:space="preserve">Không cần</t>
  </si>
  <si>
    <t xml:space="preserve">§2.2 zoom 9–36 pt</t>
  </si>
  <si>
    <t xml:space="preserve">P2 — chấp nhận, ghi backlog TC</t>
  </si>
  <si>
    <t xml:space="preserve">FR-CORE-017</t>
  </si>
  <si>
    <t xml:space="preserve">Lịch sử clipboard</t>
  </si>
  <si>
    <t xml:space="preserve">P2 — quyết định giữ/bỏ ở planning Phase 2 (A-07)</t>
  </si>
  <si>
    <t xml:space="preserve">FR-CORE-018</t>
  </si>
  <si>
    <t xml:space="preserve">Thông tin vị trí trên status bar</t>
  </si>
  <si>
    <t xml:space="preserve">Thuộc EditorView/UI</t>
  </si>
  <si>
    <t xml:space="preserve">TC-UI-02 (gián tiếp)</t>
  </si>
  <si>
    <t xml:space="preserve">§3 + FR-UI-805</t>
  </si>
  <si>
    <t xml:space="preserve">FR-SRCH-101</t>
  </si>
  <si>
    <t xml:space="preserve">Ba chế độ tìm kiếm</t>
  </si>
  <si>
    <t xml:space="preserve">§2.3 SearchEngine</t>
  </si>
  <si>
    <t xml:space="preserve">TC-SRCH-04</t>
  </si>
  <si>
    <t xml:space="preserve">§5.1 chip chế độ</t>
  </si>
  <si>
    <t xml:space="preserve">FR-SRCH-102</t>
  </si>
  <si>
    <t xml:space="preserve">Regex engine PCRE2 đầy đủ</t>
  </si>
  <si>
    <t xml:space="preserve">ADR-03</t>
  </si>
  <si>
    <t xml:space="preserve">TC-SRCH-01</t>
  </si>
  <si>
    <t xml:space="preserve">§5.1</t>
  </si>
  <si>
    <t xml:space="preserve">FR-SRCH-103</t>
  </si>
  <si>
    <t xml:space="preserve">Biến đổi chuỗi thay thế \u\U…</t>
  </si>
  <si>
    <t xml:space="preserve">SearchEngine</t>
  </si>
  <si>
    <t xml:space="preserve">TC-SRCH-02</t>
  </si>
  <si>
    <t xml:space="preserve">§5.1 placeholder Replace</t>
  </si>
  <si>
    <t xml:space="preserve">FR-SRCH-104</t>
  </si>
  <si>
    <t xml:space="preserve">Regex an toàn (deadline)</t>
  </si>
  <si>
    <t xml:space="preserve">ADR-03 match_limit/deadline</t>
  </si>
  <si>
    <t xml:space="preserve">TC-SRCH-03</t>
  </si>
  <si>
    <t xml:space="preserve">§5.1 hành vi regex độc</t>
  </si>
  <si>
    <t xml:space="preserve">FR-SRCH-105</t>
  </si>
  <si>
    <t xml:space="preserve">Find All + Search Results panel</t>
  </si>
  <si>
    <t xml:space="preserve">§2.4 (panel thuộc UI)</t>
  </si>
  <si>
    <t xml:space="preserve">TC-SRCH-09 (bổ sung)</t>
  </si>
  <si>
    <t xml:space="preserve">§5.2 ghi chú panel dưới</t>
  </si>
  <si>
    <t xml:space="preserve">FR-SRCH-106</t>
  </si>
  <si>
    <t xml:space="preserve">Find/Replace in Files + dry-run</t>
  </si>
  <si>
    <t xml:space="preserve">1–2</t>
  </si>
  <si>
    <t xml:space="preserve">§2.4 FindInFilesService; SAD Hình 2</t>
  </si>
  <si>
    <t xml:space="preserve">TC-SRCH-06/07</t>
  </si>
  <si>
    <t xml:space="preserve">§5.2 + Hình 5.2</t>
  </si>
  <si>
    <t xml:space="preserve">FR-SRCH-107</t>
  </si>
  <si>
    <t xml:space="preserve">Mark &amp; lọc dòng</t>
  </si>
  <si>
    <t xml:space="preserve">SearchEngine (mark)</t>
  </si>
  <si>
    <t xml:space="preserve">TC-SRCH-05/08</t>
  </si>
  <si>
    <t xml:space="preserve">§5.1 menu Đánh dấu</t>
  </si>
  <si>
    <t xml:space="preserve">FR-SRCH-108</t>
  </si>
  <si>
    <t xml:space="preserve">Tìm kiếm tăng dần</t>
  </si>
  <si>
    <t xml:space="preserve">Thuộc UI</t>
  </si>
  <si>
    <t xml:space="preserve">§5.1 (đếm kết quả realtime)</t>
  </si>
  <si>
    <t xml:space="preserve">FR-SRCH-109</t>
  </si>
  <si>
    <t xml:space="preserve">Đếm &amp; highlight-all</t>
  </si>
  <si>
    <t xml:space="preserve">LFM tắt highlight-all</t>
  </si>
  <si>
    <t xml:space="preserve">§5.1 '214 kết quả'</t>
  </si>
  <si>
    <t xml:space="preserve">FR-SRCH-110</t>
  </si>
  <si>
    <t xml:space="preserve">Regex tester/explainer</t>
  </si>
  <si>
    <t xml:space="preserve">Thiết kế UI trước Phase 2 (A-10)</t>
  </si>
  <si>
    <t xml:space="preserve">FR-SRCH-111</t>
  </si>
  <si>
    <t xml:space="preserve">Go to Line ⌘L</t>
  </si>
  <si>
    <t xml:space="preserve">Thuộc EditorView</t>
  </si>
  <si>
    <t xml:space="preserve">TC-SRCH-10 (bổ sung)</t>
  </si>
  <si>
    <t xml:space="preserve">FR-ENC-201</t>
  </si>
  <si>
    <t xml:space="preserve">Bảng mã hỗ trợ (kể cả Việt legacy)</t>
  </si>
  <si>
    <t xml:space="preserve">§2.3 EncodingEngine (codec tự viết)</t>
  </si>
  <si>
    <t xml:space="preserve">TC-ENC-01/03</t>
  </si>
  <si>
    <t xml:space="preserve">Menu status bar</t>
  </si>
  <si>
    <t xml:space="preserve">FR-ENC-202</t>
  </si>
  <si>
    <t xml:space="preserve">Tự nhận diện bảng mã</t>
  </si>
  <si>
    <t xml:space="preserve">EncodingEngine (ICU+heuristic)</t>
  </si>
  <si>
    <t xml:space="preserve">TC-ENC-01/02</t>
  </si>
  <si>
    <t xml:space="preserve">§7.1 banner nghi sai</t>
  </si>
  <si>
    <t xml:space="preserve">FR-ENC-203</t>
  </si>
  <si>
    <t xml:space="preserve">Encode-in vs Convert-to</t>
  </si>
  <si>
    <t xml:space="preserve">EncodingEngine</t>
  </si>
  <si>
    <t xml:space="preserve">TC-ENC-02</t>
  </si>
  <si>
    <t xml:space="preserve">§4.2 menu 2 nhóm tách bạch</t>
  </si>
  <si>
    <t xml:space="preserve">FR-ENC-204</t>
  </si>
  <si>
    <t xml:space="preserve">Chuyển đổi EOL + cảnh báo hỗn hợp</t>
  </si>
  <si>
    <t xml:space="preserve">EncodingEngine/FileIO</t>
  </si>
  <si>
    <t xml:space="preserve">TC-ENC-04</t>
  </si>
  <si>
    <t xml:space="preserve">§4.2 banner + Hình 4.2</t>
  </si>
  <si>
    <t xml:space="preserve">FR-ENC-205</t>
  </si>
  <si>
    <t xml:space="preserve">Hiện ký tự ẩn</t>
  </si>
  <si>
    <t xml:space="preserve">EditorView</t>
  </si>
  <si>
    <t xml:space="preserve">TC-ENC-06</t>
  </si>
  <si>
    <t xml:space="preserve">§4.2 + ký tự đáng ngờ luôn hiện</t>
  </si>
  <si>
    <t xml:space="preserve">FR-ENC-206</t>
  </si>
  <si>
    <t xml:space="preserve">Chuẩn hóa Unicode NFC/NFD</t>
  </si>
  <si>
    <t xml:space="preserve">EncodingEngine (unorm2)</t>
  </si>
  <si>
    <t xml:space="preserve">TC-ENC-05</t>
  </si>
  <si>
    <t xml:space="preserve">§10 IME + §8.1</t>
  </si>
  <si>
    <t xml:space="preserve">FR-ENC-207</t>
  </si>
  <si>
    <t xml:space="preserve">Encoding/EOL mặc định file mới</t>
  </si>
  <si>
    <t xml:space="preserve">Cấu hình (ADR-09)</t>
  </si>
  <si>
    <t xml:space="preserve">§8.1 nav 'Bảng mã &amp; file mới'</t>
  </si>
  <si>
    <t xml:space="preserve">FR-DOC-301</t>
  </si>
  <si>
    <t xml:space="preserve">Quản lý tab</t>
  </si>
  <si>
    <t xml:space="preserve">Tab/Window Mgmt (§2.4)</t>
  </si>
  <si>
    <t xml:space="preserve">Gián tiếp XCUITest</t>
  </si>
  <si>
    <t xml:space="preserve">§3 chú giải 1</t>
  </si>
  <si>
    <t xml:space="preserve">STP: đại diện đủ qua XCUITest editing</t>
  </si>
  <si>
    <t xml:space="preserve">FR-DOC-302</t>
  </si>
  <si>
    <t xml:space="preserve">Split view / clone</t>
  </si>
  <si>
    <t xml:space="preserve">§2.4</t>
  </si>
  <si>
    <t xml:space="preserve">TC-DOC-05</t>
  </si>
  <si>
    <t xml:space="preserve">§3 quy tắc cửa sổ</t>
  </si>
  <si>
    <t xml:space="preserve">FR-DOC-303</t>
  </si>
  <si>
    <t xml:space="preserve">Session</t>
  </si>
  <si>
    <t xml:space="preserve">§2.4 SessionService</t>
  </si>
  <si>
    <t xml:space="preserve">TC-DOC-01</t>
  </si>
  <si>
    <t xml:space="preserve">§3 + §7.1</t>
  </si>
  <si>
    <t xml:space="preserve">FR-DOC-304</t>
  </si>
  <si>
    <t xml:space="preserve">Autosave bản nháp</t>
  </si>
  <si>
    <t xml:space="preserve">§2.3 SnapshotStore</t>
  </si>
  <si>
    <t xml:space="preserve">§8.1</t>
  </si>
  <si>
    <t xml:space="preserve">FR-DOC-305</t>
  </si>
  <si>
    <t xml:space="preserve">macOS Versions</t>
  </si>
  <si>
    <t xml:space="preserve">3</t>
  </si>
  <si>
    <t xml:space="preserve">SessionService (Phase 3)</t>
  </si>
  <si>
    <t xml:space="preserve">Ghi chú Phụ lục A</t>
  </si>
  <si>
    <t xml:space="preserve">KHÔNG đặc tả UI</t>
  </si>
  <si>
    <t xml:space="preserve">P2/Ph3 — thiết kế UI khi vào Phase 3</t>
  </si>
  <si>
    <t xml:space="preserve">FR-DOC-306</t>
  </si>
  <si>
    <t xml:space="preserve">Document Map (minimap)</t>
  </si>
  <si>
    <t xml:space="preserve">KHÔNG nêu riêng</t>
  </si>
  <si>
    <t xml:space="preserve">§3 chú giải 4 (nhắc)</t>
  </si>
  <si>
    <t xml:space="preserve">Bổ sung SAD+STP+UIUX trước Phase 2</t>
  </si>
  <si>
    <t xml:space="preserve">FR-DOC-307</t>
  </si>
  <si>
    <t xml:space="preserve">Function List</t>
  </si>
  <si>
    <t xml:space="preserve">HighlightService (tree-sitter query)</t>
  </si>
  <si>
    <t xml:space="preserve">§3 sidebar</t>
  </si>
  <si>
    <t xml:space="preserve">STP bổ sung TC Phase 2</t>
  </si>
  <si>
    <t xml:space="preserve">FR-DOC-308</t>
  </si>
  <si>
    <t xml:space="preserve">Folder as Workspace</t>
  </si>
  <si>
    <t xml:space="preserve">§2.4 WatcherService</t>
  </si>
  <si>
    <t xml:space="preserve">§3 sidebar (thiếu spec thao tác file)</t>
  </si>
  <si>
    <t xml:space="preserve">UIUX: bổ sung spec tạo/đổi tên/xóa; STP: TC Phase 2</t>
  </si>
  <si>
    <t xml:space="preserve">FR-DOC-309</t>
  </si>
  <si>
    <t xml:space="preserve">Theo dõi file (tail -f)</t>
  </si>
  <si>
    <t xml:space="preserve">WatcherService</t>
  </si>
  <si>
    <t xml:space="preserve">TC-DOC-04/06</t>
  </si>
  <si>
    <t xml:space="preserve">§7.1 banner Monitoring</t>
  </si>
  <si>
    <t xml:space="preserve">FR-DOC-310</t>
  </si>
  <si>
    <t xml:space="preserve">Large File Mode</t>
  </si>
  <si>
    <t xml:space="preserve">TextBuffer+FileIO+LFM ctrl; §4.2</t>
  </si>
  <si>
    <t xml:space="preserve">TC-DOC-03</t>
  </si>
  <si>
    <t xml:space="preserve">§7.1 banner LFM</t>
  </si>
  <si>
    <t xml:space="preserve">FR-DOC-311</t>
  </si>
  <si>
    <t xml:space="preserve">Chỉ đọc &amp; quyền</t>
  </si>
  <si>
    <t xml:space="preserve">TC-DOC-08 (bổ sung)</t>
  </si>
  <si>
    <t xml:space="preserve">§7.4 chỉ báo khóa</t>
  </si>
  <si>
    <t xml:space="preserve">FR-DOC-312</t>
  </si>
  <si>
    <t xml:space="preserve">File gần đây / mở lại tab</t>
  </si>
  <si>
    <t xml:space="preserve">Không cần module</t>
  </si>
  <si>
    <t xml:space="preserve">§7.3 empty state + §9 ⇧⌘T</t>
  </si>
  <si>
    <t xml:space="preserve">FR-DOC-313</t>
  </si>
  <si>
    <t xml:space="preserve">In ấn</t>
  </si>
  <si>
    <t xml:space="preserve">Được giải bởi FR-RPT-005: xuất PDF qua đường in hệ thống (NSPrintOperation) — kiểm ở TC-RPT-04</t>
  </si>
  <si>
    <t xml:space="preserve">FR-DOC-314</t>
  </si>
  <si>
    <t xml:space="preserve">Lưu nâng cao (Save As enc/EOL, atomic)</t>
  </si>
  <si>
    <t xml:space="preserve">§2.3 FileIO; NFR-REL-02</t>
  </si>
  <si>
    <t xml:space="preserve">TC-DOC-02</t>
  </si>
  <si>
    <t xml:space="preserve">§7.3 Save As accessory</t>
  </si>
  <si>
    <t xml:space="preserve">Đã khắc phục (A-03)</t>
  </si>
  <si>
    <t xml:space="preserve">FR-CSV-401</t>
  </si>
  <si>
    <t xml:space="preserve">Parser RFC 4180 + auto-detect</t>
  </si>
  <si>
    <t xml:space="preserve">§2.3 CSVEngine; SAD Hình 4</t>
  </si>
  <si>
    <t xml:space="preserve">TC-CSV-01/02</t>
  </si>
  <si>
    <t xml:space="preserve">§6 + Hình 3.1</t>
  </si>
  <si>
    <t xml:space="preserve">FR-CSV-402</t>
  </si>
  <si>
    <t xml:space="preserve">Rainbow columns + sticky header</t>
  </si>
  <si>
    <t xml:space="preserve">CSVEngine index → tô màu</t>
  </si>
  <si>
    <t xml:space="preserve">TC-CSV-08</t>
  </si>
  <si>
    <t xml:space="preserve">§2.1 bảng màu + §6</t>
  </si>
  <si>
    <t xml:space="preserve">FR-CSV-403</t>
  </si>
  <si>
    <t xml:space="preserve">Table view song song</t>
  </si>
  <si>
    <t xml:space="preserve">§2.4 CSVTableView; SAD Hình 4</t>
  </si>
  <si>
    <t xml:space="preserve">TC-CSV-04/05</t>
  </si>
  <si>
    <t xml:space="preserve">§6 + Hình 6.1</t>
  </si>
  <si>
    <t xml:space="preserve">FR-CSV-404</t>
  </si>
  <si>
    <t xml:space="preserve">Thao tác cột theo field</t>
  </si>
  <si>
    <t xml:space="preserve">CSVEngine API</t>
  </si>
  <si>
    <t xml:space="preserve">TC-CSV-03</t>
  </si>
  <si>
    <t xml:space="preserve">§6 menu ngữ cảnh header</t>
  </si>
  <si>
    <t xml:space="preserve">FR-CSV-405</t>
  </si>
  <si>
    <t xml:space="preserve">Validate &amp; lint</t>
  </si>
  <si>
    <t xml:space="preserve">CSVEngine</t>
  </si>
  <si>
    <t xml:space="preserve">TC-CSV-06</t>
  </si>
  <si>
    <t xml:space="preserve">§6 panel lỗi</t>
  </si>
  <si>
    <t xml:space="preserve">FR-CSV-406</t>
  </si>
  <si>
    <t xml:space="preserve">Chuyển đổi định dạng</t>
  </si>
  <si>
    <t xml:space="preserve">CSVEngine + API csv.toJSON</t>
  </si>
  <si>
    <t xml:space="preserve">TC-CSV-07</t>
  </si>
  <si>
    <t xml:space="preserve">§6 menu Chuyển đổi (sheet preview)</t>
  </si>
  <si>
    <t xml:space="preserve">FR-CSV-407</t>
  </si>
  <si>
    <t xml:space="preserve">Truy vấn SQL (DuckDB)</t>
  </si>
  <si>
    <t xml:space="preserve">ADR-07</t>
  </si>
  <si>
    <t xml:space="preserve">Ghi chú Phụ lục A, chưa TC</t>
  </si>
  <si>
    <t xml:space="preserve">§6 console SQL (spec ngắn)</t>
  </si>
  <si>
    <t xml:space="preserve">Phần console được hợp nhất vào FR-QRY-001 (Query Workbench) — SRS §3.2.11; engine DuckDB giữ nguyên ADR-07</t>
  </si>
  <si>
    <t xml:space="preserve">FR-CSV-408</t>
  </si>
  <si>
    <t xml:space="preserve">Thống kê cột</t>
  </si>
  <si>
    <t xml:space="preserve">§6 menu header (nhắc)</t>
  </si>
  <si>
    <t xml:space="preserve">Được nâng cấp/thay thế bởi FR-CLN-003 (Data Profile, kéo lên Phase 2) — SRS §3.2.10</t>
  </si>
  <si>
    <t xml:space="preserve">FR-FMT-501</t>
  </si>
  <si>
    <t xml:space="preserve">Syntax highlight tree-sitter</t>
  </si>
  <si>
    <t xml:space="preserve">1–3</t>
  </si>
  <si>
    <t xml:space="preserve">ADR-04; HighlightService</t>
  </si>
  <si>
    <t xml:space="preserve">Snapshot suite (Phụ lục A)</t>
  </si>
  <si>
    <t xml:space="preserve">§2 token theme</t>
  </si>
  <si>
    <t xml:space="preserve">TC dạng golden-file ở mức suite — đạt</t>
  </si>
  <si>
    <t xml:space="preserve">FR-FMT-502</t>
  </si>
  <si>
    <t xml:space="preserve">Ngôn ngữ tự định nghĩa (UDL)</t>
  </si>
  <si>
    <t xml:space="preserve">2–3</t>
  </si>
  <si>
    <t xml:space="preserve">ADR-04 (tmLanguage fallback)</t>
  </si>
  <si>
    <t xml:space="preserve">KHÔNG có TC import</t>
  </si>
  <si>
    <t xml:space="preserve">KHÔNG đặc tả GUI Designer</t>
  </si>
  <si>
    <t xml:space="preserve">UIUX thiết kế Language Designer trước Phase 3; STP TC import Phase 2</t>
  </si>
  <si>
    <t xml:space="preserve">FR-FMT-503</t>
  </si>
  <si>
    <t xml:space="preserve">Code folding</t>
  </si>
  <si>
    <t xml:space="preserve">EditorView (ADR-01 có sẵn)</t>
  </si>
  <si>
    <t xml:space="preserve">KHÔNG đặc tả gutter fold</t>
  </si>
  <si>
    <t xml:space="preserve">UIUX bổ sung spec gutter; STP TC nhẹ</t>
  </si>
  <si>
    <t xml:space="preserve">FR-FMT-504</t>
  </si>
  <si>
    <t xml:space="preserve">Công cụ JSON</t>
  </si>
  <si>
    <t xml:space="preserve">KHÔNG nêu module</t>
  </si>
  <si>
    <t xml:space="preserve">XCUITest JSON (Phụ lục A, mức nhắc)</t>
  </si>
  <si>
    <t xml:space="preserve">Nhóm FMT-504/505/506 cần mục UI riêng trước Phase 2 (A-04)</t>
  </si>
  <si>
    <t xml:space="preserve">FR-FMT-505</t>
  </si>
  <si>
    <t xml:space="preserve">Công cụ XML</t>
  </si>
  <si>
    <t xml:space="preserve">Mức nhắc</t>
  </si>
  <si>
    <t xml:space="preserve">FR-FMT-506</t>
  </si>
  <si>
    <t xml:space="preserve">Markdown preview</t>
  </si>
  <si>
    <t xml:space="preserve">Ràng buộc WKWebView (§3.4)</t>
  </si>
  <si>
    <t xml:space="preserve">KHÔNG đặc tả layout preview</t>
  </si>
  <si>
    <t xml:space="preserve">FR-FMT-507</t>
  </si>
  <si>
    <t xml:space="preserve">YAML/TOML/INI</t>
  </si>
  <si>
    <t xml:space="preserve">Grammar tree-sitter (gián tiếp)</t>
  </si>
  <si>
    <t xml:space="preserve">Snapshot suite</t>
  </si>
  <si>
    <t xml:space="preserve">Theme token</t>
  </si>
  <si>
    <t xml:space="preserve">Đủ mức nền; lint riêng chưa có TC</t>
  </si>
  <si>
    <t xml:space="preserve">FR-FMT-508</t>
  </si>
  <si>
    <t xml:space="preserve">Chế độ Log</t>
  </si>
  <si>
    <t xml:space="preserve">KHÔNG nêu</t>
  </si>
  <si>
    <t xml:space="preserve">Flow F2 dùng Mark (gián tiếp)</t>
  </si>
  <si>
    <t xml:space="preserve">Phase 3</t>
  </si>
  <si>
    <t xml:space="preserve">FR-AUTO-601</t>
  </si>
  <si>
    <t xml:space="preserve">Ghi macro</t>
  </si>
  <si>
    <t xml:space="preserve">§2.4 AutomationService</t>
  </si>
  <si>
    <t xml:space="preserve">TC-AUTO-01</t>
  </si>
  <si>
    <t xml:space="preserve">§8.3 chỉ báo ghi</t>
  </si>
  <si>
    <t xml:space="preserve">FR-AUTO-602</t>
  </si>
  <si>
    <t xml:space="preserve">Chạy macro hàng loạt/batch</t>
  </si>
  <si>
    <t xml:space="preserve">AutomationService (hàng đợi batch)</t>
  </si>
  <si>
    <t xml:space="preserve">TC-AUTO-02/03</t>
  </si>
  <si>
    <t xml:space="preserve">§8.3 sheet 4 chế độ + tổng kết</t>
  </si>
  <si>
    <t xml:space="preserve">FR-AUTO-603</t>
  </si>
  <si>
    <t xml:space="preserve">Scripting JavaScriptCore</t>
  </si>
  <si>
    <t xml:space="preserve">ADR-05; §6 API surface</t>
  </si>
  <si>
    <t xml:space="preserve">TC-AUTO-04</t>
  </si>
  <si>
    <t xml:space="preserve">§8.3 console</t>
  </si>
  <si>
    <t xml:space="preserve">FR-AUTO-604</t>
  </si>
  <si>
    <t xml:space="preserve">Run/Text Filter qua shell</t>
  </si>
  <si>
    <t xml:space="preserve">§2.4 ShellBridge; API shell.run</t>
  </si>
  <si>
    <t xml:space="preserve">TC-AUTO-05</t>
  </si>
  <si>
    <t xml:space="preserve">§7.2 hộp cấp quyền (gián tiếp)</t>
  </si>
  <si>
    <t xml:space="preserve">UIUX: đủ mức hành vi; mockup không bắt buộc</t>
  </si>
  <si>
    <t xml:space="preserve">FR-AUTO-605</t>
  </si>
  <si>
    <t xml:space="preserve">CLI geditor</t>
  </si>
  <si>
    <t xml:space="preserve">§2.4 CLIBridge; §5.2 deployment</t>
  </si>
  <si>
    <t xml:space="preserve">TC-AUTO-06</t>
  </si>
  <si>
    <t xml:space="preserve">Không cần UI</t>
  </si>
  <si>
    <t xml:space="preserve">FR-AUTO-606</t>
  </si>
  <si>
    <t xml:space="preserve">AppleScript/Shortcuts/Services</t>
  </si>
  <si>
    <t xml:space="preserve">Bridge Phase 3 (§2.4)</t>
  </si>
  <si>
    <t xml:space="preserve">FR-PLUG-701</t>
  </si>
  <si>
    <t xml:space="preserve">Plugin dạng script</t>
  </si>
  <si>
    <t xml:space="preserve">§6 API + manifest</t>
  </si>
  <si>
    <t xml:space="preserve">KHÔNG TC riêng (gián tiếp unit ScriptAPI)</t>
  </si>
  <si>
    <t xml:space="preserve">§8.2 loại Script</t>
  </si>
  <si>
    <t xml:space="preserve">STP bổ sung TC cài/gỡ Phase 2</t>
  </si>
  <si>
    <t xml:space="preserve">FR-PLUG-702</t>
  </si>
  <si>
    <t xml:space="preserve">Plugin native universal</t>
  </si>
  <si>
    <t xml:space="preserve">ADR-06; SAD Hình 3</t>
  </si>
  <si>
    <t xml:space="preserve">TC-SEC-03</t>
  </si>
  <si>
    <t xml:space="preserve">§8.2 từ chối nạp</t>
  </si>
  <si>
    <t xml:space="preserve">FR-PLUG-703</t>
  </si>
  <si>
    <t xml:space="preserve">Cách ly XPC</t>
  </si>
  <si>
    <t xml:space="preserve">ADR-06; watchdog</t>
  </si>
  <si>
    <t xml:space="preserve">TC-SEC-04</t>
  </si>
  <si>
    <t xml:space="preserve">§8.2 toast crash</t>
  </si>
  <si>
    <t xml:space="preserve">FR-PLUG-704</t>
  </si>
  <si>
    <t xml:space="preserve">Plugin Manager</t>
  </si>
  <si>
    <t xml:space="preserve">§5.2 (ký số)</t>
  </si>
  <si>
    <t xml:space="preserve">TC-SEC-01/03 (gián tiếp)</t>
  </si>
  <si>
    <t xml:space="preserve">§8.2 đầy đủ</t>
  </si>
  <si>
    <t xml:space="preserve">FR-PLUG-705</t>
  </si>
  <si>
    <t xml:space="preserve">Gói theme/grammar</t>
  </si>
  <si>
    <t xml:space="preserve">ADR-04/09</t>
  </si>
  <si>
    <t xml:space="preserve">§2 token (nền tảng)</t>
  </si>
  <si>
    <t xml:space="preserve">STP TC cài gói Phase 2</t>
  </si>
  <si>
    <t xml:space="preserve">FR-UI-801</t>
  </si>
  <si>
    <t xml:space="preserve">Theme + Style Configurator</t>
  </si>
  <si>
    <t xml:space="preserve">ADR-09 (theme JSON)</t>
  </si>
  <si>
    <t xml:space="preserve">Snapshot theme (Phụ lục A)</t>
  </si>
  <si>
    <t xml:space="preserve">Token đủ; THIẾU mockup Configurator</t>
  </si>
  <si>
    <t xml:space="preserve">UIUX thiết kế Style Configurator trước Phase 2 (A-09)</t>
  </si>
  <si>
    <t xml:space="preserve">FR-UI-802</t>
  </si>
  <si>
    <t xml:space="preserve">Shortcut Mapper + preset N++</t>
  </si>
  <si>
    <t xml:space="preserve">Cấu hình JSON</t>
  </si>
  <si>
    <t xml:space="preserve">TC-UI-01</t>
  </si>
  <si>
    <t xml:space="preserve">§9 keymap chốt</t>
  </si>
  <si>
    <t xml:space="preserve">Xung đột ⇧⌘D đã chốt — A-06 hoàn thành</t>
  </si>
  <si>
    <t xml:space="preserve">FR-UI-803</t>
  </si>
  <si>
    <t xml:space="preserve">Preferences + export/import cấu hình</t>
  </si>
  <si>
    <t xml:space="preserve">ADR-09</t>
  </si>
  <si>
    <t xml:space="preserve">KHÔNG TC export/import</t>
  </si>
  <si>
    <t xml:space="preserve">§8.1 + Hình 8.1</t>
  </si>
  <si>
    <t xml:space="preserve">STP bổ sung TC (trùng NFR-PORT-03) — A-08</t>
  </si>
  <si>
    <t xml:space="preserve">FR-UI-804</t>
  </si>
  <si>
    <t xml:space="preserve">Đa ngôn ngữ UI EN/VI</t>
  </si>
  <si>
    <t xml:space="preserve">String Catalog (SRS 3.1.1)</t>
  </si>
  <si>
    <t xml:space="preserve">KHÔNG có TC smoke EN/VI</t>
  </si>
  <si>
    <t xml:space="preserve">Copy mockup đã là tiếng Việt</t>
  </si>
  <si>
    <t xml:space="preserve">STP: smoke TC chuyển ngôn ngữ — A-08</t>
  </si>
  <si>
    <t xml:space="preserve">FR-UI-805</t>
  </si>
  <si>
    <t xml:space="preserve">Status bar tương tác</t>
  </si>
  <si>
    <t xml:space="preserve">TC-UI-02</t>
  </si>
  <si>
    <t xml:space="preserve">§3 chú giải 5</t>
  </si>
  <si>
    <t xml:space="preserve">FR-KNW-901</t>
  </si>
  <si>
    <t xml:space="preserve">Chế độ JSONL</t>
  </si>
  <si>
    <t xml:space="preserve">Phụ lục D</t>
  </si>
  <si>
    <t xml:space="preserve">§9.1 JSONLIndexer (XPC)</t>
  </si>
  <si>
    <t xml:space="preserve">TC-KNW-01</t>
  </si>
  <si>
    <t xml:space="preserve">§14.1 + Hình 14.1</t>
  </si>
  <si>
    <t xml:space="preserve">Thiết kế đồng bộ ngay từ đầu · v2.3: NÂNG ưu tiên chiến lược (Graph/RAG lõi)</t>
  </si>
  <si>
    <t xml:space="preserve">FR-KNW-902</t>
  </si>
  <si>
    <t xml:space="preserve">Chunk Inspector</t>
  </si>
  <si>
    <t xml:space="preserve">§9.1 ChunkAnalyzer</t>
  </si>
  <si>
    <t xml:space="preserve">TC-KNW-02</t>
  </si>
  <si>
    <t xml:space="preserve">§14.1</t>
  </si>
  <si>
    <t xml:space="preserve">v2.3: NÂNG ưu tiên chiến lược (Graph/RAG lõi)</t>
  </si>
  <si>
    <t xml:space="preserve">FR-KNW-903</t>
  </si>
  <si>
    <t xml:space="preserve">Chunking Preview</t>
  </si>
  <si>
    <t xml:space="preserve">4</t>
  </si>
  <si>
    <t xml:space="preserve">TC-KNW-03</t>
  </si>
  <si>
    <t xml:space="preserve">FR-KNW-904</t>
  </si>
  <si>
    <t xml:space="preserve">Grammar đồ thị</t>
  </si>
  <si>
    <t xml:space="preserve">§9.1 GrammarPack</t>
  </si>
  <si>
    <t xml:space="preserve">TC-KNW-04</t>
  </si>
  <si>
    <t xml:space="preserve">§14.2</t>
  </si>
  <si>
    <t xml:space="preserve">FR-KNW-905</t>
  </si>
  <si>
    <t xml:space="preserve">Graph Preview</t>
  </si>
  <si>
    <t xml:space="preserve">§9.1 GraphPreviewPanel</t>
  </si>
  <si>
    <t xml:space="preserve">TC-KNW-05</t>
  </si>
  <si>
    <t xml:space="preserve">§14.2 + Hình 14.2</t>
  </si>
  <si>
    <t xml:space="preserve">v2.2: dùng chung engine MermaidRenderer (FR-MMD-001) · v2.3: NÂNG ưu tiên chiến lược (Graph/RAG lõi)</t>
  </si>
  <si>
    <t xml:space="preserve">FR-KNW-906</t>
  </si>
  <si>
    <t xml:space="preserve">Bảng triple/edge</t>
  </si>
  <si>
    <t xml:space="preserve">§9.1 TripleTableAdapter</t>
  </si>
  <si>
    <t xml:space="preserve">TC-KNW-06</t>
  </si>
  <si>
    <t xml:space="preserve">FR-KNW-907</t>
  </si>
  <si>
    <t xml:space="preserve">Corpus SQL</t>
  </si>
  <si>
    <t xml:space="preserve">§9.1 CorpusSQL (ADR-07 mở rộng)</t>
  </si>
  <si>
    <t xml:space="preserve">TC-KNW-02 (gián tiếp)</t>
  </si>
  <si>
    <t xml:space="preserve">§14.1 nút SQL</t>
  </si>
  <si>
    <t xml:space="preserve">FR-KNW-908</t>
  </si>
  <si>
    <t xml:space="preserve">Đánh dấu entity</t>
  </si>
  <si>
    <t xml:space="preserve">§9.1 EntityMarker</t>
  </si>
  <si>
    <t xml:space="preserve">Chưa TC riêng</t>
  </si>
  <si>
    <t xml:space="preserve">§14.2 bảng đặc tả</t>
  </si>
  <si>
    <t xml:space="preserve">STP bổ sung TC khi phát hành Pack</t>
  </si>
  <si>
    <t xml:space="preserve">FR-KNW-909</t>
  </si>
  <si>
    <t xml:space="preserve">File agent/prompt</t>
  </si>
  <si>
    <t xml:space="preserve">Chưa mockup (grammar thuần)</t>
  </si>
  <si>
    <t xml:space="preserve">Bổ sung cùng đợt phát hành Pack</t>
  </si>
  <si>
    <t xml:space="preserve">FR-KNW-910</t>
  </si>
  <si>
    <t xml:space="preserve">Chuyển đổi tri thức</t>
  </si>
  <si>
    <t xml:space="preserve">Tái dùng cơ chế FR-CSV-406</t>
  </si>
  <si>
    <t xml:space="preserve">Cùng khuôn menu Chuyển đổi §6</t>
  </si>
  <si>
    <t xml:space="preserve">FR-KNW-911</t>
  </si>
  <si>
    <t xml:space="preserve">Đóng gói dạng plugin</t>
  </si>
  <si>
    <t xml:space="preserve">ADR-11 + §9.2</t>
  </si>
  <si>
    <t xml:space="preserve">TC-KNW-07 (zero-cost)</t>
  </si>
  <si>
    <t xml:space="preserve">§14.2 trạng thái ẩn</t>
  </si>
  <si>
    <t xml:space="preserve">FR-KNW-912</t>
  </si>
  <si>
    <t xml:space="preserve">API jsonl.*/graph.*</t>
  </si>
  <si>
    <t xml:space="preserve">§9.1 KP Script API</t>
  </si>
  <si>
    <t xml:space="preserve">TC-KNW-08</t>
  </si>
  <si>
    <t xml:space="preserve">Luồng F5</t>
  </si>
  <si>
    <t xml:space="preserve">FR-AGT-1001</t>
  </si>
  <si>
    <t xml:space="preserve">Cấu hình provider BYOK (key Keychain)</t>
  </si>
  <si>
    <t xml:space="preserve">5</t>
  </si>
  <si>
    <t xml:space="preserve">Phụ lục E</t>
  </si>
  <si>
    <t xml:space="preserve">§10.1 KeychainStore + ProviderAdapter</t>
  </si>
  <si>
    <t xml:space="preserve">TC-AGT-01/02</t>
  </si>
  <si>
    <t xml:space="preserve">§15.1 bảng provider</t>
  </si>
  <si>
    <t xml:space="preserve">FR-AGT-1002</t>
  </si>
  <si>
    <t xml:space="preserve">Chọn mô hình &amp; tham số</t>
  </si>
  <si>
    <t xml:space="preserve">§10.1 ProviderAdapter</t>
  </si>
  <si>
    <t xml:space="preserve">TC-AGT-02</t>
  </si>
  <si>
    <t xml:space="preserve">§15.1</t>
  </si>
  <si>
    <t xml:space="preserve">FR-AGT-1003</t>
  </si>
  <si>
    <t xml:space="preserve">Agent panel</t>
  </si>
  <si>
    <t xml:space="preserve">§10.1 AgentPanel</t>
  </si>
  <si>
    <t xml:space="preserve">Gián tiếp TC-AGT-03…06</t>
  </si>
  <si>
    <t xml:space="preserve">§15.1 + Hình 15.1</t>
  </si>
  <si>
    <t xml:space="preserve">FR-AGT-1004</t>
  </si>
  <si>
    <t xml:space="preserve">Agent loop qua Editor API</t>
  </si>
  <si>
    <t xml:space="preserve">§10.1 Orchestrator + ToolBridge; ADR-12</t>
  </si>
  <si>
    <t xml:space="preserve">TC-AGT-03</t>
  </si>
  <si>
    <t xml:space="preserve">§15.1 log tool call</t>
  </si>
  <si>
    <t xml:space="preserve">FR-AGT-1005</t>
  </si>
  <si>
    <t xml:space="preserve">Cổng diff duyệt</t>
  </si>
  <si>
    <t xml:space="preserve">§10.1 DiffGate</t>
  </si>
  <si>
    <t xml:space="preserve">TC-AGT-04</t>
  </si>
  <si>
    <t xml:space="preserve">§15.1 thẻ diff</t>
  </si>
  <si>
    <t xml:space="preserve">FR-AGT-1006</t>
  </si>
  <si>
    <t xml:space="preserve">Checkpoint phiên</t>
  </si>
  <si>
    <t xml:space="preserve">§10.1 SessionCheckpoint</t>
  </si>
  <si>
    <t xml:space="preserve">TC-AGT-05</t>
  </si>
  <si>
    <t xml:space="preserve">§15.1 status bar</t>
  </si>
  <si>
    <t xml:space="preserve">FR-AGT-1007</t>
  </si>
  <si>
    <t xml:space="preserve">Quyền tối thiểu</t>
  </si>
  <si>
    <t xml:space="preserve">§10.1 ToolBridge + Permission Broker</t>
  </si>
  <si>
    <t xml:space="preserve">TC-AGT-07</t>
  </si>
  <si>
    <t xml:space="preserve">§15.1 quyền theo phiên</t>
  </si>
  <si>
    <t xml:space="preserve">FR-AGT-1008</t>
  </si>
  <si>
    <t xml:space="preserve">Đồng hồ chi phí &amp; audit</t>
  </si>
  <si>
    <t xml:space="preserve">§10.1 CostMeter + AuditLog</t>
  </si>
  <si>
    <t xml:space="preserve">TC-AGT-06</t>
  </si>
  <si>
    <t xml:space="preserve">§15.1 footer chi phí</t>
  </si>
  <si>
    <t xml:space="preserve">FR-AGT-1009</t>
  </si>
  <si>
    <t xml:space="preserve">Lệnh lặp từ NL</t>
  </si>
  <si>
    <t xml:space="preserve">§10.1 ReplayCompiler</t>
  </si>
  <si>
    <t xml:space="preserve">§15.1 + F6</t>
  </si>
  <si>
    <t xml:space="preserve">FR-AGT-1010</t>
  </si>
  <si>
    <t xml:space="preserve">Đóng gói Agent Pack</t>
  </si>
  <si>
    <t xml:space="preserve">ADR-12 + §10.2</t>
  </si>
  <si>
    <t xml:space="preserve">TC-AGT-08</t>
  </si>
  <si>
    <t xml:space="preserve">§15 trạng thái ẩn</t>
  </si>
  <si>
    <t xml:space="preserve">FR-CLN-001</t>
  </si>
  <si>
    <t xml:space="preserve">Chuẩn hóa định dạng theo cột (ngày/số)</t>
  </si>
  <si>
    <t xml:space="preserve">§3.2.10</t>
  </si>
  <si>
    <t xml:space="preserve">§2.4 DataCleanService</t>
  </si>
  <si>
    <t xml:space="preserve">TC-CLN-01/02</t>
  </si>
  <si>
    <t xml:space="preserve">§6.2 + Hình 6.2</t>
  </si>
  <si>
    <t xml:space="preserve">FR-CLN-002</t>
  </si>
  <si>
    <t xml:space="preserve">Xử lý giá trị thiếu</t>
  </si>
  <si>
    <t xml:space="preserve">TC-CLN-03</t>
  </si>
  <si>
    <t xml:space="preserve">§6.2</t>
  </si>
  <si>
    <t xml:space="preserve">FR-CLN-003</t>
  </si>
  <si>
    <t xml:space="preserve">Data Profile</t>
  </si>
  <si>
    <t xml:space="preserve">§2.4 DataCleanService (DuckDB)</t>
  </si>
  <si>
    <t xml:space="preserve">TC-CLN-04</t>
  </si>
  <si>
    <t xml:space="preserve">§6.2 panel Profile</t>
  </si>
  <si>
    <t xml:space="preserve">Thay thế FR-CSV-408</t>
  </si>
  <si>
    <t xml:space="preserve">FR-CLN-004</t>
  </si>
  <si>
    <t xml:space="preserve">Trùng lặp mờ (fuzzy dedup)</t>
  </si>
  <si>
    <t xml:space="preserve">§9.1 FuzzyDeduper</t>
  </si>
  <si>
    <t xml:space="preserve">TC-CLN-05</t>
  </si>
  <si>
    <t xml:space="preserve">§6.2 duyệt gộp</t>
  </si>
  <si>
    <t xml:space="preserve">FR-CLN-005</t>
  </si>
  <si>
    <t xml:space="preserve">Cleaning Recipe</t>
  </si>
  <si>
    <t xml:space="preserve">§2.4 RecipeEngine</t>
  </si>
  <si>
    <t xml:space="preserve">TC-CLN-06</t>
  </si>
  <si>
    <t xml:space="preserve">§6.2 Lưu thành Recipe + CLI</t>
  </si>
  <si>
    <t xml:space="preserve">FR-CLN-006</t>
  </si>
  <si>
    <t xml:space="preserve">Bàn làm sạch (Clean-up Hub)</t>
  </si>
  <si>
    <t xml:space="preserve">Gián tiếp TC-CLN-01…04</t>
  </si>
  <si>
    <t xml:space="preserve">FR-QRY-001</t>
  </si>
  <si>
    <t xml:space="preserve">Query Workbench hợp nhất</t>
  </si>
  <si>
    <t xml:space="preserve">§3.2.11</t>
  </si>
  <si>
    <t xml:space="preserve">§2.4 QueryWorkbench</t>
  </si>
  <si>
    <t xml:space="preserve">TC-QRY-01</t>
  </si>
  <si>
    <t xml:space="preserve">§6.3 + Hình 6.3</t>
  </si>
  <si>
    <t xml:space="preserve">Thay phần console của FR-CSV-407</t>
  </si>
  <si>
    <t xml:space="preserve">FR-QRY-002</t>
  </si>
  <si>
    <t xml:space="preserve">Filter tương tác theo cột</t>
  </si>
  <si>
    <t xml:space="preserve">§2.4 FilterBar (CSVTableView)</t>
  </si>
  <si>
    <t xml:space="preserve">TC-QRY-02</t>
  </si>
  <si>
    <t xml:space="preserve">§6.3 bảng đặc tả</t>
  </si>
  <si>
    <t xml:space="preserve">FR-QRY-003</t>
  </si>
  <si>
    <t xml:space="preserve">Group-by / Pivot qua UI</t>
  </si>
  <si>
    <t xml:space="preserve">TC-QRY-03</t>
  </si>
  <si>
    <t xml:space="preserve">§6.3 Pivot kéo-thả</t>
  </si>
  <si>
    <t xml:space="preserve">FR-QRY-004</t>
  </si>
  <si>
    <t xml:space="preserve">Quick Charts</t>
  </si>
  <si>
    <t xml:space="preserve">§2.4 ChartRenderer</t>
  </si>
  <si>
    <t xml:space="preserve">TC-QRY-04</t>
  </si>
  <si>
    <t xml:space="preserve">§6.3 tab Biểu đồ + mockup</t>
  </si>
  <si>
    <t xml:space="preserve">FR-QRY-005</t>
  </si>
  <si>
    <t xml:space="preserve">Join đa file (bảng ảo)</t>
  </si>
  <si>
    <t xml:space="preserve">§2.4 VirtualCatalog</t>
  </si>
  <si>
    <t xml:space="preserve">TC-QRY-05</t>
  </si>
  <si>
    <t xml:space="preserve">§6.3 sidebar bảng ảo</t>
  </si>
  <si>
    <t xml:space="preserve">FR-QRY-006</t>
  </si>
  <si>
    <t xml:space="preserve">Saved query batch &amp; CLI</t>
  </si>
  <si>
    <t xml:space="preserve">§2.4 QueryWorkbench + CLIBridge</t>
  </si>
  <si>
    <t xml:space="preserve">TC-QRY-06</t>
  </si>
  <si>
    <t xml:space="preserve">§6.3 Saved &amp; CLI</t>
  </si>
  <si>
    <t xml:space="preserve">FR-RPT-001</t>
  </si>
  <si>
    <t xml:space="preserve">Report Composer (.greport.md)</t>
  </si>
  <si>
    <t xml:space="preserve">§3.2.12</t>
  </si>
  <si>
    <t xml:space="preserve">§2.4 ReportEngine</t>
  </si>
  <si>
    <t xml:space="preserve">TC-RPT-01</t>
  </si>
  <si>
    <t xml:space="preserve">§6.4 + Hình 6.4</t>
  </si>
  <si>
    <t xml:space="preserve">File văn bản thuần — diff/Git được</t>
  </si>
  <si>
    <t xml:space="preserve">FR-RPT-002</t>
  </si>
  <si>
    <t xml:space="preserve">Chart styling nâng cao</t>
  </si>
  <si>
    <t xml:space="preserve">§2.4 ReportRenderer (theme)</t>
  </si>
  <si>
    <t xml:space="preserve">TC-RPT-02 (golden)</t>
  </si>
  <si>
    <t xml:space="preserve">§6.4 theme brand</t>
  </si>
  <si>
    <t xml:space="preserve">FR-RPT-003</t>
  </si>
  <si>
    <t xml:space="preserve">Dashboard view</t>
  </si>
  <si>
    <t xml:space="preserve">§2.4 ReportEngine (cache hash)</t>
  </si>
  <si>
    <t xml:space="preserve">TC-RPT-05</t>
  </si>
  <si>
    <t xml:space="preserve">§6.4 chip dữ liệu cũ</t>
  </si>
  <si>
    <t xml:space="preserve">FR-RPT-004</t>
  </si>
  <si>
    <t xml:space="preserve">Template tham số hóa</t>
  </si>
  <si>
    <t xml:space="preserve">§2.4 ReportEngine + CLIBridge</t>
  </si>
  <si>
    <t xml:space="preserve">TC-RPT-03</t>
  </si>
  <si>
    <t xml:space="preserve">§6.4 thanh tham số</t>
  </si>
  <si>
    <t xml:space="preserve">FR-RPT-005</t>
  </si>
  <si>
    <t xml:space="preserve">Xuất HTML/PDF/MD hoàn chỉnh</t>
  </si>
  <si>
    <t xml:space="preserve">§2.4 ReportRenderer (NSPrintOperation)</t>
  </si>
  <si>
    <t xml:space="preserve">TC-RPT-04</t>
  </si>
  <si>
    <t xml:space="preserve">§6.4 menu Xuất</t>
  </si>
  <si>
    <t xml:space="preserve">Đóng khoảng trống FR-DOC-313</t>
  </si>
  <si>
    <t xml:space="preserve">FR-RPT-006</t>
  </si>
  <si>
    <t xml:space="preserve">Batch report</t>
  </si>
  <si>
    <t xml:space="preserve">§2.4 BatchReporter</t>
  </si>
  <si>
    <t xml:space="preserve">TC-RPT-06</t>
  </si>
  <si>
    <t xml:space="preserve">§6.4 Batch theo danh sách</t>
  </si>
  <si>
    <t xml:space="preserve">FR-MIN-001</t>
  </si>
  <si>
    <t xml:space="preserve">Phát hiện bất thường (z/IQR/MAD/Mahalanobis)</t>
  </si>
  <si>
    <t xml:space="preserve">§3.2.13</t>
  </si>
  <si>
    <t xml:space="preserve">§2.4 MiningEngine + MiningAssistant</t>
  </si>
  <si>
    <t xml:space="preserve">TC-MIN-01/02</t>
  </si>
  <si>
    <t xml:space="preserve">§6.5 + Hình 6.5</t>
  </si>
  <si>
    <t xml:space="preserve">Giải thích từng dòng theo công thức</t>
  </si>
  <si>
    <t xml:space="preserve">FR-MIN-002</t>
  </si>
  <si>
    <t xml:space="preserve">Phân cụm k-means/DBSCAN</t>
  </si>
  <si>
    <t xml:space="preserve">MiningEngine (k-means++ / grid DBSCAN)</t>
  </si>
  <si>
    <t xml:space="preserve">TC-MIN-03/04</t>
  </si>
  <si>
    <t xml:space="preserve">§6.5 elbow/k-distance</t>
  </si>
  <si>
    <t xml:space="preserve">FR-MIN-003</t>
  </si>
  <si>
    <t xml:space="preserve">Luật kết hợp Apriori</t>
  </si>
  <si>
    <t xml:space="preserve">MiningEngine (hash-tree)</t>
  </si>
  <si>
    <t xml:space="preserve">TC-MIN-05 (đối chứng mlxtend)</t>
  </si>
  <si>
    <t xml:space="preserve">§6.5 bảng luật</t>
  </si>
  <si>
    <t xml:space="preserve">FR-MIN-004</t>
  </si>
  <si>
    <t xml:space="preserve">Chuỗi thời gian + Holt-Winters</t>
  </si>
  <si>
    <t xml:space="preserve">MiningEngine (decomposition/HW/baseline)</t>
  </si>
  <si>
    <t xml:space="preserve">TC-MIN-06</t>
  </si>
  <si>
    <t xml:space="preserve">§6.5 ACF + dự báo</t>
  </si>
  <si>
    <t xml:space="preserve">Bắt buộc so baseline, nói thẳng khi thua</t>
  </si>
  <si>
    <t xml:space="preserve">FR-MIN-005</t>
  </si>
  <si>
    <t xml:space="preserve">Ma trận tương quan + heatmap</t>
  </si>
  <si>
    <t xml:space="preserve">MiningEngine (Welford 1 lượt)</t>
  </si>
  <si>
    <t xml:space="preserve">TC-MIN-07 (đối chứng DuckDB)</t>
  </si>
  <si>
    <t xml:space="preserve">§6.5 heatmap + scatter</t>
  </si>
  <si>
    <t xml:space="preserve">FR-MIN-006</t>
  </si>
  <si>
    <t xml:space="preserve">Text mining n-gram/TF-IDF</t>
  </si>
  <si>
    <t xml:space="preserve">MiningEngine (tokenizer âm tiết Việt)</t>
  </si>
  <si>
    <t xml:space="preserve">TC-MIN-08</t>
  </si>
  <si>
    <t xml:space="preserve">§6.5 + nguồn từ Chunk Inspector</t>
  </si>
  <si>
    <t xml:space="preserve">Cộng hưởng Knowledge Pack</t>
  </si>
  <si>
    <t xml:space="preserve">FR-KNW-913</t>
  </si>
  <si>
    <t xml:space="preserve">Thực thi truy vấn Graph (openCypher tập con → SQL)</t>
  </si>
  <si>
    <t xml:space="preserve">3–4</t>
  </si>
  <si>
    <t xml:space="preserve">§9.1 GraphQueryEngine</t>
  </si>
  <si>
    <t xml:space="preserve">TC-KNW-09</t>
  </si>
  <si>
    <t xml:space="preserve">§14.3 Cypher console</t>
  </si>
  <si>
    <t xml:space="preserve">SQL sinh hiển thị — khuôn Pivot · v2.3: NÂNG ưu tiên chiến lược (Graph/RAG lõi)</t>
  </si>
  <si>
    <t xml:space="preserve">FR-KNW-914</t>
  </si>
  <si>
    <t xml:space="preserve">Thuật toán đồ thị (k-hop/SP/CC/PageRank/Louvain)</t>
  </si>
  <si>
    <t xml:space="preserve">§9.1 GraphAlgos (CSR, chuẩn Mining)</t>
  </si>
  <si>
    <t xml:space="preserve">TC-KNW-10 (networkx đối chứng)</t>
  </si>
  <si>
    <t xml:space="preserve">§14.3 + tô màu preview</t>
  </si>
  <si>
    <t xml:space="preserve">FR-KNW-915</t>
  </si>
  <si>
    <t xml:space="preserve">Soạn thảo Graph trực quan (ghi ngược văn bản)</t>
  </si>
  <si>
    <t xml:space="preserve">§9.1 GraphAuthoring</t>
  </si>
  <si>
    <t xml:space="preserve">TC-KNW-11 (round-trip giữ format)</t>
  </si>
  <si>
    <t xml:space="preserve">§14.3 chế độ Sửa</t>
  </si>
  <si>
    <t xml:space="preserve">Buffer là nguồn sự thật · v2.2: FR-MMD-004 tổng quát hóa sang mọi loại sơ đồ Mermaid</t>
  </si>
  <si>
    <t xml:space="preserve">FR-KNW-916</t>
  </si>
  <si>
    <t xml:space="preserve">Graph refactoring (rename/merge/split/extract)</t>
  </si>
  <si>
    <t xml:space="preserve">§9.1 RefactorEngine (changeset)</t>
  </si>
  <si>
    <t xml:space="preserve">TC-KNW-12</t>
  </si>
  <si>
    <t xml:space="preserve">§14.3 menu ngữ cảnh + diff</t>
  </si>
  <si>
    <t xml:space="preserve">FR-KNW-917</t>
  </si>
  <si>
    <t xml:space="preserve">Schema/Ontology validation (YAML)</t>
  </si>
  <si>
    <t xml:space="preserve">§9.1 SchemaValidator</t>
  </si>
  <si>
    <t xml:space="preserve">TC-KNW-13 (20 lỗi cài sẵn)</t>
  </si>
  <si>
    <t xml:space="preserve">§14.3 panel lỗi + badge</t>
  </si>
  <si>
    <t xml:space="preserve">FR-KNW-918</t>
  </si>
  <si>
    <t xml:space="preserve">BM25 Retrieval Lab</t>
  </si>
  <si>
    <t xml:space="preserve">§9.1 RetrievalLab (inverted index)</t>
  </si>
  <si>
    <t xml:space="preserve">TC-KNW-14 (rank-bm25 đối chứng)</t>
  </si>
  <si>
    <t xml:space="preserve">§14.4 + Hình 14.3</t>
  </si>
  <si>
    <t xml:space="preserve">Không cần embedding · v2.3: NÂNG ưu tiên chiến lược (Graph/RAG lõi)</t>
  </si>
  <si>
    <t xml:space="preserve">FR-KNW-919</t>
  </si>
  <si>
    <t xml:space="preserve">Đánh giá golden set (recall/MRR/nDCG)</t>
  </si>
  <si>
    <t xml:space="preserve">§9.1 RetrievalLab EvalRunner</t>
  </si>
  <si>
    <t xml:space="preserve">TC-KNW-15</t>
  </si>
  <si>
    <t xml:space="preserve">§14.4 panel đánh giá</t>
  </si>
  <si>
    <t xml:space="preserve">Đổ vào .greport.md · v2.3: NÂNG ưu tiên chiến lược (Graph/RAG lõi)</t>
  </si>
  <si>
    <t xml:space="preserve">FR-KNW-920</t>
  </si>
  <si>
    <t xml:space="preserve">Liên kết Chunk↔Entity↔Graph + context package</t>
  </si>
  <si>
    <t xml:space="preserve">§9.1 ContextPackager</t>
  </si>
  <si>
    <t xml:space="preserve">TC-KNW-16</t>
  </si>
  <si>
    <t xml:space="preserve">§14.4 panel GraphRAG + phủ</t>
  </si>
  <si>
    <t xml:space="preserve">Nền GraphRAG · v2.3: NÂNG ưu tiên chiến lược (Graph/RAG lõi)</t>
  </si>
  <si>
    <t xml:space="preserve">FR-KNW-921</t>
  </si>
  <si>
    <t xml:space="preserve">Nhập &amp; so sánh điểm retrieval ngoài</t>
  </si>
  <si>
    <t xml:space="preserve">§9.1 ExternalScoreImporter</t>
  </si>
  <si>
    <t xml:space="preserve">§14.4 bảng so sánh</t>
  </si>
  <si>
    <t xml:space="preserve">App không tính vector — ADR-11</t>
  </si>
  <si>
    <t xml:space="preserve">FR-PY-1101</t>
  </si>
  <si>
    <t xml:space="preserve">Nguồn runtime kép (có sẵn / đóng gói)</t>
  </si>
  <si>
    <t xml:space="preserve">6</t>
  </si>
  <si>
    <t xml:space="preserve">Phụ lục F</t>
  </si>
  <si>
    <t xml:space="preserve">§11.1 PyRuntimeManager</t>
  </si>
  <si>
    <t xml:space="preserve">TC-PY-07</t>
  </si>
  <si>
    <t xml:space="preserve">§16.1 picker + nút tải</t>
  </si>
  <si>
    <t xml:space="preserve">Runtime tải theo yêu cầu — installer không phình</t>
  </si>
  <si>
    <t xml:space="preserve">FR-PY-1102</t>
  </si>
  <si>
    <t xml:space="preserve">Thực thi out-of-process tuyệt đối</t>
  </si>
  <si>
    <t xml:space="preserve">§11.1 PyExecHost (XPC); ADR-13</t>
  </si>
  <si>
    <t xml:space="preserve">TC-PY-01/02 (chặn phát hành)</t>
  </si>
  <si>
    <t xml:space="preserve">§16.1 status bar</t>
  </si>
  <si>
    <t xml:space="preserve">Crash không lan — bất biến</t>
  </si>
  <si>
    <t xml:space="preserve">FR-PY-1103</t>
  </si>
  <si>
    <t xml:space="preserve">Module cầu geditor (streaming + applyEdits)</t>
  </si>
  <si>
    <t xml:space="preserve">§11.1 GEditorBridge</t>
  </si>
  <si>
    <t xml:space="preserve">TC-PY-03/04</t>
  </si>
  <si>
    <t xml:space="preserve">§16.1 bảng cầu geditor</t>
  </si>
  <si>
    <t xml:space="preserve">Đường ghi duy nhất là applyEdits</t>
  </si>
  <si>
    <t xml:space="preserve">FR-PY-1104</t>
  </si>
  <si>
    <t xml:space="preserve">Python Console (REPL)</t>
  </si>
  <si>
    <t xml:space="preserve">§11.1 PyConsolePanel</t>
  </si>
  <si>
    <t xml:space="preserve">Gián tiếp TC-PY-01…04</t>
  </si>
  <si>
    <t xml:space="preserve">§16.1 + Hình 16.1</t>
  </si>
  <si>
    <t xml:space="preserve">FR-PY-1105</t>
  </si>
  <si>
    <t xml:space="preserve">Chạy script/buffer ⌘R</t>
  </si>
  <si>
    <t xml:space="preserve">Gián tiếp TC-PY-02/03</t>
  </si>
  <si>
    <t xml:space="preserve">§16.1 nút Chạy</t>
  </si>
  <si>
    <t xml:space="preserve">FR-PY-1106</t>
  </si>
  <si>
    <t xml:space="preserve">Bước python trong Recipe &amp; Text Filter</t>
  </si>
  <si>
    <t xml:space="preserve">§11.1 RecipePyStep</t>
  </si>
  <si>
    <t xml:space="preserve">TC-PY-05</t>
  </si>
  <si>
    <t xml:space="preserve">§16.1 Thêm vào Recipe</t>
  </si>
  <si>
    <t xml:space="preserve">FR-PY-1107</t>
  </si>
  <si>
    <t xml:space="preserve">Trust model + 2 cổng agent-script</t>
  </si>
  <si>
    <t xml:space="preserve">§11.1 TrustStore (hash, DiffGate)</t>
  </si>
  <si>
    <t xml:space="preserve">TC-PY-06 (chặn phát hành)</t>
  </si>
  <si>
    <t xml:space="preserve">§16.1 hàng Trust</t>
  </si>
  <si>
    <t xml:space="preserve">Không đường tắt kể cả auto-approve</t>
  </si>
  <si>
    <t xml:space="preserve">FR-PY-1108</t>
  </si>
  <si>
    <t xml:space="preserve">Quản lý gói theo workspace (pip/uv)</t>
  </si>
  <si>
    <t xml:space="preserve">§11.1 PyPackageUI</t>
  </si>
  <si>
    <t xml:space="preserve">§16.1 sheet Gói</t>
  </si>
  <si>
    <t xml:space="preserve">FR-PY-1109</t>
  </si>
  <si>
    <t xml:space="preserve">Đóng gói Python Pack (plugin thứ ba)</t>
  </si>
  <si>
    <t xml:space="preserve">ADR-13 + §11.2</t>
  </si>
  <si>
    <t xml:space="preserve">TC-PY-08</t>
  </si>
  <si>
    <t xml:space="preserve">§16 trạng thái ẩn</t>
  </si>
  <si>
    <t xml:space="preserve">Gỡ Pack xóa sạch runtime</t>
  </si>
  <si>
    <t xml:space="preserve">FR-MMD-001</t>
  </si>
  <si>
    <t xml:space="preserve">Render Mermaid đủ loại (offline, pin phiên bản)</t>
  </si>
  <si>
    <t xml:space="preserve">§3.2.14</t>
  </si>
  <si>
    <t xml:space="preserve">§2.4 MermaidRenderer</t>
  </si>
  <si>
    <t xml:space="preserve">TC-MMD-01</t>
  </si>
  <si>
    <t xml:space="preserve">§17.1 + Hình 17.1</t>
  </si>
  <si>
    <t xml:space="preserve">Không CDN — mermaid.js trong bundle</t>
  </si>
  <si>
    <t xml:space="preserve">FR-MMD-002</t>
  </si>
  <si>
    <t xml:space="preserve">Live preview đồng bộ hai chiều</t>
  </si>
  <si>
    <t xml:space="preserve">§2.4 MermaidSync (bản đồ element↔range)</t>
  </si>
  <si>
    <t xml:space="preserve">TC-MMD-02</t>
  </si>
  <si>
    <t xml:space="preserve">§17.1 bảng đặc tả</t>
  </si>
  <si>
    <t xml:space="preserve">FR-MMD-003</t>
  </si>
  <si>
    <t xml:space="preserve">Mermaid trong Markdown &amp; .greport.md</t>
  </si>
  <si>
    <t xml:space="preserve">MermaidRenderer + ReportRenderer</t>
  </si>
  <si>
    <t xml:space="preserve">TC-MMD-04</t>
  </si>
  <si>
    <t xml:space="preserve">§17.1 Trong Markdown/Report</t>
  </si>
  <si>
    <t xml:space="preserve">FR-MMD-004</t>
  </si>
  <si>
    <t xml:space="preserve">Soạn thảo trực quan hai chiều</t>
  </si>
  <si>
    <t xml:space="preserve">§2.4 VisualEdit (khuôn GraphAuthoring)</t>
  </si>
  <si>
    <t xml:space="preserve">TC-MMD-03 (round-trip giữ comment)</t>
  </si>
  <si>
    <t xml:space="preserve">§17.1 chế độ ✎</t>
  </si>
  <si>
    <t xml:space="preserve">Văn bản là nguồn sự thật · v2.3: NÂNG ưu tiên chiến lược (Graph/RAG lõi)</t>
  </si>
  <si>
    <t xml:space="preserve">FR-MMD-005</t>
  </si>
  <si>
    <t xml:space="preserve">Template, snippet, autocomplete</t>
  </si>
  <si>
    <t xml:space="preserve">§2.4 MermaidToolkit</t>
  </si>
  <si>
    <t xml:space="preserve">Gián tiếp TC-MMD-01</t>
  </si>
  <si>
    <t xml:space="preserve">§17.1 menu Mẫu</t>
  </si>
  <si>
    <t xml:space="preserve">Mẫu tiếng Việt</t>
  </si>
  <si>
    <t xml:space="preserve">FR-MMD-006</t>
  </si>
  <si>
    <t xml:space="preserve">Validate &amp; format giữ comment</t>
  </si>
  <si>
    <t xml:space="preserve">MermaidToolkit (FR-FMT-502 infra)</t>
  </si>
  <si>
    <t xml:space="preserve">§17.1 nút Format</t>
  </si>
  <si>
    <t xml:space="preserve">FR-MMD-007</t>
  </si>
  <si>
    <t xml:space="preserve">Export PNG/SVG/clipboard + theme brand</t>
  </si>
  <si>
    <t xml:space="preserve">MermaidToolkit (snapshot WKWebView)</t>
  </si>
  <si>
    <t xml:space="preserve">TC-MMD-05</t>
  </si>
  <si>
    <t xml:space="preserve">§17.1 nút Xuất</t>
  </si>
  <si>
    <t xml:space="preserve">FR-MMD-008</t>
  </si>
  <si>
    <t xml:space="preserve">Convert ↔ DOT/edge list; tách/nhúng .mmd</t>
  </si>
  <si>
    <t xml:space="preserve">MermaidToolkit (cơ chế FR-KNW-910)</t>
  </si>
  <si>
    <t xml:space="preserve">§17.1 status bar</t>
  </si>
  <si>
    <t xml:space="preserve">Bổ sung TC cùng đợt Phase 4</t>
  </si>
  <si>
    <t xml:space="preserve">FR-DQR-001</t>
  </si>
  <si>
    <t xml:space="preserve">Bộ quy tắc kỳ vọng .gquality.yaml (10 loại rule)</t>
  </si>
  <si>
    <t xml:space="preserve">§3.2.15</t>
  </si>
  <si>
    <t xml:space="preserve">§2.4 QualityEngine RuleCompiler</t>
  </si>
  <si>
    <t xml:space="preserve">TC-DQR-01</t>
  </si>
  <si>
    <t xml:space="preserve">§6.6 + Hình 6.6</t>
  </si>
  <si>
    <t xml:space="preserve">Liên file qua bảng ảo QRY-005</t>
  </si>
  <si>
    <t xml:space="preserve">FR-DQR-002</t>
  </si>
  <si>
    <t xml:space="preserve">Điểm chất lượng 6 chiều công thức mở</t>
  </si>
  <si>
    <t xml:space="preserve">DimensionScorer (MAD từ MiningEngine)</t>
  </si>
  <si>
    <t xml:space="preserve">TC-DQR-02</t>
  </si>
  <si>
    <t xml:space="preserve">§6.6 thanh điểm bấm được</t>
  </si>
  <si>
    <t xml:space="preserve">FR-DQR-003</t>
  </si>
  <si>
    <t xml:space="preserve">Block ```quality trong .greport.md + batch</t>
  </si>
  <si>
    <t xml:space="preserve">QualityEngine + ReportEngine</t>
  </si>
  <si>
    <t xml:space="preserve">TC-DQR-06</t>
  </si>
  <si>
    <t xml:space="preserve">§6.6 nút Đưa vào report</t>
  </si>
  <si>
    <t xml:space="preserve">FR-DQR-004</t>
  </si>
  <si>
    <t xml:space="preserve">Theo dõi trôi dạt + cảnh báo ngưỡng</t>
  </si>
  <si>
    <t xml:space="preserve">SnapshotStore (.gquality.history.jsonl)</t>
  </si>
  <si>
    <t xml:space="preserve">TC-DQR-03</t>
  </si>
  <si>
    <t xml:space="preserve">§6.6 sparkline + so sánh</t>
  </si>
  <si>
    <t xml:space="preserve">FR-DQR-005</t>
  </si>
  <si>
    <t xml:space="preserve">Quality gate CLI exit 0/1/2 + JSON</t>
  </si>
  <si>
    <t xml:space="preserve">GateCLI</t>
  </si>
  <si>
    <t xml:space="preserve">TC-DQR-04</t>
  </si>
  <si>
    <t xml:space="preserve">§6.6 chuỗi lệnh</t>
  </si>
  <si>
    <t xml:space="preserve">Tích hợp CI/pipeline</t>
  </si>
  <si>
    <t xml:space="preserve">FR-DQR-006</t>
  </si>
  <si>
    <t xml:space="preserve">Vòng khép kín detect→clean→verify</t>
  </si>
  <si>
    <t xml:space="preserve">CleanBridge → Bàn làm sạch</t>
  </si>
  <si>
    <t xml:space="preserve">TC-DQR-05</t>
  </si>
  <si>
    <t xml:space="preserve">§6.6 nút Sửa bằng Bàn làm sạch</t>
  </si>
  <si>
    <t xml:space="preserve">FR-KNW-922</t>
  </si>
  <si>
    <t xml:space="preserve">Chunk Quality Report (token/near-dup/boilerplate/coverage)</t>
  </si>
  <si>
    <t xml:space="preserve">ChunkQualityReporter (shingling k=5)</t>
  </si>
  <si>
    <t xml:space="preserve">TC-KNW-17</t>
  </si>
  <si>
    <t xml:space="preserve">§14 (khung DQR)</t>
  </si>
  <si>
    <t xml:space="preserve">Không embedding</t>
  </si>
  <si>
    <t xml:space="preserve">FR-KNW-923</t>
  </si>
  <si>
    <t xml:space="preserve">Entity Resolution pipeline một-changeset</t>
  </si>
  <si>
    <t xml:space="preserve">EntityResolutionPipeline</t>
  </si>
  <si>
    <t xml:space="preserve">TC-KNW-18</t>
  </si>
  <si>
    <t xml:space="preserve">§14.3 hàng ER</t>
  </si>
  <si>
    <t xml:space="preserve">3 đầu ra nhất quán</t>
  </si>
  <si>
    <t xml:space="preserve">FR-KNW-924</t>
  </si>
  <si>
    <t xml:space="preserve">Graph Quality Report</t>
  </si>
  <si>
    <t xml:space="preserve">GraphQualityReporter</t>
  </si>
  <si>
    <t xml:space="preserve">TC-KNW-18 gián tiếp + bộ kiểm riêng</t>
  </si>
  <si>
    <t xml:space="preserve">§14.3 hàng GQ</t>
  </si>
  <si>
    <t xml:space="preserve">Khung DQR</t>
  </si>
  <si>
    <t xml:space="preserve">FR-KNW-925</t>
  </si>
  <si>
    <t xml:space="preserve">Hybrid retrieval α·BM25 + (1−α)·graph</t>
  </si>
  <si>
    <t xml:space="preserve">HybridScorer (k-hop CSR)</t>
  </si>
  <si>
    <t xml:space="preserve">TC-KNW-19 (α=1 bất biến)</t>
  </si>
  <si>
    <t xml:space="preserve">§14.4 bullet hybrid</t>
  </si>
  <si>
    <t xml:space="preserve">Trái tim GraphRAG zero-embedding</t>
  </si>
  <si>
    <t xml:space="preserve">FR-KNW-926</t>
  </si>
  <si>
    <t xml:space="preserve">Golden Set Builder ≤3 click/record</t>
  </si>
  <si>
    <t xml:space="preserve">GoldenSetBuilder</t>
  </si>
  <si>
    <t xml:space="preserve">TC-KNW-20</t>
  </si>
  <si>
    <t xml:space="preserve">§14.4 bullet builder</t>
  </si>
  <si>
    <t xml:space="preserve">Gỡ rào cản đánh giá</t>
  </si>
  <si>
    <t xml:space="preserve">FR-MIN-007</t>
  </si>
  <si>
    <t xml:space="preserve">Group-by mining + xếp hạng nhóm</t>
  </si>
  <si>
    <t xml:space="preserve">GroupByRunner (GCD song song)</t>
  </si>
  <si>
    <t xml:space="preserve">TC-MIN-09</t>
  </si>
  <si>
    <t xml:space="preserve">§6.5 (spec bổ sung)</t>
  </si>
  <si>
    <t xml:space="preserve">Ngưỡng riêng từng nhóm</t>
  </si>
  <si>
    <t xml:space="preserve">FR-MIN-008</t>
  </si>
  <si>
    <t xml:space="preserve">Phân rã đóng góp đa biến (leave-one-out)</t>
  </si>
  <si>
    <t xml:space="preserve">ContributionExplainer</t>
  </si>
  <si>
    <t xml:space="preserve">TC-MIN-10</t>
  </si>
  <si>
    <t xml:space="preserve">Câu giải thích tự sinh</t>
  </si>
  <si>
    <t xml:space="preserve">MA TRẬN ĐỒNG BỘ YÊU CẦU PHI CHỨC NĂNG (31 NFR)</t>
  </si>
  <si>
    <t xml:space="preserve">SAD — cơ chế đáp ứng</t>
  </si>
  <si>
    <t xml:space="preserve">STP — kiểm chứng</t>
  </si>
  <si>
    <t xml:space="preserve">UI/UX — liên quan</t>
  </si>
  <si>
    <t xml:space="preserve">Ghi chú / hành động</t>
  </si>
  <si>
    <t xml:space="preserve">NFR-PERF-01</t>
  </si>
  <si>
    <t xml:space="preserve">Khởi động nguội</t>
  </si>
  <si>
    <t xml:space="preserve">§3.3–3.6</t>
  </si>
  <si>
    <t xml:space="preserve">§7 ánh xạ; kiến trúc khởi động</t>
  </si>
  <si>
    <t xml:space="preserve">TC-PERF-01</t>
  </si>
  <si>
    <t xml:space="preserve">Không áp dụng</t>
  </si>
  <si>
    <t xml:space="preserve">NFR-PERF-02</t>
  </si>
  <si>
    <t xml:space="preserve">Mở file 100 MB</t>
  </si>
  <si>
    <t xml:space="preserve">mmap+viewport</t>
  </si>
  <si>
    <t xml:space="preserve">TC-PERF-02</t>
  </si>
  <si>
    <t xml:space="preserve">NFR-PERF-03</t>
  </si>
  <si>
    <t xml:space="preserve">Mở 1 GB / cuộn 60fps</t>
  </si>
  <si>
    <t xml:space="preserve">LFM; §4.2</t>
  </si>
  <si>
    <t xml:space="preserve">TC-DOC-03 + TC-PERF</t>
  </si>
  <si>
    <t xml:space="preserve">NFR-PERF-04</t>
  </si>
  <si>
    <t xml:space="preserve">Latency gõ ≤16ms p95</t>
  </si>
  <si>
    <t xml:space="preserve">ADR-01/02; highlight viewport</t>
  </si>
  <si>
    <t xml:space="preserve">TC-PERF-03</t>
  </si>
  <si>
    <t xml:space="preserve">§12 (không animation nặng)</t>
  </si>
  <si>
    <t xml:space="preserve">NFR-PERF-05</t>
  </si>
  <si>
    <t xml:space="preserve">RAM idle ≤80MB</t>
  </si>
  <si>
    <t xml:space="preserve">Piece table/mmap</t>
  </si>
  <si>
    <t xml:space="preserve">TC-PERF-04</t>
  </si>
  <si>
    <t xml:space="preserve">NFR-PERF-06</t>
  </si>
  <si>
    <t xml:space="preserve">Find-in-files scale + hủy ≤200ms</t>
  </si>
  <si>
    <t xml:space="preserve">SAD Hình 2 (bounded queue)</t>
  </si>
  <si>
    <t xml:space="preserve">TC-PERF-05; TC-SRCH-06</t>
  </si>
  <si>
    <t xml:space="preserve">§5.2 nút Hủy; §12</t>
  </si>
  <si>
    <t xml:space="preserve">NFR-PERF-07</t>
  </si>
  <si>
    <t xml:space="preserve">Năng lượng Low</t>
  </si>
  <si>
    <t xml:space="preserve">FSEvents, không polling</t>
  </si>
  <si>
    <t xml:space="preserve">TC-PERF-07</t>
  </si>
  <si>
    <t xml:space="preserve">§12 'Không bao giờ'</t>
  </si>
  <si>
    <t xml:space="preserve">NFR-PERF-08</t>
  </si>
  <si>
    <t xml:space="preserve">Replace 1 triệu match ≤30s</t>
  </si>
  <si>
    <t xml:space="preserve">SearchEngine batch edit</t>
  </si>
  <si>
    <t xml:space="preserve">TC-PERF-06</t>
  </si>
  <si>
    <t xml:space="preserve">Toast + Undo §12</t>
  </si>
  <si>
    <t xml:space="preserve">NFR-REL-01</t>
  </si>
  <si>
    <t xml:space="preserve">Không mất dữ liệu chưa lưu</t>
  </si>
  <si>
    <t xml:space="preserve">SnapshotStore + journal</t>
  </si>
  <si>
    <t xml:space="preserve">§7.1 banner khôi phục</t>
  </si>
  <si>
    <t xml:space="preserve">NFR-REL-02</t>
  </si>
  <si>
    <t xml:space="preserve">Ghi file atomic</t>
  </si>
  <si>
    <t xml:space="preserve">FileIO (temp+rename+fsync)</t>
  </si>
  <si>
    <t xml:space="preserve">TC-DOC-02; TC-SRCH-07</t>
  </si>
  <si>
    <t xml:space="preserve">§5.2 commit atomic</t>
  </si>
  <si>
    <t xml:space="preserve">NFR-REL-03</t>
  </si>
  <si>
    <t xml:space="preserve">Crash-free ≥99,8%</t>
  </si>
  <si>
    <t xml:space="preserve">Watchdog; cách ly</t>
  </si>
  <si>
    <t xml:space="preserve">Soak + crash reporter quy trình</t>
  </si>
  <si>
    <t xml:space="preserve">Chỉ số vận hành — theo dõi sau phát hành</t>
  </si>
  <si>
    <t xml:space="preserve">NFR-REL-04</t>
  </si>
  <si>
    <t xml:space="preserve">Ổ mạng &amp; iCloud</t>
  </si>
  <si>
    <t xml:space="preserve">NSFileCoordinator</t>
  </si>
  <si>
    <t xml:space="preserve">TC-DOC-06/07</t>
  </si>
  <si>
    <t xml:space="preserve">§7.1 banner xung đột</t>
  </si>
  <si>
    <t xml:space="preserve">NFR-REL-05</t>
  </si>
  <si>
    <t xml:space="preserve">Regex/plugin không sập app</t>
  </si>
  <si>
    <t xml:space="preserve">ADR-03/06; XPC</t>
  </si>
  <si>
    <t xml:space="preserve">TC-SRCH-03; TC-SEC-04</t>
  </si>
  <si>
    <t xml:space="preserve">§5.1; §8.2 toast</t>
  </si>
  <si>
    <t xml:space="preserve">NFR-SEC-01</t>
  </si>
  <si>
    <t xml:space="preserve">Ký số &amp; notarization</t>
  </si>
  <si>
    <t xml:space="preserve">§5.2 deployment</t>
  </si>
  <si>
    <t xml:space="preserve">TC-SEC-01</t>
  </si>
  <si>
    <t xml:space="preserve">NFR-SEC-02</t>
  </si>
  <si>
    <t xml:space="preserve">Zero telemetry</t>
  </si>
  <si>
    <t xml:space="preserve">§3.1.4 (SRS); không egress</t>
  </si>
  <si>
    <t xml:space="preserve">TC-SEC-02</t>
  </si>
  <si>
    <t xml:space="preserve">§8.1 nhóm riêng tư</t>
  </si>
  <si>
    <t xml:space="preserve">NFR-SEC-03</t>
  </si>
  <si>
    <t xml:space="preserve">Chuỗi cung ứng plugin</t>
  </si>
  <si>
    <t xml:space="preserve">Hash+ký (SAD Hình 3)</t>
  </si>
  <si>
    <t xml:space="preserve">§8.2</t>
  </si>
  <si>
    <t xml:space="preserve">NFR-SEC-04</t>
  </si>
  <si>
    <t xml:space="preserve">Sandbox App Store</t>
  </si>
  <si>
    <t xml:space="preserve">ADR-08; §5.2 biến thể</t>
  </si>
  <si>
    <t xml:space="preserve">TC-SEC-05</t>
  </si>
  <si>
    <t xml:space="preserve">§8.2 (chênh lệch công bố)</t>
  </si>
  <si>
    <t xml:space="preserve">NFR-SEC-05</t>
  </si>
  <si>
    <t xml:space="preserve">Permission Broker (SAD Hình 3)</t>
  </si>
  <si>
    <t xml:space="preserve">KHÔNG có TC riêng</t>
  </si>
  <si>
    <t xml:space="preserve">§7.2 hộp cấp quyền</t>
  </si>
  <si>
    <t xml:space="preserve">STP bổ sung TC xin quyền theo ngữ cảnh — A-08</t>
  </si>
  <si>
    <t xml:space="preserve">NFR-MNT-01</t>
  </si>
  <si>
    <t xml:space="preserve">Lõi độc lập UI</t>
  </si>
  <si>
    <t xml:space="preserve">GEditorCore; CI cấm import UI</t>
  </si>
  <si>
    <t xml:space="preserve">Coverage gate + CI check</t>
  </si>
  <si>
    <t xml:space="preserve">NFR-MNT-02</t>
  </si>
  <si>
    <t xml:space="preserve">Coverage ≥70% + fixture</t>
  </si>
  <si>
    <t xml:space="preserve">§2.2 fixtures + gate</t>
  </si>
  <si>
    <t xml:space="preserve">NFR-MNT-03</t>
  </si>
  <si>
    <t xml:space="preserve">CI hai kiến trúc</t>
  </si>
  <si>
    <t xml:space="preserve">§5.2 CI/CD</t>
  </si>
  <si>
    <t xml:space="preserve">Runner 2 arch + lipo check</t>
  </si>
  <si>
    <t xml:space="preserve">NFR-MNT-04</t>
  </si>
  <si>
    <t xml:space="preserve">Semver + changelog</t>
  </si>
  <si>
    <t xml:space="preserve">Quy trình (không test)</t>
  </si>
  <si>
    <t xml:space="preserve">Hạng mục quy trình — ghi nhận, không cần TC</t>
  </si>
  <si>
    <t xml:space="preserve">NFR-USE-01</t>
  </si>
  <si>
    <t xml:space="preserve">Tuân thủ HIG</t>
  </si>
  <si>
    <t xml:space="preserve">ADR-10</t>
  </si>
  <si>
    <t xml:space="preserve">Checklist HIG (§1.3)</t>
  </si>
  <si>
    <t xml:space="preserve">Toàn tài liệu (NT-4)</t>
  </si>
  <si>
    <t xml:space="preserve">NFR-USE-02</t>
  </si>
  <si>
    <t xml:space="preserve">IME tiếng Việt/CJK</t>
  </si>
  <si>
    <t xml:space="preserve">PoC-A tiêu chí; ADR-01 hệ quả</t>
  </si>
  <si>
    <t xml:space="preserve">TC-IME-01/02/03 (chặn phát hành)</t>
  </si>
  <si>
    <t xml:space="preserve">§10 chi tiết marked-text</t>
  </si>
  <si>
    <t xml:space="preserve">NFR-USE-03</t>
  </si>
  <si>
    <t xml:space="preserve">VoiceOver + bàn phím</t>
  </si>
  <si>
    <t xml:space="preserve">ADR-01 hệ quả accessibility</t>
  </si>
  <si>
    <t xml:space="preserve">TC-VO-01</t>
  </si>
  <si>
    <t xml:space="preserve">§10</t>
  </si>
  <si>
    <t xml:space="preserve">NFR-USE-04</t>
  </si>
  <si>
    <t xml:space="preserve">Khả năng học + trang di cư N++</t>
  </si>
  <si>
    <t xml:space="preserve">Flow F4; §9.2</t>
  </si>
  <si>
    <t xml:space="preserve">STP: TC kiểm trang di cư + onboarding — A-08</t>
  </si>
  <si>
    <t xml:space="preserve">NFR-USE-05</t>
  </si>
  <si>
    <t xml:space="preserve">Font/ligature/render tiếng Việt</t>
  </si>
  <si>
    <t xml:space="preserve">KHÔNG có TC render</t>
  </si>
  <si>
    <t xml:space="preserve">§2.2 token font</t>
  </si>
  <si>
    <t xml:space="preserve">STP: TC render dấu ở các mức zoom — A-08</t>
  </si>
  <si>
    <t xml:space="preserve">NFR-PORT-01</t>
  </si>
  <si>
    <t xml:space="preserve">Universal Binary thuần</t>
  </si>
  <si>
    <t xml:space="preserve">§5.2; SIMDDispatch</t>
  </si>
  <si>
    <t xml:space="preserve">lipo -info CI</t>
  </si>
  <si>
    <t xml:space="preserve">NFR-PORT-02</t>
  </si>
  <si>
    <t xml:space="preserve">macOS 12+ graceful</t>
  </si>
  <si>
    <t xml:space="preserve">§5.2 môi trường</t>
  </si>
  <si>
    <t xml:space="preserve">Ma trận compatibility §2.1</t>
  </si>
  <si>
    <t xml:space="preserve">NFR-PORT-03</t>
  </si>
  <si>
    <t xml:space="preserve">Cấu hình di động (file text)</t>
  </si>
  <si>
    <t xml:space="preserve">§8.1 dòng Xuất/Nhập</t>
  </si>
  <si>
    <t xml:space="preserve">Trùng FR-UI-803 — A-08</t>
  </si>
  <si>
    <t xml:space="preserve">NFR-PORT-04</t>
  </si>
  <si>
    <t xml:space="preserve">Dependency universal</t>
  </si>
  <si>
    <t xml:space="preserve">§5.2; ghim version</t>
  </si>
  <si>
    <t xml:space="preserve">CI build từ nguồn</t>
  </si>
  <si>
    <t xml:space="preserve">NFR-KNW-01</t>
  </si>
  <si>
    <t xml:space="preserve">Zero-cost khi Pack tắt</t>
  </si>
  <si>
    <t xml:space="preserve">ADR-11; §9.2 (không nạp dylib lúc khởi động)</t>
  </si>
  <si>
    <t xml:space="preserve">TC-KNW-07 + benchmark so baseline</t>
  </si>
  <si>
    <t xml:space="preserve">NFR-KNW-02</t>
  </si>
  <si>
    <t xml:space="preserve">Hiệu năng JSONL 1GB</t>
  </si>
  <si>
    <t xml:space="preserve">JSONLIndexer trên mmap LFM</t>
  </si>
  <si>
    <t xml:space="preserve">TC-KNW-01/02</t>
  </si>
  <si>
    <t xml:space="preserve">§14.1 status Index 8,4s</t>
  </si>
  <si>
    <t xml:space="preserve">NFR-AGT-01</t>
  </si>
  <si>
    <t xml:space="preserve">Key an toàn (không rò khỏi Keychain)</t>
  </si>
  <si>
    <t xml:space="preserve">§10.2 bất biến; KeychainStore</t>
  </si>
  <si>
    <t xml:space="preserve">TC-AGT-01 (chặn phát hành Pack)</t>
  </si>
  <si>
    <t xml:space="preserve">§15.1 che key mọi hiển thị</t>
  </si>
  <si>
    <t xml:space="preserve">NFR-AGT-02</t>
  </si>
  <si>
    <t xml:space="preserve">Zero-cost khi tắt</t>
  </si>
  <si>
    <t xml:space="preserve">ADR-12</t>
  </si>
  <si>
    <t xml:space="preserve">TC-AGT-08a</t>
  </si>
  <si>
    <t xml:space="preserve">§15 ẩn hoàn toàn</t>
  </si>
  <si>
    <t xml:space="preserve">NFR-AGT-03</t>
  </si>
  <si>
    <t xml:space="preserve">Egress duy nhất là provider</t>
  </si>
  <si>
    <t xml:space="preserve">§10.2; không proxy MOBILUCK</t>
  </si>
  <si>
    <t xml:space="preserve">TC-AGT-08b (proxy egress)</t>
  </si>
  <si>
    <t xml:space="preserve">§15.1 payload meter</t>
  </si>
  <si>
    <t xml:space="preserve">NFR-AGT-04</t>
  </si>
  <si>
    <t xml:space="preserve">Streaming + hủy ≤200ms</t>
  </si>
  <si>
    <t xml:space="preserve">Orchestrator XPC</t>
  </si>
  <si>
    <t xml:space="preserve">§15.1 Esc hủy</t>
  </si>
  <si>
    <t xml:space="preserve">NFR-CLN-01</t>
  </si>
  <si>
    <t xml:space="preserve">Hiệu năng profile/dedup</t>
  </si>
  <si>
    <t xml:space="preserve">DataCleanService + DuckDB; FuzzyDeduper</t>
  </si>
  <si>
    <t xml:space="preserve">TC-CLN-04/05</t>
  </si>
  <si>
    <t xml:space="preserve">§6.2 (Profile 1,2 s)</t>
  </si>
  <si>
    <t xml:space="preserve">NFR-CLN-02</t>
  </si>
  <si>
    <t xml:space="preserve">Preview + undo + báo cáo bắt buộc</t>
  </si>
  <si>
    <t xml:space="preserve">P0*</t>
  </si>
  <si>
    <t xml:space="preserve">DataCleanService (khuôn applyEdits)</t>
  </si>
  <si>
    <t xml:space="preserve">Kiểm ở mọi TC-CLN</t>
  </si>
  <si>
    <t xml:space="preserve">§6.2 bất biến ghi rõ</t>
  </si>
  <si>
    <t xml:space="preserve">P0 trong phạm vi tính năng FR-CLN</t>
  </si>
  <si>
    <t xml:space="preserve">NFR-QRY-01</t>
  </si>
  <si>
    <t xml:space="preserve">Tương tác 1 triệu dòng (filter ≤300ms)</t>
  </si>
  <si>
    <t xml:space="preserve">FilterBar predicate trên chỉ mục (không qua SQL)</t>
  </si>
  <si>
    <t xml:space="preserve">§6.3 badge realtime</t>
  </si>
  <si>
    <t xml:space="preserve">NFR-QRY-02</t>
  </si>
  <si>
    <t xml:space="preserve">Chart 1 triệu điểm ≤2s (downsample)</t>
  </si>
  <si>
    <t xml:space="preserve">ChartRenderer + LTTB</t>
  </si>
  <si>
    <t xml:space="preserve">§6.3 ghi chú lấy mẫu</t>
  </si>
  <si>
    <t xml:space="preserve">NFR-QRY-03</t>
  </si>
  <si>
    <t xml:space="preserve">Truy vấn chỉ-đọc (checksum)</t>
  </si>
  <si>
    <t xml:space="preserve">QueryWorkbench read-only session</t>
  </si>
  <si>
    <t xml:space="preserve">Kiểm ở mọi TC-QRY</t>
  </si>
  <si>
    <t xml:space="preserve">§6.3: không tồn tại nút Ghi đè nguồn</t>
  </si>
  <si>
    <t xml:space="preserve">P0 trong phạm vi FR-QRY</t>
  </si>
  <si>
    <t xml:space="preserve">NFR-RPT-01</t>
  </si>
  <si>
    <t xml:space="preserve">Render ≤5s / cache theo hash block</t>
  </si>
  <si>
    <t xml:space="preserve">ReportEngine cache hash(query+nguồn)</t>
  </si>
  <si>
    <t xml:space="preserve">§6.4 'Cache: 4/5 block'</t>
  </si>
  <si>
    <t xml:space="preserve">NFR-RPT-02</t>
  </si>
  <si>
    <t xml:space="preserve">Report chỉ-đọc, đầu ra file mới</t>
  </si>
  <si>
    <t xml:space="preserve">Kế thừa phiên read-only QueryWorkbench</t>
  </si>
  <si>
    <t xml:space="preserve">TC-RPT-06 (checksum 63 nguồn)</t>
  </si>
  <si>
    <t xml:space="preserve">§6.4 'chỉ-đọc ✓'</t>
  </si>
  <si>
    <t xml:space="preserve">P0 trong phạm vi FR-RPT; không BI server/cloud</t>
  </si>
  <si>
    <t xml:space="preserve">NFR-MIN-01</t>
  </si>
  <si>
    <t xml:space="preserve">Hiệu năng mining + hủy ≤200ms + RAM ≤2× cột</t>
  </si>
  <si>
    <t xml:space="preserve">MiningEngine (columnar, GCD chunk)</t>
  </si>
  <si>
    <t xml:space="preserve">TC-MIN-01/05 (đo thời gian)</t>
  </si>
  <si>
    <t xml:space="preserve">§6.5 tiến trình</t>
  </si>
  <si>
    <t xml:space="preserve">NFR-MIN-02</t>
  </si>
  <si>
    <t xml:space="preserve">Tất định (seed cố định, bit-by-bit)</t>
  </si>
  <si>
    <t xml:space="preserve">Seed ghi trong kết quả</t>
  </si>
  <si>
    <t xml:space="preserve">TC-MIN-03 (chạy 2 lần)</t>
  </si>
  <si>
    <t xml:space="preserve">§6.5 'seed 42' hiển thị</t>
  </si>
  <si>
    <t xml:space="preserve">Điều kiện golden test + báo cáo tái lập</t>
  </si>
  <si>
    <t xml:space="preserve">NFR-MIN-03</t>
  </si>
  <si>
    <t xml:space="preserve">Chỉ-đọc tuyệt đối</t>
  </si>
  <si>
    <t xml:space="preserve">Kế thừa NFR-QRY-03; Mark chỉ là hiển thị</t>
  </si>
  <si>
    <t xml:space="preserve">Checksum ở mọi TC-MIN</t>
  </si>
  <si>
    <t xml:space="preserve">§6.5 'chỉ-đọc ✓'</t>
  </si>
  <si>
    <t xml:space="preserve">P0 trong phạm vi FR-MIN</t>
  </si>
  <si>
    <t xml:space="preserve">NFR-MIN-04</t>
  </si>
  <si>
    <t xml:space="preserve">Giải thích được, không dependency ML</t>
  </si>
  <si>
    <t xml:space="preserve">Tự cài đặt trong GEditorCore; khối Phương pháp</t>
  </si>
  <si>
    <t xml:space="preserve">TC-MIN-06 (baseline honesty)</t>
  </si>
  <si>
    <t xml:space="preserve">§6.5 khối Phương pháp + status bar</t>
  </si>
  <si>
    <t xml:space="preserve">Không Python/sklearn/GPU/model file</t>
  </si>
  <si>
    <t xml:space="preserve">NFR-KNW-03</t>
  </si>
  <si>
    <t xml:space="preserve">Đồ thị 1M cạnh: 2-hop ≤2s · PageRank ≤30s</t>
  </si>
  <si>
    <t xml:space="preserve">GraphAlgos CSR cache theo hash nguồn</t>
  </si>
  <si>
    <t xml:space="preserve">TC-KNW-09/10 (đo thời gian)</t>
  </si>
  <si>
    <t xml:space="preserve">§14.3</t>
  </si>
  <si>
    <t xml:space="preserve">Tất định theo chuẩn NFR-MIN-02</t>
  </si>
  <si>
    <t xml:space="preserve">NFR-KNW-04</t>
  </si>
  <si>
    <t xml:space="preserve">BM25: index 1GB ≤30s · query ≤500ms · đúng ≤1e-9</t>
  </si>
  <si>
    <t xml:space="preserve">RetrievalLab index cạnh corpus (mtime)</t>
  </si>
  <si>
    <t xml:space="preserve">TC-KNW-14/15</t>
  </si>
  <si>
    <t xml:space="preserve">§14.4 '0,18 s'</t>
  </si>
  <si>
    <t xml:space="preserve">Chỉ mục không sửa corpus</t>
  </si>
  <si>
    <t xml:space="preserve">NFR-PY-01</t>
  </si>
  <si>
    <t xml:space="preserve">Zero-cost + installer không phình</t>
  </si>
  <si>
    <t xml:space="preserve">§11.2; runtime tải riêng</t>
  </si>
  <si>
    <t xml:space="preserve">§16 ẩn khi tắt</t>
  </si>
  <si>
    <t xml:space="preserve">NFR-PY-02</t>
  </si>
  <si>
    <t xml:space="preserve">Cách ly, hủy ≤200ms, streaming RSS&lt;300MB</t>
  </si>
  <si>
    <t xml:space="preserve">PyExecHost + GEditorBridge</t>
  </si>
  <si>
    <t xml:space="preserve">TC-PY-01/02/03</t>
  </si>
  <si>
    <t xml:space="preserve">§16.1 'RSS python: 212 MB'</t>
  </si>
  <si>
    <t xml:space="preserve">NFR-PY-03</t>
  </si>
  <si>
    <t xml:space="preserve">Trung thực an toàn (không tuyên bố sandbox)</t>
  </si>
  <si>
    <t xml:space="preserve">TrustStore; tài liệu nói rõ</t>
  </si>
  <si>
    <t xml:space="preserve">TC-PY-06</t>
  </si>
  <si>
    <t xml:space="preserve">§16.1 status bar ghi thẳng</t>
  </si>
  <si>
    <t xml:space="preserve">Consent thay vì hứa suông</t>
  </si>
  <si>
    <t xml:space="preserve">NFR-MMD-01</t>
  </si>
  <si>
    <t xml:space="preserve">500 node ≤2s · preview ≤500ms · lazy WKWebView</t>
  </si>
  <si>
    <t xml:space="preserve">MermaidRenderer khởi tạo lazy</t>
  </si>
  <si>
    <t xml:space="preserve">TC-MMD-02/06</t>
  </si>
  <si>
    <t xml:space="preserve">§17.1 'cập nhật 0,3 s'</t>
  </si>
  <si>
    <t xml:space="preserve">Không chạm KPI khởi động</t>
  </si>
  <si>
    <t xml:space="preserve">NFR-MMD-02</t>
  </si>
  <si>
    <t xml:space="preserve">Offline, phiên bản pin, changelog render</t>
  </si>
  <si>
    <t xml:space="preserve">Bundle app, ghi trong About</t>
  </si>
  <si>
    <t xml:space="preserve">TC-MMD-06 (chặn mạng)</t>
  </si>
  <si>
    <t xml:space="preserve">§17.1 'mermaid 11.4 đóng gói'</t>
  </si>
  <si>
    <t xml:space="preserve">NFR-MMD-03</t>
  </si>
  <si>
    <t xml:space="preserve">WKWebView sandboxed, không network</t>
  </si>
  <si>
    <t xml:space="preserve">Cấu hình WKWebView chặn egress</t>
  </si>
  <si>
    <t xml:space="preserve">TC-MMD-06</t>
  </si>
  <si>
    <t xml:space="preserve">§17 lead</t>
  </si>
  <si>
    <t xml:space="preserve">Nội dung sơ đồ không rời máy</t>
  </si>
  <si>
    <t xml:space="preserve">NFR-DQR-01</t>
  </si>
  <si>
    <t xml:space="preserve">50 rule/1M dòng ≤15s (RuleCompiler gom lượt quét)</t>
  </si>
  <si>
    <t xml:space="preserve">QualityEngine</t>
  </si>
  <si>
    <t xml:space="preserve">§6.6 '11,4 s'</t>
  </si>
  <si>
    <t xml:space="preserve">NFR-DQR-02</t>
  </si>
  <si>
    <t xml:space="preserve">Chỉ-đọc + history tách file</t>
  </si>
  <si>
    <t xml:space="preserve">SnapshotStore cạnh rules</t>
  </si>
  <si>
    <t xml:space="preserve">TC-DQR-06 (checksum)</t>
  </si>
  <si>
    <t xml:space="preserve">§6.6 'chỉ-đọc ✓'</t>
  </si>
  <si>
    <t xml:space="preserve">P0 trong phạm vi DQR</t>
  </si>
  <si>
    <t xml:space="preserve">NFR-DQR-03</t>
  </si>
  <si>
    <t xml:space="preserve">Điểm tất định, công thức mở</t>
  </si>
  <si>
    <t xml:space="preserve">DimensionScorer</t>
  </si>
  <si>
    <t xml:space="preserve">§6.6 công thức bấm được</t>
  </si>
  <si>
    <t xml:space="preserve">NFR-KNW-05</t>
  </si>
  <si>
    <t xml:space="preserve">Hybrid re-rank top-500 ≤300ms · builder ≤3 click</t>
  </si>
  <si>
    <t xml:space="preserve">HybridScorer + GoldenSetBuilder</t>
  </si>
  <si>
    <t xml:space="preserve">TC-KNW-19/20</t>
  </si>
  <si>
    <t xml:space="preserve">§14.4 bullets</t>
  </si>
  <si>
    <t xml:space="preserve">NFR-MIN-05</t>
  </si>
  <si>
    <t xml:space="preserve">1.000 nhóm ≤120s · hủy giữ partial</t>
  </si>
  <si>
    <t xml:space="preserve">GroupByRunner</t>
  </si>
  <si>
    <t xml:space="preserve">§6.5</t>
  </si>
  <si>
    <t xml:space="preserve">DANH SÁCH HÀNH ĐỘNG KHẮC PHỤC — điều kiện nâng tài liệu Draft → Approved</t>
  </si>
  <si>
    <t xml:space="preserve">Tài liệu đích</t>
  </si>
  <si>
    <t xml:space="preserve">Hạn đề xuất</t>
  </si>
  <si>
    <t xml:space="preserve">Điều kiện hoàn thành</t>
  </si>
  <si>
    <t xml:space="preserve">A-01</t>
  </si>
  <si>
    <t xml:space="preserve">Sửa số liệu tổng hợp "74 FR / 26 NFR" thành "82 FR / 31 NFR" tại STP trang bìa + §1.1; rà soát mọi câu tóm tắt trích số ở các tài liệu bàn giao.</t>
  </si>
  <si>
    <t xml:space="preserve">STP v1.1</t>
  </si>
  <si>
    <t xml:space="preserve">Trước khi phê duyệt STP</t>
  </si>
  <si>
    <t xml:space="preserve">Số đếm khớp COUNTA trong ma trận này</t>
  </si>
  <si>
    <t xml:space="preserve">A-02</t>
  </si>
  <si>
    <t xml:space="preserve">Bổ sung TC cho 4 yêu cầu P0 thiếu: TC-CORE-12 (TAB↔Space), TC-CORE-13 (word wrap 3 chế độ), TC-SRCH-09 (Search Results panel: lịch sử, export), TC-SRCH-10 (Go to Line).</t>
  </si>
  <si>
    <t xml:space="preserve">Trước phê duyệt STP</t>
  </si>
  <si>
    <t xml:space="preserve">Cột STP của 4 dòng chuyển 'Đồng bộ đủ'</t>
  </si>
  <si>
    <t xml:space="preserve">A-03</t>
  </si>
  <si>
    <t xml:space="preserve">Bổ sung đặc tả UI hộp Save As với accessory chọn encoding/EOL (FR-DOC-314) vào UI/UX §7; kèm hành vi mặc định theo FR-ENC-207.</t>
  </si>
  <si>
    <t xml:space="preserve">UI/UX v1.1</t>
  </si>
  <si>
    <t xml:space="preserve">Trước phê duyệt UI/UX</t>
  </si>
  <si>
    <t xml:space="preserve">Mockup + bảng hành vi được thêm</t>
  </si>
  <si>
    <t xml:space="preserve">Thêm mục UI "Công cụ định dạng" (JSON tree/format, XML validate/XPath, Markdown preview) vào UI/UX; thêm module FormatToolsService vào SAD §2.4; TC tương ứng vào STP.</t>
  </si>
  <si>
    <t xml:space="preserve">UI/UX, SAD, STP</t>
  </si>
  <si>
    <t xml:space="preserve">Trước kick-off Phase 2</t>
  </si>
  <si>
    <t xml:space="preserve">FMT-504/505/506 đạt 'Đồng bộ đủ'</t>
  </si>
  <si>
    <t xml:space="preserve">A-05</t>
  </si>
  <si>
    <t xml:space="preserve">Đưa FR-CORE-012 (khớp ngoặc) và FR-DOC-311 (read-only) vào trách nhiệm EditorView trong SAD; viết TC; UI/UX bổ sung chỉ báo khóa trên tab/status bar. Nêu tên Column Editor (FR-CORE-003) trong SAD EditorView.</t>
  </si>
  <si>
    <t xml:space="preserve">SAD, STP, UI/UX</t>
  </si>
  <si>
    <t xml:space="preserve">Trước kick-off Phase 1 dev</t>
  </si>
  <si>
    <t xml:space="preserve">3 dòng liên quan đạt 'Đồng bộ đủ'</t>
  </si>
  <si>
    <t xml:space="preserve">A-06</t>
  </si>
  <si>
    <t xml:space="preserve">Chốt keymap chuẩn: giải xung đột ⇧⌘D (đề xuất: Nhân đôi dòng = ⇧⌘D theo thói quen N++; Distraction-free = ⌃⌘D); phát hành file keymap JSON kèm UI/UX như phụ lục chuẩn.</t>
  </si>
  <si>
    <t xml:space="preserve">Cùng A-03</t>
  </si>
  <si>
    <t xml:space="preserve">File keymap JSON đính kèm, bảng §9 cập nhật</t>
  </si>
  <si>
    <t xml:space="preserve">A-07</t>
  </si>
  <si>
    <t xml:space="preserve">Quyết định giữ/hoãn 3 yêu cầu P2 chưa có thiết kế: FR-CORE-017 (clipboard history), FR-DOC-313 (in ấn), FR-CSV-408 (thống kê) — nếu giữ thì lên lịch tài liệu ở phase tương ứng, nếu hoãn thì cập nhật SRS đổi Phase.</t>
  </si>
  <si>
    <t xml:space="preserve">SRS backlog</t>
  </si>
  <si>
    <t xml:space="preserve">Planning Phase 2</t>
  </si>
  <si>
    <t xml:space="preserve">Biên bản quyết định + SRS cập nhật</t>
  </si>
  <si>
    <t xml:space="preserve">Đợt bổ sung TC P1: FR-ENC-207, FR-DOC-306/307/308/312, FR-SRCH-108/109, FR-CORE-011/014, FR-PLUG-701/705, FR-UI-803/804, NFR-SEC-05, NFR-USE-04/05, NFR-PORT-03.</t>
  </si>
  <si>
    <t xml:space="preserve">STP v1.2</t>
  </si>
  <si>
    <t xml:space="preserve">Không còn ô 'KHÔNG có TC' cho P1 Phase 1–2</t>
  </si>
  <si>
    <t xml:space="preserve">A-09</t>
  </si>
  <si>
    <t xml:space="preserve">Thiết kế mockup Style Configurator (chỉnh màu từng token theo ngôn ngữ) — FR-UI-801.</t>
  </si>
  <si>
    <t xml:space="preserve">UI/UX v1.2</t>
  </si>
  <si>
    <t xml:space="preserve">Mockup + spec hành vi</t>
  </si>
  <si>
    <t xml:space="preserve">A-10</t>
  </si>
  <si>
    <t xml:space="preserve">Thiết kế UI Regex tester/explainer (FR-SRCH-110) — panel giải thích pattern realtime.</t>
  </si>
  <si>
    <t xml:space="preserve">Trong Phase 2</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</si>
</sst>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5"/>
      <color rgb="FFA34309"/>
      <name val="Arial"/>
      <family val="0"/>
      <charset val="1"/>
    </font>
    <font>
      <sz val="10"/>
      <color rgb="FF666666"/>
      <name val="Arial"/>
      <family val="0"/>
      <charset val="1"/>
    </font>
    <font>
      <b val="true"/>
      <sz val="10"/>
      <name val="Arial"/>
      <family val="0"/>
      <charset val="1"/>
    </font>
    <font>
      <sz val="10"/>
      <name val="Arial"/>
      <family val="0"/>
      <charset val="1"/>
    </font>
    <font>
      <b val="true"/>
      <sz val="10"/>
      <color rgb="FFFFFFFF"/>
      <name val="Arial"/>
      <family val="0"/>
      <charset val="1"/>
    </font>
    <font>
      <b val="true"/>
      <sz val="12"/>
      <color rgb="FFA34309"/>
      <name val="Arial"/>
      <family val="0"/>
      <charset val="1"/>
    </font>
  </fonts>
  <fills count="8">
    <fill>
      <patternFill patternType="none"/>
    </fill>
    <fill>
      <patternFill patternType="gray125"/>
    </fill>
    <fill>
      <patternFill patternType="solid">
        <fgColor rgb="FFA34309"/>
        <bgColor rgb="FF993366"/>
      </patternFill>
    </fill>
    <fill>
      <patternFill patternType="solid">
        <fgColor rgb="FFD9F0E4"/>
        <bgColor rgb="FFEFEFEF"/>
      </patternFill>
    </fill>
    <fill>
      <patternFill patternType="solid">
        <fgColor rgb="FFF9DCDC"/>
        <bgColor rgb="FFEFEFEF"/>
      </patternFill>
    </fill>
    <fill>
      <patternFill patternType="solid">
        <fgColor rgb="FFFDF3D3"/>
        <bgColor rgb="FFEFEFEF"/>
      </patternFill>
    </fill>
    <fill>
      <patternFill patternType="solid">
        <fgColor rgb="FFEFEFEF"/>
        <bgColor rgb="FFF2F6FA"/>
      </patternFill>
    </fill>
    <fill>
      <patternFill patternType="solid">
        <fgColor rgb="FFF2F6FA"/>
        <bgColor rgb="FFEFEFEF"/>
      </patternFill>
    </fill>
  </fills>
  <borders count="2">
    <border diagonalUp="false" diagonalDown="false">
      <left/>
      <right/>
      <top/>
      <bottom/>
      <diagonal/>
    </border>
    <border diagonalUp="false" diagonalDown="false">
      <left style="thin">
        <color rgb="FFC9D2DA"/>
      </left>
      <right style="thin">
        <color rgb="FFC9D2DA"/>
      </right>
      <top style="thin">
        <color rgb="FFC9D2DA"/>
      </top>
      <bottom style="thin">
        <color rgb="FFC9D2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A34309"/>
          <bgColor rgb="FF000000"/>
        </patternFill>
      </fill>
    </dxf>
    <dxf>
      <fill>
        <patternFill patternType="solid">
          <fgColor rgb="FFF2F6FA"/>
          <bgColor rgb="FF000000"/>
        </patternFill>
      </fill>
    </dxf>
    <dxf>
      <fill>
        <patternFill patternType="solid">
          <bgColor rgb="FF000000"/>
        </patternFill>
      </fill>
    </dxf>
    <dxf>
      <fill>
        <patternFill patternType="solid">
          <fgColor rgb="FFFFFFFF"/>
          <bgColor rgb="FF000000"/>
        </patternFill>
      </fill>
    </dxf>
    <dxf>
      <fill>
        <patternFill patternType="solid">
          <fgColor rgb="FFD9F0E4"/>
          <bgColor rgb="FF000000"/>
        </patternFill>
      </fill>
    </dxf>
    <dxf>
      <fill>
        <patternFill patternType="solid">
          <fgColor rgb="FFF9DCDC"/>
          <bgColor rgb="FF000000"/>
        </patternFill>
      </fill>
    </dxf>
    <dxf>
      <fill>
        <patternFill patternType="solid">
          <fgColor rgb="FFFDF3D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3D3"/>
      <rgbColor rgb="FFF2F6FA"/>
      <rgbColor rgb="FF660066"/>
      <rgbColor rgb="FFFF8080"/>
      <rgbColor rgb="FF0066CC"/>
      <rgbColor rgb="FFC9D2DA"/>
      <rgbColor rgb="FF000080"/>
      <rgbColor rgb="FFFF00FF"/>
      <rgbColor rgb="FFFFFF00"/>
      <rgbColor rgb="FF00FFFF"/>
      <rgbColor rgb="FF800080"/>
      <rgbColor rgb="FF800000"/>
      <rgbColor rgb="FF008080"/>
      <rgbColor rgb="FF0000FF"/>
      <rgbColor rgb="FF00CCFF"/>
      <rgbColor rgb="FFEFEFEF"/>
      <rgbColor rgb="FFD9F0E4"/>
      <rgbColor rgb="FFFFFF99"/>
      <rgbColor rgb="FF99CCFF"/>
      <rgbColor rgb="FFFF99CC"/>
      <rgbColor rgb="FFCC99FF"/>
      <rgbColor rgb="FFF9DCDC"/>
      <rgbColor rgb="FF3366FF"/>
      <rgbColor rgb="FF33CCCC"/>
      <rgbColor rgb="FF99CC00"/>
      <rgbColor rgb="FFFFCC00"/>
      <rgbColor rgb="FFFF9900"/>
      <rgbColor rgb="FFFF6600"/>
      <rgbColor rgb="FF666666"/>
      <rgbColor rgb="FF969696"/>
      <rgbColor rgb="FF003366"/>
      <rgbColor rgb="FF339966"/>
      <rgbColor rgb="FF003300"/>
      <rgbColor rgb="FF333300"/>
      <rgbColor rgb="FFA34309"/>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96"/>
    <col collapsed="false" customWidth="true" hidden="false" outlineLevel="0" max="4" min="3" style="1" width="26"/>
  </cols>
  <sheetData>
    <row r="1" customFormat="false" ht="18"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15" hidden="false" customHeight="true" outlineLevel="0" collapsed="false">
      <c r="A5" s="5" t="s">
        <v>3</v>
      </c>
      <c r="B5" s="4" t="n">
        <f aca="false">COUNTA('Ma trận FR'!A3:A200)</f>
        <v>167</v>
      </c>
    </row>
    <row r="6" customFormat="false" ht="15" hidden="false" customHeight="true" outlineLevel="0" collapsed="false">
      <c r="A6" s="5" t="s">
        <v>4</v>
      </c>
      <c r="B6" s="4" t="n">
        <f aca="false">COUNTA('Ma trận NFR'!A3:A200)</f>
        <v>61</v>
      </c>
    </row>
    <row r="7" customFormat="false" ht="15" hidden="false" customHeight="true" outlineLevel="0" collapsed="false">
      <c r="A7" s="5" t="s">
        <v>5</v>
      </c>
      <c r="B7" s="4" t="n">
        <f aca="false">COUNTIF('Ma trận FR'!I:I,"Đồng bộ đủ")</f>
        <v>135</v>
      </c>
    </row>
    <row r="8" customFormat="false" ht="15" hidden="false" customHeight="true" outlineLevel="0" collapsed="false">
      <c r="A8" s="5" t="s">
        <v>6</v>
      </c>
      <c r="B8" s="4" t="n">
        <f aca="false">COUNTIF('Ma trận FR'!I:I,"Thiếu một phần")</f>
        <v>27</v>
      </c>
    </row>
    <row r="9" customFormat="false" ht="15" hidden="false" customHeight="true" outlineLevel="0" collapsed="false">
      <c r="A9" s="5" t="s">
        <v>7</v>
      </c>
      <c r="B9" s="4" t="n">
        <f aca="false">COUNTIF('Ma trận FR'!I:I,"Thiếu")</f>
        <v>5</v>
      </c>
    </row>
    <row r="10" customFormat="false" ht="15" hidden="false" customHeight="true" outlineLevel="0" collapsed="false">
      <c r="A10" s="5" t="s">
        <v>8</v>
      </c>
      <c r="B10" s="4" t="n">
        <f aca="false">COUNTIF('Ma trận NFR'!H:H,"Đồng bộ đủ")</f>
        <v>56</v>
      </c>
    </row>
    <row r="11" customFormat="false" ht="15" hidden="false" customHeight="true" outlineLevel="0" collapsed="false">
      <c r="A11" s="5" t="s">
        <v>9</v>
      </c>
      <c r="B11" s="4" t="n">
        <f aca="false">COUNTIF('Ma trận NFR'!H:H,"Thiếu một phần")</f>
        <v>5</v>
      </c>
    </row>
    <row r="12" customFormat="false" ht="15" hidden="false" customHeight="true" outlineLevel="0" collapsed="false">
      <c r="A12" s="5" t="s">
        <v>10</v>
      </c>
      <c r="B12" s="4" t="n">
        <f aca="false">COUNTIF('Ma trận NFR'!H:H,"Thiếu")</f>
        <v>0</v>
      </c>
    </row>
    <row r="13" customFormat="false" ht="15" hidden="false" customHeight="true" outlineLevel="0" collapsed="false">
      <c r="A13" s="5" t="s">
        <v>11</v>
      </c>
      <c r="B13" s="4" t="n">
        <f aca="false">COUNTIFS('Ma trận FR'!C:C,"P0",'Ma trận FR'!I:I,"&lt;&gt;Đồng bộ đủ")</f>
        <v>0</v>
      </c>
    </row>
    <row r="15" customFormat="false" ht="15" hidden="false" customHeight="true" outlineLevel="0" collapsed="false">
      <c r="A15" s="4" t="s">
        <v>12</v>
      </c>
    </row>
    <row r="16" customFormat="false" ht="15" hidden="false" customHeight="true" outlineLevel="0" collapsed="false">
      <c r="A16" s="6" t="s">
        <v>13</v>
      </c>
      <c r="B16" s="6" t="s">
        <v>14</v>
      </c>
      <c r="C16" s="6" t="s">
        <v>15</v>
      </c>
      <c r="D16" s="6" t="s">
        <v>16</v>
      </c>
    </row>
    <row r="17" customFormat="false" ht="45.75" hidden="false" customHeight="true" outlineLevel="0" collapsed="false">
      <c r="A17" s="7" t="s">
        <v>17</v>
      </c>
      <c r="B17" s="7" t="s">
        <v>18</v>
      </c>
      <c r="C17" s="8" t="s">
        <v>19</v>
      </c>
      <c r="D17" s="7" t="s">
        <v>20</v>
      </c>
    </row>
    <row r="18" customFormat="false" ht="34.5" hidden="false" customHeight="true" outlineLevel="0" collapsed="false">
      <c r="A18" s="7" t="s">
        <v>21</v>
      </c>
      <c r="B18" s="7" t="s">
        <v>22</v>
      </c>
      <c r="C18" s="9" t="s">
        <v>23</v>
      </c>
      <c r="D18" s="7" t="s">
        <v>24</v>
      </c>
    </row>
    <row r="19" customFormat="false" ht="34.5" hidden="false" customHeight="true" outlineLevel="0" collapsed="false">
      <c r="A19" s="7" t="s">
        <v>25</v>
      </c>
      <c r="B19" s="7" t="s">
        <v>26</v>
      </c>
      <c r="C19" s="8" t="s">
        <v>19</v>
      </c>
      <c r="D19" s="7" t="s">
        <v>27</v>
      </c>
    </row>
    <row r="20" customFormat="false" ht="34.5" hidden="false" customHeight="true" outlineLevel="0" collapsed="false">
      <c r="A20" s="7" t="s">
        <v>28</v>
      </c>
      <c r="B20" s="7" t="s">
        <v>29</v>
      </c>
      <c r="C20" s="10" t="s">
        <v>30</v>
      </c>
      <c r="D20" s="7" t="s">
        <v>31</v>
      </c>
    </row>
    <row r="21" customFormat="false" ht="23.25" hidden="false" customHeight="true" outlineLevel="0" collapsed="false">
      <c r="A21" s="7" t="s">
        <v>32</v>
      </c>
      <c r="B21" s="7" t="s">
        <v>33</v>
      </c>
      <c r="C21" s="8" t="s">
        <v>19</v>
      </c>
      <c r="D21" s="7" t="s">
        <v>34</v>
      </c>
    </row>
    <row r="22" customFormat="false" ht="23.25" hidden="false" customHeight="true" outlineLevel="0" collapsed="false">
      <c r="A22" s="7" t="s">
        <v>35</v>
      </c>
      <c r="B22" s="7" t="s">
        <v>36</v>
      </c>
      <c r="C22" s="11" t="s">
        <v>37</v>
      </c>
      <c r="D22" s="7" t="s">
        <v>38</v>
      </c>
    </row>
    <row r="23" customFormat="false" ht="23.25" hidden="false" customHeight="true" outlineLevel="0" collapsed="false">
      <c r="A23" s="7" t="s">
        <v>39</v>
      </c>
      <c r="B23" s="7" t="s">
        <v>40</v>
      </c>
      <c r="C23" s="8" t="s">
        <v>41</v>
      </c>
      <c r="D23" s="7" t="s">
        <v>42</v>
      </c>
    </row>
    <row r="24" customFormat="false" ht="34.5" hidden="false" customHeight="true" outlineLevel="0" collapsed="false">
      <c r="A24" s="7" t="s">
        <v>43</v>
      </c>
      <c r="B24" s="7" t="s">
        <v>44</v>
      </c>
      <c r="C24" s="8" t="s">
        <v>41</v>
      </c>
      <c r="D24" s="7" t="s">
        <v>45</v>
      </c>
    </row>
    <row r="25" customFormat="false" ht="34.5" hidden="false" customHeight="true" outlineLevel="0" collapsed="false">
      <c r="A25" s="7" t="s">
        <v>46</v>
      </c>
      <c r="B25" s="7" t="s">
        <v>47</v>
      </c>
      <c r="C25" s="8" t="s">
        <v>41</v>
      </c>
      <c r="D25" s="7" t="s">
        <v>48</v>
      </c>
    </row>
    <row r="26" customFormat="false" ht="34.5" hidden="false" customHeight="true" outlineLevel="0" collapsed="false">
      <c r="A26" s="7" t="s">
        <v>49</v>
      </c>
      <c r="B26" s="7" t="s">
        <v>50</v>
      </c>
      <c r="C26" s="8" t="s">
        <v>41</v>
      </c>
      <c r="D26" s="7" t="s">
        <v>51</v>
      </c>
    </row>
    <row r="27" customFormat="false" ht="45.75" hidden="false" customHeight="true" outlineLevel="0" collapsed="false">
      <c r="A27" s="7" t="s">
        <v>52</v>
      </c>
      <c r="B27" s="7" t="s">
        <v>53</v>
      </c>
      <c r="C27" s="8" t="s">
        <v>41</v>
      </c>
      <c r="D27" s="7" t="s">
        <v>54</v>
      </c>
    </row>
    <row r="28" customFormat="false" ht="45.75" hidden="false" customHeight="true" outlineLevel="0" collapsed="false">
      <c r="A28" s="7" t="s">
        <v>55</v>
      </c>
      <c r="B28" s="7" t="s">
        <v>56</v>
      </c>
      <c r="C28" s="8" t="s">
        <v>41</v>
      </c>
      <c r="D28" s="7" t="s">
        <v>57</v>
      </c>
    </row>
    <row r="29" customFormat="false" ht="57" hidden="false" customHeight="true" outlineLevel="0" collapsed="false">
      <c r="A29" s="7" t="s">
        <v>58</v>
      </c>
      <c r="B29" s="7" t="s">
        <v>59</v>
      </c>
      <c r="C29" s="8" t="s">
        <v>41</v>
      </c>
      <c r="D29" s="7" t="s">
        <v>57</v>
      </c>
    </row>
    <row r="30" customFormat="false" ht="57" hidden="false" customHeight="true" outlineLevel="0" collapsed="false">
      <c r="A30" s="7" t="s">
        <v>60</v>
      </c>
      <c r="B30" s="7" t="s">
        <v>61</v>
      </c>
      <c r="C30" s="8" t="s">
        <v>41</v>
      </c>
      <c r="D30" s="7" t="s">
        <v>45</v>
      </c>
    </row>
    <row r="31" customFormat="false" ht="57" hidden="false" customHeight="true" outlineLevel="0" collapsed="false">
      <c r="A31" s="7" t="s">
        <v>62</v>
      </c>
      <c r="B31" s="7" t="s">
        <v>63</v>
      </c>
      <c r="C31" s="8" t="s">
        <v>41</v>
      </c>
      <c r="D31" s="7" t="s">
        <v>64</v>
      </c>
    </row>
    <row r="32" customFormat="false" ht="57" hidden="false" customHeight="true" outlineLevel="0" collapsed="false">
      <c r="A32" s="7" t="s">
        <v>65</v>
      </c>
      <c r="B32" s="7" t="s">
        <v>66</v>
      </c>
      <c r="C32" s="8" t="s">
        <v>41</v>
      </c>
      <c r="D32" s="7" t="s">
        <v>57</v>
      </c>
    </row>
    <row r="33" customFormat="false" ht="68.65" hidden="false" customHeight="false" outlineLevel="0" collapsed="false">
      <c r="A33" s="7" t="s">
        <v>67</v>
      </c>
      <c r="B33" s="7" t="s">
        <v>68</v>
      </c>
      <c r="C33" s="8" t="s">
        <v>41</v>
      </c>
      <c r="D33" s="7"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4"/>
    <col collapsed="false" customWidth="true" hidden="false" outlineLevel="0" max="4" min="3" style="1" width="8"/>
    <col collapsed="false" customWidth="true" hidden="false" outlineLevel="0" max="5" min="5" style="1" width="10"/>
    <col collapsed="false" customWidth="true" hidden="false" outlineLevel="0" max="6" min="6" style="1" width="34"/>
    <col collapsed="false" customWidth="true" hidden="false" outlineLevel="0" max="7" min="7" style="1" width="30"/>
    <col collapsed="false" customWidth="true" hidden="false" outlineLevel="0" max="8" min="8" style="1" width="34"/>
    <col collapsed="false" customWidth="true" hidden="false" outlineLevel="0" max="9" min="9" style="1" width="15"/>
    <col collapsed="false" customWidth="true" hidden="false" outlineLevel="0" max="10" min="10" style="1" width="52"/>
  </cols>
  <sheetData>
    <row r="1" customFormat="false" ht="15" hidden="false" customHeight="true" outlineLevel="0" collapsed="false">
      <c r="A1" s="12" t="s">
        <v>70</v>
      </c>
    </row>
    <row r="2" customFormat="false" ht="15" hidden="false" customHeight="true" outlineLevel="0" collapsed="false">
      <c r="A2" s="6" t="s">
        <v>71</v>
      </c>
      <c r="B2" s="6" t="s">
        <v>72</v>
      </c>
      <c r="C2" s="6" t="s">
        <v>73</v>
      </c>
      <c r="D2" s="6" t="s">
        <v>74</v>
      </c>
      <c r="E2" s="6" t="s">
        <v>75</v>
      </c>
      <c r="F2" s="6" t="s">
        <v>76</v>
      </c>
      <c r="G2" s="6" t="s">
        <v>77</v>
      </c>
      <c r="H2" s="6" t="s">
        <v>78</v>
      </c>
      <c r="I2" s="6" t="s">
        <v>79</v>
      </c>
      <c r="J2" s="6" t="s">
        <v>80</v>
      </c>
    </row>
    <row r="3" customFormat="false" ht="15" hidden="false" customHeight="true" outlineLevel="0" collapsed="false">
      <c r="A3" s="7" t="s">
        <v>81</v>
      </c>
      <c r="B3" s="7" t="s">
        <v>82</v>
      </c>
      <c r="C3" s="13" t="s">
        <v>83</v>
      </c>
      <c r="D3" s="13" t="s">
        <v>84</v>
      </c>
      <c r="E3" s="7" t="s">
        <v>85</v>
      </c>
      <c r="F3" s="7" t="s">
        <v>86</v>
      </c>
      <c r="G3" s="7" t="s">
        <v>87</v>
      </c>
      <c r="H3" s="7" t="s">
        <v>88</v>
      </c>
      <c r="I3" s="8" t="s">
        <v>89</v>
      </c>
      <c r="J3" s="7"/>
    </row>
    <row r="4" customFormat="false" ht="15" hidden="false" customHeight="true" outlineLevel="0" collapsed="false">
      <c r="A4" s="7" t="s">
        <v>90</v>
      </c>
      <c r="B4" s="7" t="s">
        <v>91</v>
      </c>
      <c r="C4" s="13" t="s">
        <v>83</v>
      </c>
      <c r="D4" s="13" t="s">
        <v>84</v>
      </c>
      <c r="E4" s="7" t="s">
        <v>85</v>
      </c>
      <c r="F4" s="7" t="s">
        <v>92</v>
      </c>
      <c r="G4" s="7" t="s">
        <v>93</v>
      </c>
      <c r="H4" s="7" t="s">
        <v>88</v>
      </c>
      <c r="I4" s="8" t="s">
        <v>89</v>
      </c>
      <c r="J4" s="7"/>
    </row>
    <row r="5" customFormat="false" ht="23.25" hidden="false" customHeight="true" outlineLevel="0" collapsed="false">
      <c r="A5" s="7" t="s">
        <v>94</v>
      </c>
      <c r="B5" s="7" t="s">
        <v>95</v>
      </c>
      <c r="C5" s="13" t="s">
        <v>83</v>
      </c>
      <c r="D5" s="13" t="s">
        <v>84</v>
      </c>
      <c r="E5" s="7" t="s">
        <v>85</v>
      </c>
      <c r="F5" s="7" t="s">
        <v>96</v>
      </c>
      <c r="G5" s="7" t="s">
        <v>97</v>
      </c>
      <c r="H5" s="7" t="s">
        <v>98</v>
      </c>
      <c r="I5" s="8" t="s">
        <v>89</v>
      </c>
      <c r="J5" s="7" t="s">
        <v>99</v>
      </c>
    </row>
    <row r="6" customFormat="false" ht="15" hidden="false" customHeight="true" outlineLevel="0" collapsed="false">
      <c r="A6" s="7" t="s">
        <v>100</v>
      </c>
      <c r="B6" s="7" t="s">
        <v>101</v>
      </c>
      <c r="C6" s="13" t="s">
        <v>83</v>
      </c>
      <c r="D6" s="13" t="s">
        <v>84</v>
      </c>
      <c r="E6" s="7" t="s">
        <v>85</v>
      </c>
      <c r="F6" s="7" t="s">
        <v>102</v>
      </c>
      <c r="G6" s="7" t="s">
        <v>103</v>
      </c>
      <c r="H6" s="7" t="s">
        <v>104</v>
      </c>
      <c r="I6" s="8" t="s">
        <v>89</v>
      </c>
      <c r="J6" s="7"/>
    </row>
    <row r="7" customFormat="false" ht="15" hidden="false" customHeight="true" outlineLevel="0" collapsed="false">
      <c r="A7" s="7" t="s">
        <v>105</v>
      </c>
      <c r="B7" s="7" t="s">
        <v>106</v>
      </c>
      <c r="C7" s="13" t="s">
        <v>83</v>
      </c>
      <c r="D7" s="13" t="s">
        <v>84</v>
      </c>
      <c r="E7" s="7" t="s">
        <v>85</v>
      </c>
      <c r="F7" s="7" t="s">
        <v>107</v>
      </c>
      <c r="G7" s="7" t="s">
        <v>108</v>
      </c>
      <c r="H7" s="7" t="s">
        <v>109</v>
      </c>
      <c r="I7" s="8" t="s">
        <v>89</v>
      </c>
      <c r="J7" s="7"/>
    </row>
    <row r="8" customFormat="false" ht="15" hidden="false" customHeight="true" outlineLevel="0" collapsed="false">
      <c r="A8" s="7" t="s">
        <v>110</v>
      </c>
      <c r="B8" s="7" t="s">
        <v>111</v>
      </c>
      <c r="C8" s="13" t="s">
        <v>83</v>
      </c>
      <c r="D8" s="13" t="s">
        <v>84</v>
      </c>
      <c r="E8" s="7" t="s">
        <v>85</v>
      </c>
      <c r="F8" s="7" t="s">
        <v>107</v>
      </c>
      <c r="G8" s="7" t="s">
        <v>112</v>
      </c>
      <c r="H8" s="7" t="s">
        <v>113</v>
      </c>
      <c r="I8" s="8" t="s">
        <v>89</v>
      </c>
      <c r="J8" s="7"/>
    </row>
    <row r="9" customFormat="false" ht="15" hidden="false" customHeight="true" outlineLevel="0" collapsed="false">
      <c r="A9" s="7" t="s">
        <v>114</v>
      </c>
      <c r="B9" s="7" t="s">
        <v>115</v>
      </c>
      <c r="C9" s="13" t="s">
        <v>83</v>
      </c>
      <c r="D9" s="13" t="s">
        <v>84</v>
      </c>
      <c r="E9" s="7" t="s">
        <v>85</v>
      </c>
      <c r="F9" s="7" t="s">
        <v>107</v>
      </c>
      <c r="G9" s="7" t="s">
        <v>116</v>
      </c>
      <c r="H9" s="7" t="s">
        <v>117</v>
      </c>
      <c r="I9" s="8" t="s">
        <v>89</v>
      </c>
      <c r="J9" s="7" t="s">
        <v>118</v>
      </c>
    </row>
    <row r="10" customFormat="false" ht="15" hidden="false" customHeight="true" outlineLevel="0" collapsed="false">
      <c r="A10" s="7" t="s">
        <v>119</v>
      </c>
      <c r="B10" s="7" t="s">
        <v>120</v>
      </c>
      <c r="C10" s="13" t="s">
        <v>83</v>
      </c>
      <c r="D10" s="13" t="s">
        <v>84</v>
      </c>
      <c r="E10" s="7" t="s">
        <v>85</v>
      </c>
      <c r="F10" s="7" t="s">
        <v>107</v>
      </c>
      <c r="G10" s="7" t="s">
        <v>121</v>
      </c>
      <c r="H10" s="7" t="s">
        <v>122</v>
      </c>
      <c r="I10" s="8" t="s">
        <v>89</v>
      </c>
      <c r="J10" s="7"/>
    </row>
    <row r="11" customFormat="false" ht="23.25" hidden="false" customHeight="true" outlineLevel="0" collapsed="false">
      <c r="A11" s="7" t="s">
        <v>123</v>
      </c>
      <c r="B11" s="7" t="s">
        <v>124</v>
      </c>
      <c r="C11" s="13" t="s">
        <v>83</v>
      </c>
      <c r="D11" s="13" t="s">
        <v>84</v>
      </c>
      <c r="E11" s="7" t="s">
        <v>85</v>
      </c>
      <c r="F11" s="7" t="s">
        <v>107</v>
      </c>
      <c r="G11" s="7" t="s">
        <v>125</v>
      </c>
      <c r="H11" s="7" t="s">
        <v>126</v>
      </c>
      <c r="I11" s="8" t="s">
        <v>89</v>
      </c>
      <c r="J11" s="7" t="s">
        <v>127</v>
      </c>
    </row>
    <row r="12" customFormat="false" ht="15" hidden="false" customHeight="true" outlineLevel="0" collapsed="false">
      <c r="A12" s="7" t="s">
        <v>128</v>
      </c>
      <c r="B12" s="7" t="s">
        <v>129</v>
      </c>
      <c r="C12" s="13" t="s">
        <v>130</v>
      </c>
      <c r="D12" s="13" t="s">
        <v>84</v>
      </c>
      <c r="E12" s="7" t="s">
        <v>85</v>
      </c>
      <c r="F12" s="7" t="s">
        <v>107</v>
      </c>
      <c r="G12" s="7" t="s">
        <v>131</v>
      </c>
      <c r="H12" s="7" t="s">
        <v>113</v>
      </c>
      <c r="I12" s="8" t="s">
        <v>89</v>
      </c>
      <c r="J12" s="7"/>
    </row>
    <row r="13" customFormat="false" ht="15" hidden="false" customHeight="true" outlineLevel="0" collapsed="false">
      <c r="A13" s="7" t="s">
        <v>132</v>
      </c>
      <c r="B13" s="7" t="s">
        <v>133</v>
      </c>
      <c r="C13" s="13" t="s">
        <v>130</v>
      </c>
      <c r="D13" s="13" t="s">
        <v>84</v>
      </c>
      <c r="E13" s="7" t="s">
        <v>85</v>
      </c>
      <c r="F13" s="7" t="s">
        <v>134</v>
      </c>
      <c r="G13" s="7" t="s">
        <v>135</v>
      </c>
      <c r="H13" s="7" t="s">
        <v>136</v>
      </c>
      <c r="I13" s="10" t="s">
        <v>137</v>
      </c>
      <c r="J13" s="7" t="s">
        <v>138</v>
      </c>
    </row>
    <row r="14" customFormat="false" ht="15" hidden="false" customHeight="true" outlineLevel="0" collapsed="false">
      <c r="A14" s="7" t="s">
        <v>139</v>
      </c>
      <c r="B14" s="7" t="s">
        <v>140</v>
      </c>
      <c r="C14" s="13" t="s">
        <v>130</v>
      </c>
      <c r="D14" s="13" t="s">
        <v>84</v>
      </c>
      <c r="E14" s="7" t="s">
        <v>85</v>
      </c>
      <c r="F14" s="7" t="s">
        <v>141</v>
      </c>
      <c r="G14" s="7" t="s">
        <v>142</v>
      </c>
      <c r="H14" s="7" t="s">
        <v>143</v>
      </c>
      <c r="I14" s="8" t="s">
        <v>89</v>
      </c>
      <c r="J14" s="7" t="s">
        <v>99</v>
      </c>
    </row>
    <row r="15" customFormat="false" ht="15" hidden="false" customHeight="true" outlineLevel="0" collapsed="false">
      <c r="A15" s="7" t="s">
        <v>144</v>
      </c>
      <c r="B15" s="7" t="s">
        <v>145</v>
      </c>
      <c r="C15" s="13" t="s">
        <v>130</v>
      </c>
      <c r="D15" s="13" t="s">
        <v>146</v>
      </c>
      <c r="E15" s="7" t="s">
        <v>85</v>
      </c>
      <c r="F15" s="7" t="s">
        <v>147</v>
      </c>
      <c r="G15" s="7" t="s">
        <v>135</v>
      </c>
      <c r="H15" s="7" t="s">
        <v>148</v>
      </c>
      <c r="I15" s="9" t="s">
        <v>149</v>
      </c>
      <c r="J15" s="7" t="s">
        <v>150</v>
      </c>
    </row>
    <row r="16" customFormat="false" ht="15" hidden="false" customHeight="true" outlineLevel="0" collapsed="false">
      <c r="A16" s="7" t="s">
        <v>151</v>
      </c>
      <c r="B16" s="7" t="s">
        <v>152</v>
      </c>
      <c r="C16" s="13" t="s">
        <v>130</v>
      </c>
      <c r="D16" s="13" t="s">
        <v>84</v>
      </c>
      <c r="E16" s="7" t="s">
        <v>85</v>
      </c>
      <c r="F16" s="7" t="s">
        <v>153</v>
      </c>
      <c r="G16" s="7" t="s">
        <v>135</v>
      </c>
      <c r="H16" s="7" t="s">
        <v>117</v>
      </c>
      <c r="I16" s="10" t="s">
        <v>137</v>
      </c>
      <c r="J16" s="7" t="s">
        <v>154</v>
      </c>
    </row>
    <row r="17" customFormat="false" ht="15" hidden="false" customHeight="true" outlineLevel="0" collapsed="false">
      <c r="A17" s="7" t="s">
        <v>155</v>
      </c>
      <c r="B17" s="7" t="s">
        <v>156</v>
      </c>
      <c r="C17" s="13" t="s">
        <v>83</v>
      </c>
      <c r="D17" s="13" t="s">
        <v>84</v>
      </c>
      <c r="E17" s="7" t="s">
        <v>85</v>
      </c>
      <c r="F17" s="7" t="s">
        <v>157</v>
      </c>
      <c r="G17" s="7" t="s">
        <v>158</v>
      </c>
      <c r="H17" s="7" t="s">
        <v>159</v>
      </c>
      <c r="I17" s="8" t="s">
        <v>89</v>
      </c>
      <c r="J17" s="7" t="s">
        <v>127</v>
      </c>
    </row>
    <row r="18" customFormat="false" ht="15" hidden="false" customHeight="true" outlineLevel="0" collapsed="false">
      <c r="A18" s="7" t="s">
        <v>160</v>
      </c>
      <c r="B18" s="7" t="s">
        <v>161</v>
      </c>
      <c r="C18" s="13" t="s">
        <v>162</v>
      </c>
      <c r="D18" s="13" t="s">
        <v>84</v>
      </c>
      <c r="E18" s="7" t="s">
        <v>85</v>
      </c>
      <c r="F18" s="7" t="s">
        <v>163</v>
      </c>
      <c r="G18" s="7" t="s">
        <v>135</v>
      </c>
      <c r="H18" s="7" t="s">
        <v>164</v>
      </c>
      <c r="I18" s="10" t="s">
        <v>137</v>
      </c>
      <c r="J18" s="7" t="s">
        <v>165</v>
      </c>
    </row>
    <row r="19" customFormat="false" ht="15" hidden="false" customHeight="true" outlineLevel="0" collapsed="false">
      <c r="A19" s="7" t="s">
        <v>166</v>
      </c>
      <c r="B19" s="7" t="s">
        <v>167</v>
      </c>
      <c r="C19" s="13" t="s">
        <v>162</v>
      </c>
      <c r="D19" s="13" t="s">
        <v>146</v>
      </c>
      <c r="E19" s="7" t="s">
        <v>85</v>
      </c>
      <c r="F19" s="7" t="s">
        <v>147</v>
      </c>
      <c r="G19" s="7" t="s">
        <v>135</v>
      </c>
      <c r="H19" s="7" t="s">
        <v>148</v>
      </c>
      <c r="I19" s="9" t="s">
        <v>149</v>
      </c>
      <c r="J19" s="7" t="s">
        <v>168</v>
      </c>
    </row>
    <row r="20" customFormat="false" ht="15" hidden="false" customHeight="true" outlineLevel="0" collapsed="false">
      <c r="A20" s="7" t="s">
        <v>169</v>
      </c>
      <c r="B20" s="7" t="s">
        <v>170</v>
      </c>
      <c r="C20" s="13" t="s">
        <v>83</v>
      </c>
      <c r="D20" s="13" t="s">
        <v>84</v>
      </c>
      <c r="E20" s="7" t="s">
        <v>85</v>
      </c>
      <c r="F20" s="7" t="s">
        <v>171</v>
      </c>
      <c r="G20" s="7" t="s">
        <v>172</v>
      </c>
      <c r="H20" s="7" t="s">
        <v>173</v>
      </c>
      <c r="I20" s="8" t="s">
        <v>89</v>
      </c>
      <c r="J20" s="7"/>
    </row>
    <row r="21" customFormat="false" ht="15" hidden="false" customHeight="true" outlineLevel="0" collapsed="false">
      <c r="A21" s="7" t="s">
        <v>174</v>
      </c>
      <c r="B21" s="7" t="s">
        <v>175</v>
      </c>
      <c r="C21" s="13" t="s">
        <v>83</v>
      </c>
      <c r="D21" s="13" t="s">
        <v>84</v>
      </c>
      <c r="E21" s="7" t="s">
        <v>85</v>
      </c>
      <c r="F21" s="7" t="s">
        <v>176</v>
      </c>
      <c r="G21" s="7" t="s">
        <v>177</v>
      </c>
      <c r="H21" s="7" t="s">
        <v>178</v>
      </c>
      <c r="I21" s="8" t="s">
        <v>89</v>
      </c>
      <c r="J21" s="7"/>
    </row>
    <row r="22" customFormat="false" ht="15" hidden="false" customHeight="true" outlineLevel="0" collapsed="false">
      <c r="A22" s="7" t="s">
        <v>179</v>
      </c>
      <c r="B22" s="7" t="s">
        <v>180</v>
      </c>
      <c r="C22" s="13" t="s">
        <v>83</v>
      </c>
      <c r="D22" s="13" t="s">
        <v>84</v>
      </c>
      <c r="E22" s="7" t="s">
        <v>85</v>
      </c>
      <c r="F22" s="7" t="s">
        <v>181</v>
      </c>
      <c r="G22" s="7" t="s">
        <v>182</v>
      </c>
      <c r="H22" s="7" t="s">
        <v>183</v>
      </c>
      <c r="I22" s="8" t="s">
        <v>89</v>
      </c>
      <c r="J22" s="7"/>
    </row>
    <row r="23" customFormat="false" ht="15" hidden="false" customHeight="true" outlineLevel="0" collapsed="false">
      <c r="A23" s="7" t="s">
        <v>184</v>
      </c>
      <c r="B23" s="7" t="s">
        <v>185</v>
      </c>
      <c r="C23" s="13" t="s">
        <v>83</v>
      </c>
      <c r="D23" s="13" t="s">
        <v>84</v>
      </c>
      <c r="E23" s="7" t="s">
        <v>85</v>
      </c>
      <c r="F23" s="7" t="s">
        <v>186</v>
      </c>
      <c r="G23" s="7" t="s">
        <v>187</v>
      </c>
      <c r="H23" s="7" t="s">
        <v>188</v>
      </c>
      <c r="I23" s="8" t="s">
        <v>89</v>
      </c>
      <c r="J23" s="7"/>
    </row>
    <row r="24" customFormat="false" ht="15" hidden="false" customHeight="true" outlineLevel="0" collapsed="false">
      <c r="A24" s="7" t="s">
        <v>189</v>
      </c>
      <c r="B24" s="7" t="s">
        <v>190</v>
      </c>
      <c r="C24" s="13" t="s">
        <v>83</v>
      </c>
      <c r="D24" s="13" t="s">
        <v>84</v>
      </c>
      <c r="E24" s="7" t="s">
        <v>85</v>
      </c>
      <c r="F24" s="7" t="s">
        <v>191</v>
      </c>
      <c r="G24" s="7" t="s">
        <v>192</v>
      </c>
      <c r="H24" s="7" t="s">
        <v>193</v>
      </c>
      <c r="I24" s="8" t="s">
        <v>89</v>
      </c>
      <c r="J24" s="7"/>
    </row>
    <row r="25" customFormat="false" ht="23.25" hidden="false" customHeight="true" outlineLevel="0" collapsed="false">
      <c r="A25" s="7" t="s">
        <v>194</v>
      </c>
      <c r="B25" s="7" t="s">
        <v>195</v>
      </c>
      <c r="C25" s="13" t="s">
        <v>83</v>
      </c>
      <c r="D25" s="13" t="s">
        <v>84</v>
      </c>
      <c r="E25" s="7" t="s">
        <v>85</v>
      </c>
      <c r="F25" s="7" t="s">
        <v>196</v>
      </c>
      <c r="G25" s="7" t="s">
        <v>197</v>
      </c>
      <c r="H25" s="7" t="s">
        <v>198</v>
      </c>
      <c r="I25" s="8" t="s">
        <v>89</v>
      </c>
      <c r="J25" s="7" t="s">
        <v>127</v>
      </c>
    </row>
    <row r="26" customFormat="false" ht="15" hidden="false" customHeight="true" outlineLevel="0" collapsed="false">
      <c r="A26" s="7" t="s">
        <v>199</v>
      </c>
      <c r="B26" s="7" t="s">
        <v>200</v>
      </c>
      <c r="C26" s="13" t="s">
        <v>83</v>
      </c>
      <c r="D26" s="13" t="s">
        <v>201</v>
      </c>
      <c r="E26" s="7" t="s">
        <v>85</v>
      </c>
      <c r="F26" s="7" t="s">
        <v>202</v>
      </c>
      <c r="G26" s="7" t="s">
        <v>203</v>
      </c>
      <c r="H26" s="7" t="s">
        <v>204</v>
      </c>
      <c r="I26" s="8" t="s">
        <v>89</v>
      </c>
      <c r="J26" s="7"/>
    </row>
    <row r="27" customFormat="false" ht="15" hidden="false" customHeight="true" outlineLevel="0" collapsed="false">
      <c r="A27" s="7" t="s">
        <v>205</v>
      </c>
      <c r="B27" s="7" t="s">
        <v>206</v>
      </c>
      <c r="C27" s="13" t="s">
        <v>83</v>
      </c>
      <c r="D27" s="13" t="s">
        <v>84</v>
      </c>
      <c r="E27" s="7" t="s">
        <v>85</v>
      </c>
      <c r="F27" s="7" t="s">
        <v>207</v>
      </c>
      <c r="G27" s="7" t="s">
        <v>208</v>
      </c>
      <c r="H27" s="7" t="s">
        <v>209</v>
      </c>
      <c r="I27" s="8" t="s">
        <v>89</v>
      </c>
      <c r="J27" s="7"/>
    </row>
    <row r="28" customFormat="false" ht="15" hidden="false" customHeight="true" outlineLevel="0" collapsed="false">
      <c r="A28" s="7" t="s">
        <v>210</v>
      </c>
      <c r="B28" s="7" t="s">
        <v>211</v>
      </c>
      <c r="C28" s="13" t="s">
        <v>130</v>
      </c>
      <c r="D28" s="13" t="s">
        <v>84</v>
      </c>
      <c r="E28" s="7" t="s">
        <v>85</v>
      </c>
      <c r="F28" s="7" t="s">
        <v>212</v>
      </c>
      <c r="G28" s="7" t="s">
        <v>135</v>
      </c>
      <c r="H28" s="7" t="s">
        <v>213</v>
      </c>
      <c r="I28" s="10" t="s">
        <v>137</v>
      </c>
      <c r="J28" s="7" t="s">
        <v>154</v>
      </c>
    </row>
    <row r="29" customFormat="false" ht="15" hidden="false" customHeight="true" outlineLevel="0" collapsed="false">
      <c r="A29" s="7" t="s">
        <v>214</v>
      </c>
      <c r="B29" s="7" t="s">
        <v>215</v>
      </c>
      <c r="C29" s="13" t="s">
        <v>130</v>
      </c>
      <c r="D29" s="13" t="s">
        <v>84</v>
      </c>
      <c r="E29" s="7" t="s">
        <v>85</v>
      </c>
      <c r="F29" s="7" t="s">
        <v>216</v>
      </c>
      <c r="G29" s="7" t="s">
        <v>135</v>
      </c>
      <c r="H29" s="7" t="s">
        <v>217</v>
      </c>
      <c r="I29" s="10" t="s">
        <v>137</v>
      </c>
      <c r="J29" s="7" t="s">
        <v>154</v>
      </c>
    </row>
    <row r="30" customFormat="false" ht="15" hidden="false" customHeight="true" outlineLevel="0" collapsed="false">
      <c r="A30" s="7" t="s">
        <v>218</v>
      </c>
      <c r="B30" s="7" t="s">
        <v>219</v>
      </c>
      <c r="C30" s="13" t="s">
        <v>162</v>
      </c>
      <c r="D30" s="13" t="s">
        <v>146</v>
      </c>
      <c r="E30" s="7" t="s">
        <v>85</v>
      </c>
      <c r="F30" s="7" t="s">
        <v>147</v>
      </c>
      <c r="G30" s="7" t="s">
        <v>135</v>
      </c>
      <c r="H30" s="7" t="s">
        <v>148</v>
      </c>
      <c r="I30" s="9" t="s">
        <v>149</v>
      </c>
      <c r="J30" s="7" t="s">
        <v>220</v>
      </c>
    </row>
    <row r="31" customFormat="false" ht="15" hidden="false" customHeight="true" outlineLevel="0" collapsed="false">
      <c r="A31" s="7" t="s">
        <v>221</v>
      </c>
      <c r="B31" s="7" t="s">
        <v>222</v>
      </c>
      <c r="C31" s="13" t="s">
        <v>83</v>
      </c>
      <c r="D31" s="13" t="s">
        <v>84</v>
      </c>
      <c r="E31" s="7" t="s">
        <v>85</v>
      </c>
      <c r="F31" s="7" t="s">
        <v>223</v>
      </c>
      <c r="G31" s="7" t="s">
        <v>224</v>
      </c>
      <c r="H31" s="7" t="s">
        <v>117</v>
      </c>
      <c r="I31" s="8" t="s">
        <v>89</v>
      </c>
      <c r="J31" s="7" t="s">
        <v>127</v>
      </c>
    </row>
    <row r="32" customFormat="false" ht="15" hidden="false" customHeight="true" outlineLevel="0" collapsed="false">
      <c r="A32" s="7" t="s">
        <v>225</v>
      </c>
      <c r="B32" s="7" t="s">
        <v>226</v>
      </c>
      <c r="C32" s="13" t="s">
        <v>83</v>
      </c>
      <c r="D32" s="13" t="s">
        <v>201</v>
      </c>
      <c r="E32" s="7" t="s">
        <v>85</v>
      </c>
      <c r="F32" s="7" t="s">
        <v>227</v>
      </c>
      <c r="G32" s="7" t="s">
        <v>228</v>
      </c>
      <c r="H32" s="7" t="s">
        <v>229</v>
      </c>
      <c r="I32" s="8" t="s">
        <v>89</v>
      </c>
      <c r="J32" s="7"/>
    </row>
    <row r="33" customFormat="false" ht="15" hidden="false" customHeight="true" outlineLevel="0" collapsed="false">
      <c r="A33" s="7" t="s">
        <v>230</v>
      </c>
      <c r="B33" s="7" t="s">
        <v>231</v>
      </c>
      <c r="C33" s="13" t="s">
        <v>83</v>
      </c>
      <c r="D33" s="13" t="s">
        <v>84</v>
      </c>
      <c r="E33" s="7" t="s">
        <v>85</v>
      </c>
      <c r="F33" s="7" t="s">
        <v>232</v>
      </c>
      <c r="G33" s="7" t="s">
        <v>233</v>
      </c>
      <c r="H33" s="7" t="s">
        <v>234</v>
      </c>
      <c r="I33" s="8" t="s">
        <v>89</v>
      </c>
      <c r="J33" s="7"/>
    </row>
    <row r="34" customFormat="false" ht="15" hidden="false" customHeight="true" outlineLevel="0" collapsed="false">
      <c r="A34" s="7" t="s">
        <v>235</v>
      </c>
      <c r="B34" s="7" t="s">
        <v>236</v>
      </c>
      <c r="C34" s="13" t="s">
        <v>83</v>
      </c>
      <c r="D34" s="13" t="s">
        <v>84</v>
      </c>
      <c r="E34" s="7" t="s">
        <v>85</v>
      </c>
      <c r="F34" s="7" t="s">
        <v>237</v>
      </c>
      <c r="G34" s="7" t="s">
        <v>238</v>
      </c>
      <c r="H34" s="7" t="s">
        <v>239</v>
      </c>
      <c r="I34" s="8" t="s">
        <v>89</v>
      </c>
      <c r="J34" s="7"/>
    </row>
    <row r="35" customFormat="false" ht="15" hidden="false" customHeight="true" outlineLevel="0" collapsed="false">
      <c r="A35" s="7" t="s">
        <v>240</v>
      </c>
      <c r="B35" s="7" t="s">
        <v>241</v>
      </c>
      <c r="C35" s="13" t="s">
        <v>83</v>
      </c>
      <c r="D35" s="13" t="s">
        <v>84</v>
      </c>
      <c r="E35" s="7" t="s">
        <v>85</v>
      </c>
      <c r="F35" s="7" t="s">
        <v>242</v>
      </c>
      <c r="G35" s="7" t="s">
        <v>243</v>
      </c>
      <c r="H35" s="7" t="s">
        <v>244</v>
      </c>
      <c r="I35" s="8" t="s">
        <v>89</v>
      </c>
      <c r="J35" s="7"/>
    </row>
    <row r="36" customFormat="false" ht="15" hidden="false" customHeight="true" outlineLevel="0" collapsed="false">
      <c r="A36" s="7" t="s">
        <v>245</v>
      </c>
      <c r="B36" s="7" t="s">
        <v>246</v>
      </c>
      <c r="C36" s="13" t="s">
        <v>83</v>
      </c>
      <c r="D36" s="13" t="s">
        <v>84</v>
      </c>
      <c r="E36" s="7" t="s">
        <v>85</v>
      </c>
      <c r="F36" s="7" t="s">
        <v>247</v>
      </c>
      <c r="G36" s="7" t="s">
        <v>248</v>
      </c>
      <c r="H36" s="7" t="s">
        <v>249</v>
      </c>
      <c r="I36" s="8" t="s">
        <v>89</v>
      </c>
      <c r="J36" s="7"/>
    </row>
    <row r="37" customFormat="false" ht="15" hidden="false" customHeight="true" outlineLevel="0" collapsed="false">
      <c r="A37" s="7" t="s">
        <v>250</v>
      </c>
      <c r="B37" s="7" t="s">
        <v>251</v>
      </c>
      <c r="C37" s="13" t="s">
        <v>130</v>
      </c>
      <c r="D37" s="13" t="s">
        <v>84</v>
      </c>
      <c r="E37" s="7" t="s">
        <v>85</v>
      </c>
      <c r="F37" s="7" t="s">
        <v>252</v>
      </c>
      <c r="G37" s="7" t="s">
        <v>253</v>
      </c>
      <c r="H37" s="7" t="s">
        <v>254</v>
      </c>
      <c r="I37" s="8" t="s">
        <v>89</v>
      </c>
      <c r="J37" s="7"/>
    </row>
    <row r="38" customFormat="false" ht="15" hidden="false" customHeight="true" outlineLevel="0" collapsed="false">
      <c r="A38" s="7" t="s">
        <v>255</v>
      </c>
      <c r="B38" s="7" t="s">
        <v>256</v>
      </c>
      <c r="C38" s="13" t="s">
        <v>130</v>
      </c>
      <c r="D38" s="13" t="s">
        <v>84</v>
      </c>
      <c r="E38" s="7" t="s">
        <v>85</v>
      </c>
      <c r="F38" s="7" t="s">
        <v>257</v>
      </c>
      <c r="G38" s="7" t="s">
        <v>135</v>
      </c>
      <c r="H38" s="7" t="s">
        <v>258</v>
      </c>
      <c r="I38" s="10" t="s">
        <v>137</v>
      </c>
      <c r="J38" s="7" t="s">
        <v>154</v>
      </c>
    </row>
    <row r="39" customFormat="false" ht="15" hidden="false" customHeight="true" outlineLevel="0" collapsed="false">
      <c r="A39" s="7" t="s">
        <v>259</v>
      </c>
      <c r="B39" s="7" t="s">
        <v>260</v>
      </c>
      <c r="C39" s="13" t="s">
        <v>83</v>
      </c>
      <c r="D39" s="13" t="s">
        <v>84</v>
      </c>
      <c r="E39" s="7" t="s">
        <v>85</v>
      </c>
      <c r="F39" s="7" t="s">
        <v>261</v>
      </c>
      <c r="G39" s="7" t="s">
        <v>262</v>
      </c>
      <c r="H39" s="7" t="s">
        <v>263</v>
      </c>
      <c r="I39" s="8" t="s">
        <v>89</v>
      </c>
      <c r="J39" s="7" t="s">
        <v>264</v>
      </c>
    </row>
    <row r="40" customFormat="false" ht="15" hidden="false" customHeight="true" outlineLevel="0" collapsed="false">
      <c r="A40" s="7" t="s">
        <v>265</v>
      </c>
      <c r="B40" s="7" t="s">
        <v>266</v>
      </c>
      <c r="C40" s="13" t="s">
        <v>83</v>
      </c>
      <c r="D40" s="13" t="s">
        <v>84</v>
      </c>
      <c r="E40" s="7" t="s">
        <v>85</v>
      </c>
      <c r="F40" s="7" t="s">
        <v>267</v>
      </c>
      <c r="G40" s="7" t="s">
        <v>268</v>
      </c>
      <c r="H40" s="7" t="s">
        <v>269</v>
      </c>
      <c r="I40" s="8" t="s">
        <v>89</v>
      </c>
      <c r="J40" s="7"/>
    </row>
    <row r="41" customFormat="false" ht="15" hidden="false" customHeight="true" outlineLevel="0" collapsed="false">
      <c r="A41" s="7" t="s">
        <v>270</v>
      </c>
      <c r="B41" s="7" t="s">
        <v>271</v>
      </c>
      <c r="C41" s="13" t="s">
        <v>83</v>
      </c>
      <c r="D41" s="13" t="s">
        <v>84</v>
      </c>
      <c r="E41" s="7" t="s">
        <v>85</v>
      </c>
      <c r="F41" s="7" t="s">
        <v>272</v>
      </c>
      <c r="G41" s="7" t="s">
        <v>273</v>
      </c>
      <c r="H41" s="7" t="s">
        <v>274</v>
      </c>
      <c r="I41" s="8" t="s">
        <v>89</v>
      </c>
      <c r="J41" s="7"/>
    </row>
    <row r="42" customFormat="false" ht="15" hidden="false" customHeight="true" outlineLevel="0" collapsed="false">
      <c r="A42" s="7" t="s">
        <v>275</v>
      </c>
      <c r="B42" s="7" t="s">
        <v>276</v>
      </c>
      <c r="C42" s="13" t="s">
        <v>83</v>
      </c>
      <c r="D42" s="13" t="s">
        <v>84</v>
      </c>
      <c r="E42" s="7" t="s">
        <v>85</v>
      </c>
      <c r="F42" s="7" t="s">
        <v>277</v>
      </c>
      <c r="G42" s="7" t="s">
        <v>273</v>
      </c>
      <c r="H42" s="7" t="s">
        <v>278</v>
      </c>
      <c r="I42" s="8" t="s">
        <v>89</v>
      </c>
      <c r="J42" s="7"/>
    </row>
    <row r="43" customFormat="false" ht="15" hidden="false" customHeight="true" outlineLevel="0" collapsed="false">
      <c r="A43" s="7" t="s">
        <v>279</v>
      </c>
      <c r="B43" s="7" t="s">
        <v>280</v>
      </c>
      <c r="C43" s="13" t="s">
        <v>162</v>
      </c>
      <c r="D43" s="13" t="s">
        <v>281</v>
      </c>
      <c r="E43" s="7" t="s">
        <v>85</v>
      </c>
      <c r="F43" s="7" t="s">
        <v>282</v>
      </c>
      <c r="G43" s="7" t="s">
        <v>283</v>
      </c>
      <c r="H43" s="7" t="s">
        <v>284</v>
      </c>
      <c r="I43" s="10" t="s">
        <v>137</v>
      </c>
      <c r="J43" s="7" t="s">
        <v>285</v>
      </c>
    </row>
    <row r="44" customFormat="false" ht="15" hidden="false" customHeight="true" outlineLevel="0" collapsed="false">
      <c r="A44" s="7" t="s">
        <v>286</v>
      </c>
      <c r="B44" s="7" t="s">
        <v>287</v>
      </c>
      <c r="C44" s="13" t="s">
        <v>130</v>
      </c>
      <c r="D44" s="13" t="s">
        <v>146</v>
      </c>
      <c r="E44" s="7" t="s">
        <v>85</v>
      </c>
      <c r="F44" s="7" t="s">
        <v>288</v>
      </c>
      <c r="G44" s="7" t="s">
        <v>135</v>
      </c>
      <c r="H44" s="7" t="s">
        <v>289</v>
      </c>
      <c r="I44" s="10" t="s">
        <v>137</v>
      </c>
      <c r="J44" s="7" t="s">
        <v>290</v>
      </c>
    </row>
    <row r="45" customFormat="false" ht="15" hidden="false" customHeight="true" outlineLevel="0" collapsed="false">
      <c r="A45" s="7" t="s">
        <v>291</v>
      </c>
      <c r="B45" s="7" t="s">
        <v>292</v>
      </c>
      <c r="C45" s="13" t="s">
        <v>130</v>
      </c>
      <c r="D45" s="13" t="s">
        <v>146</v>
      </c>
      <c r="E45" s="7" t="s">
        <v>85</v>
      </c>
      <c r="F45" s="7" t="s">
        <v>293</v>
      </c>
      <c r="G45" s="7" t="s">
        <v>135</v>
      </c>
      <c r="H45" s="7" t="s">
        <v>294</v>
      </c>
      <c r="I45" s="10" t="s">
        <v>137</v>
      </c>
      <c r="J45" s="7" t="s">
        <v>295</v>
      </c>
    </row>
    <row r="46" customFormat="false" ht="15" hidden="false" customHeight="true" outlineLevel="0" collapsed="false">
      <c r="A46" s="7" t="s">
        <v>296</v>
      </c>
      <c r="B46" s="7" t="s">
        <v>297</v>
      </c>
      <c r="C46" s="13" t="s">
        <v>130</v>
      </c>
      <c r="D46" s="13" t="s">
        <v>146</v>
      </c>
      <c r="E46" s="7" t="s">
        <v>85</v>
      </c>
      <c r="F46" s="7" t="s">
        <v>298</v>
      </c>
      <c r="G46" s="7" t="s">
        <v>135</v>
      </c>
      <c r="H46" s="7" t="s">
        <v>299</v>
      </c>
      <c r="I46" s="10" t="s">
        <v>137</v>
      </c>
      <c r="J46" s="7" t="s">
        <v>300</v>
      </c>
    </row>
    <row r="47" customFormat="false" ht="15" hidden="false" customHeight="true" outlineLevel="0" collapsed="false">
      <c r="A47" s="7" t="s">
        <v>301</v>
      </c>
      <c r="B47" s="7" t="s">
        <v>302</v>
      </c>
      <c r="C47" s="13" t="s">
        <v>130</v>
      </c>
      <c r="D47" s="13" t="s">
        <v>84</v>
      </c>
      <c r="E47" s="7" t="s">
        <v>85</v>
      </c>
      <c r="F47" s="7" t="s">
        <v>303</v>
      </c>
      <c r="G47" s="7" t="s">
        <v>304</v>
      </c>
      <c r="H47" s="7" t="s">
        <v>305</v>
      </c>
      <c r="I47" s="8" t="s">
        <v>89</v>
      </c>
      <c r="J47" s="7"/>
    </row>
    <row r="48" customFormat="false" ht="15" hidden="false" customHeight="true" outlineLevel="0" collapsed="false">
      <c r="A48" s="7" t="s">
        <v>306</v>
      </c>
      <c r="B48" s="7" t="s">
        <v>307</v>
      </c>
      <c r="C48" s="13" t="s">
        <v>83</v>
      </c>
      <c r="D48" s="13" t="s">
        <v>84</v>
      </c>
      <c r="E48" s="7" t="s">
        <v>85</v>
      </c>
      <c r="F48" s="7" t="s">
        <v>308</v>
      </c>
      <c r="G48" s="7" t="s">
        <v>309</v>
      </c>
      <c r="H48" s="7" t="s">
        <v>310</v>
      </c>
      <c r="I48" s="8" t="s">
        <v>89</v>
      </c>
      <c r="J48" s="7"/>
    </row>
    <row r="49" customFormat="false" ht="15" hidden="false" customHeight="true" outlineLevel="0" collapsed="false">
      <c r="A49" s="7" t="s">
        <v>311</v>
      </c>
      <c r="B49" s="7" t="s">
        <v>312</v>
      </c>
      <c r="C49" s="13" t="s">
        <v>130</v>
      </c>
      <c r="D49" s="13" t="s">
        <v>84</v>
      </c>
      <c r="E49" s="7" t="s">
        <v>85</v>
      </c>
      <c r="F49" s="7" t="s">
        <v>141</v>
      </c>
      <c r="G49" s="7" t="s">
        <v>313</v>
      </c>
      <c r="H49" s="7" t="s">
        <v>314</v>
      </c>
      <c r="I49" s="8" t="s">
        <v>89</v>
      </c>
      <c r="J49" s="7" t="s">
        <v>99</v>
      </c>
    </row>
    <row r="50" customFormat="false" ht="15" hidden="false" customHeight="true" outlineLevel="0" collapsed="false">
      <c r="A50" s="7" t="s">
        <v>315</v>
      </c>
      <c r="B50" s="7" t="s">
        <v>316</v>
      </c>
      <c r="C50" s="13" t="s">
        <v>130</v>
      </c>
      <c r="D50" s="13" t="s">
        <v>84</v>
      </c>
      <c r="E50" s="7" t="s">
        <v>85</v>
      </c>
      <c r="F50" s="7" t="s">
        <v>317</v>
      </c>
      <c r="G50" s="7" t="s">
        <v>135</v>
      </c>
      <c r="H50" s="7" t="s">
        <v>318</v>
      </c>
      <c r="I50" s="10" t="s">
        <v>137</v>
      </c>
      <c r="J50" s="7" t="s">
        <v>154</v>
      </c>
    </row>
    <row r="51" customFormat="false" ht="15" hidden="false" customHeight="true" outlineLevel="0" collapsed="false">
      <c r="A51" s="7" t="s">
        <v>319</v>
      </c>
      <c r="B51" s="7" t="s">
        <v>320</v>
      </c>
      <c r="C51" s="13" t="s">
        <v>162</v>
      </c>
      <c r="D51" s="13" t="s">
        <v>146</v>
      </c>
      <c r="E51" s="7" t="s">
        <v>85</v>
      </c>
      <c r="F51" s="7" t="s">
        <v>147</v>
      </c>
      <c r="G51" s="7" t="s">
        <v>135</v>
      </c>
      <c r="H51" s="7" t="s">
        <v>148</v>
      </c>
      <c r="I51" s="8" t="s">
        <v>89</v>
      </c>
      <c r="J51" s="7" t="s">
        <v>321</v>
      </c>
    </row>
    <row r="52" customFormat="false" ht="23.25" hidden="false" customHeight="true" outlineLevel="0" collapsed="false">
      <c r="A52" s="7" t="s">
        <v>322</v>
      </c>
      <c r="B52" s="7" t="s">
        <v>323</v>
      </c>
      <c r="C52" s="13" t="s">
        <v>83</v>
      </c>
      <c r="D52" s="13" t="s">
        <v>84</v>
      </c>
      <c r="E52" s="7" t="s">
        <v>85</v>
      </c>
      <c r="F52" s="7" t="s">
        <v>324</v>
      </c>
      <c r="G52" s="7" t="s">
        <v>325</v>
      </c>
      <c r="H52" s="7" t="s">
        <v>326</v>
      </c>
      <c r="I52" s="8" t="s">
        <v>89</v>
      </c>
      <c r="J52" s="7" t="s">
        <v>327</v>
      </c>
    </row>
    <row r="53" customFormat="false" ht="15" hidden="false" customHeight="true" outlineLevel="0" collapsed="false">
      <c r="A53" s="7" t="s">
        <v>328</v>
      </c>
      <c r="B53" s="7" t="s">
        <v>329</v>
      </c>
      <c r="C53" s="13" t="s">
        <v>83</v>
      </c>
      <c r="D53" s="13" t="s">
        <v>146</v>
      </c>
      <c r="E53" s="7" t="s">
        <v>85</v>
      </c>
      <c r="F53" s="7" t="s">
        <v>330</v>
      </c>
      <c r="G53" s="7" t="s">
        <v>331</v>
      </c>
      <c r="H53" s="7" t="s">
        <v>332</v>
      </c>
      <c r="I53" s="8" t="s">
        <v>89</v>
      </c>
      <c r="J53" s="7"/>
    </row>
    <row r="54" customFormat="false" ht="15" hidden="false" customHeight="true" outlineLevel="0" collapsed="false">
      <c r="A54" s="7" t="s">
        <v>333</v>
      </c>
      <c r="B54" s="7" t="s">
        <v>334</v>
      </c>
      <c r="C54" s="13" t="s">
        <v>83</v>
      </c>
      <c r="D54" s="13" t="s">
        <v>146</v>
      </c>
      <c r="E54" s="7" t="s">
        <v>85</v>
      </c>
      <c r="F54" s="7" t="s">
        <v>335</v>
      </c>
      <c r="G54" s="7" t="s">
        <v>336</v>
      </c>
      <c r="H54" s="7" t="s">
        <v>337</v>
      </c>
      <c r="I54" s="8" t="s">
        <v>89</v>
      </c>
      <c r="J54" s="7"/>
    </row>
    <row r="55" customFormat="false" ht="15" hidden="false" customHeight="true" outlineLevel="0" collapsed="false">
      <c r="A55" s="7" t="s">
        <v>338</v>
      </c>
      <c r="B55" s="7" t="s">
        <v>339</v>
      </c>
      <c r="C55" s="13" t="s">
        <v>83</v>
      </c>
      <c r="D55" s="13" t="s">
        <v>146</v>
      </c>
      <c r="E55" s="7" t="s">
        <v>85</v>
      </c>
      <c r="F55" s="7" t="s">
        <v>340</v>
      </c>
      <c r="G55" s="7" t="s">
        <v>341</v>
      </c>
      <c r="H55" s="7" t="s">
        <v>342</v>
      </c>
      <c r="I55" s="8" t="s">
        <v>89</v>
      </c>
      <c r="J55" s="7"/>
    </row>
    <row r="56" customFormat="false" ht="15" hidden="false" customHeight="true" outlineLevel="0" collapsed="false">
      <c r="A56" s="7" t="s">
        <v>343</v>
      </c>
      <c r="B56" s="7" t="s">
        <v>344</v>
      </c>
      <c r="C56" s="13" t="s">
        <v>83</v>
      </c>
      <c r="D56" s="13" t="s">
        <v>146</v>
      </c>
      <c r="E56" s="7" t="s">
        <v>85</v>
      </c>
      <c r="F56" s="7" t="s">
        <v>345</v>
      </c>
      <c r="G56" s="7" t="s">
        <v>346</v>
      </c>
      <c r="H56" s="7" t="s">
        <v>347</v>
      </c>
      <c r="I56" s="8" t="s">
        <v>89</v>
      </c>
      <c r="J56" s="7"/>
    </row>
    <row r="57" customFormat="false" ht="15" hidden="false" customHeight="true" outlineLevel="0" collapsed="false">
      <c r="A57" s="7" t="s">
        <v>348</v>
      </c>
      <c r="B57" s="7" t="s">
        <v>349</v>
      </c>
      <c r="C57" s="13" t="s">
        <v>130</v>
      </c>
      <c r="D57" s="13" t="s">
        <v>146</v>
      </c>
      <c r="E57" s="7" t="s">
        <v>85</v>
      </c>
      <c r="F57" s="7" t="s">
        <v>350</v>
      </c>
      <c r="G57" s="7" t="s">
        <v>351</v>
      </c>
      <c r="H57" s="7" t="s">
        <v>352</v>
      </c>
      <c r="I57" s="8" t="s">
        <v>89</v>
      </c>
      <c r="J57" s="7"/>
    </row>
    <row r="58" customFormat="false" ht="15" hidden="false" customHeight="true" outlineLevel="0" collapsed="false">
      <c r="A58" s="7" t="s">
        <v>353</v>
      </c>
      <c r="B58" s="7" t="s">
        <v>354</v>
      </c>
      <c r="C58" s="13" t="s">
        <v>130</v>
      </c>
      <c r="D58" s="13" t="s">
        <v>146</v>
      </c>
      <c r="E58" s="7" t="s">
        <v>85</v>
      </c>
      <c r="F58" s="7" t="s">
        <v>355</v>
      </c>
      <c r="G58" s="7" t="s">
        <v>356</v>
      </c>
      <c r="H58" s="7" t="s">
        <v>357</v>
      </c>
      <c r="I58" s="8" t="s">
        <v>89</v>
      </c>
      <c r="J58" s="7"/>
    </row>
    <row r="59" customFormat="false" ht="15" hidden="false" customHeight="true" outlineLevel="0" collapsed="false">
      <c r="A59" s="7" t="s">
        <v>358</v>
      </c>
      <c r="B59" s="7" t="s">
        <v>359</v>
      </c>
      <c r="C59" s="13" t="s">
        <v>130</v>
      </c>
      <c r="D59" s="13" t="s">
        <v>281</v>
      </c>
      <c r="E59" s="7" t="s">
        <v>85</v>
      </c>
      <c r="F59" s="7" t="s">
        <v>360</v>
      </c>
      <c r="G59" s="7" t="s">
        <v>361</v>
      </c>
      <c r="H59" s="7" t="s">
        <v>362</v>
      </c>
      <c r="I59" s="8" t="s">
        <v>89</v>
      </c>
      <c r="J59" s="7" t="s">
        <v>363</v>
      </c>
    </row>
    <row r="60" customFormat="false" ht="15" hidden="false" customHeight="true" outlineLevel="0" collapsed="false">
      <c r="A60" s="7" t="s">
        <v>364</v>
      </c>
      <c r="B60" s="7" t="s">
        <v>365</v>
      </c>
      <c r="C60" s="13" t="s">
        <v>162</v>
      </c>
      <c r="D60" s="13" t="s">
        <v>281</v>
      </c>
      <c r="E60" s="7" t="s">
        <v>85</v>
      </c>
      <c r="F60" s="7" t="s">
        <v>288</v>
      </c>
      <c r="G60" s="7" t="s">
        <v>135</v>
      </c>
      <c r="H60" s="7" t="s">
        <v>366</v>
      </c>
      <c r="I60" s="8" t="s">
        <v>89</v>
      </c>
      <c r="J60" s="7" t="s">
        <v>367</v>
      </c>
    </row>
    <row r="61" customFormat="false" ht="15" hidden="false" customHeight="true" outlineLevel="0" collapsed="false">
      <c r="A61" s="7" t="s">
        <v>368</v>
      </c>
      <c r="B61" s="7" t="s">
        <v>369</v>
      </c>
      <c r="C61" s="13" t="s">
        <v>83</v>
      </c>
      <c r="D61" s="13" t="s">
        <v>370</v>
      </c>
      <c r="E61" s="7" t="s">
        <v>85</v>
      </c>
      <c r="F61" s="7" t="s">
        <v>371</v>
      </c>
      <c r="G61" s="7" t="s">
        <v>372</v>
      </c>
      <c r="H61" s="7" t="s">
        <v>373</v>
      </c>
      <c r="I61" s="8" t="s">
        <v>89</v>
      </c>
      <c r="J61" s="7" t="s">
        <v>374</v>
      </c>
    </row>
    <row r="62" customFormat="false" ht="23.25" hidden="false" customHeight="true" outlineLevel="0" collapsed="false">
      <c r="A62" s="7" t="s">
        <v>375</v>
      </c>
      <c r="B62" s="7" t="s">
        <v>376</v>
      </c>
      <c r="C62" s="13" t="s">
        <v>130</v>
      </c>
      <c r="D62" s="13" t="s">
        <v>377</v>
      </c>
      <c r="E62" s="7" t="s">
        <v>85</v>
      </c>
      <c r="F62" s="7" t="s">
        <v>378</v>
      </c>
      <c r="G62" s="7" t="s">
        <v>379</v>
      </c>
      <c r="H62" s="7" t="s">
        <v>380</v>
      </c>
      <c r="I62" s="10" t="s">
        <v>137</v>
      </c>
      <c r="J62" s="7" t="s">
        <v>381</v>
      </c>
    </row>
    <row r="63" customFormat="false" ht="15" hidden="false" customHeight="true" outlineLevel="0" collapsed="false">
      <c r="A63" s="7" t="s">
        <v>382</v>
      </c>
      <c r="B63" s="7" t="s">
        <v>383</v>
      </c>
      <c r="C63" s="13" t="s">
        <v>130</v>
      </c>
      <c r="D63" s="13" t="s">
        <v>84</v>
      </c>
      <c r="E63" s="7" t="s">
        <v>85</v>
      </c>
      <c r="F63" s="7" t="s">
        <v>384</v>
      </c>
      <c r="G63" s="7" t="s">
        <v>135</v>
      </c>
      <c r="H63" s="7" t="s">
        <v>385</v>
      </c>
      <c r="I63" s="10" t="s">
        <v>137</v>
      </c>
      <c r="J63" s="7" t="s">
        <v>386</v>
      </c>
    </row>
    <row r="64" customFormat="false" ht="23.25" hidden="false" customHeight="true" outlineLevel="0" collapsed="false">
      <c r="A64" s="7" t="s">
        <v>387</v>
      </c>
      <c r="B64" s="7" t="s">
        <v>388</v>
      </c>
      <c r="C64" s="13" t="s">
        <v>130</v>
      </c>
      <c r="D64" s="13" t="s">
        <v>146</v>
      </c>
      <c r="E64" s="7" t="s">
        <v>85</v>
      </c>
      <c r="F64" s="7" t="s">
        <v>389</v>
      </c>
      <c r="G64" s="7" t="s">
        <v>390</v>
      </c>
      <c r="H64" s="7" t="s">
        <v>148</v>
      </c>
      <c r="I64" s="9" t="s">
        <v>149</v>
      </c>
      <c r="J64" s="7" t="s">
        <v>391</v>
      </c>
    </row>
    <row r="65" customFormat="false" ht="15" hidden="false" customHeight="true" outlineLevel="0" collapsed="false">
      <c r="A65" s="7" t="s">
        <v>392</v>
      </c>
      <c r="B65" s="7" t="s">
        <v>393</v>
      </c>
      <c r="C65" s="13" t="s">
        <v>130</v>
      </c>
      <c r="D65" s="13" t="s">
        <v>146</v>
      </c>
      <c r="E65" s="7" t="s">
        <v>85</v>
      </c>
      <c r="F65" s="7" t="s">
        <v>389</v>
      </c>
      <c r="G65" s="7" t="s">
        <v>394</v>
      </c>
      <c r="H65" s="7" t="s">
        <v>148</v>
      </c>
      <c r="I65" s="9" t="s">
        <v>149</v>
      </c>
      <c r="J65" s="7" t="s">
        <v>31</v>
      </c>
    </row>
    <row r="66" customFormat="false" ht="15" hidden="false" customHeight="true" outlineLevel="0" collapsed="false">
      <c r="A66" s="7" t="s">
        <v>395</v>
      </c>
      <c r="B66" s="7" t="s">
        <v>396</v>
      </c>
      <c r="C66" s="13" t="s">
        <v>162</v>
      </c>
      <c r="D66" s="13" t="s">
        <v>146</v>
      </c>
      <c r="E66" s="7" t="s">
        <v>85</v>
      </c>
      <c r="F66" s="7" t="s">
        <v>397</v>
      </c>
      <c r="G66" s="7" t="s">
        <v>135</v>
      </c>
      <c r="H66" s="7" t="s">
        <v>398</v>
      </c>
      <c r="I66" s="10" t="s">
        <v>137</v>
      </c>
      <c r="J66" s="7" t="s">
        <v>31</v>
      </c>
    </row>
    <row r="67" customFormat="false" ht="15" hidden="false" customHeight="true" outlineLevel="0" collapsed="false">
      <c r="A67" s="7" t="s">
        <v>399</v>
      </c>
      <c r="B67" s="7" t="s">
        <v>400</v>
      </c>
      <c r="C67" s="13" t="s">
        <v>130</v>
      </c>
      <c r="D67" s="13" t="s">
        <v>146</v>
      </c>
      <c r="E67" s="7" t="s">
        <v>85</v>
      </c>
      <c r="F67" s="7" t="s">
        <v>401</v>
      </c>
      <c r="G67" s="7" t="s">
        <v>402</v>
      </c>
      <c r="H67" s="7" t="s">
        <v>403</v>
      </c>
      <c r="I67" s="10" t="s">
        <v>137</v>
      </c>
      <c r="J67" s="7" t="s">
        <v>404</v>
      </c>
    </row>
    <row r="68" customFormat="false" ht="15" hidden="false" customHeight="true" outlineLevel="0" collapsed="false">
      <c r="A68" s="7" t="s">
        <v>405</v>
      </c>
      <c r="B68" s="7" t="s">
        <v>406</v>
      </c>
      <c r="C68" s="13" t="s">
        <v>162</v>
      </c>
      <c r="D68" s="13" t="s">
        <v>281</v>
      </c>
      <c r="E68" s="7" t="s">
        <v>85</v>
      </c>
      <c r="F68" s="7" t="s">
        <v>407</v>
      </c>
      <c r="G68" s="7" t="s">
        <v>135</v>
      </c>
      <c r="H68" s="7" t="s">
        <v>408</v>
      </c>
      <c r="I68" s="10" t="s">
        <v>137</v>
      </c>
      <c r="J68" s="7" t="s">
        <v>409</v>
      </c>
    </row>
    <row r="69" customFormat="false" ht="15" hidden="false" customHeight="true" outlineLevel="0" collapsed="false">
      <c r="A69" s="7" t="s">
        <v>410</v>
      </c>
      <c r="B69" s="7" t="s">
        <v>411</v>
      </c>
      <c r="C69" s="13" t="s">
        <v>83</v>
      </c>
      <c r="D69" s="13" t="s">
        <v>84</v>
      </c>
      <c r="E69" s="7" t="s">
        <v>85</v>
      </c>
      <c r="F69" s="7" t="s">
        <v>412</v>
      </c>
      <c r="G69" s="7" t="s">
        <v>413</v>
      </c>
      <c r="H69" s="7" t="s">
        <v>414</v>
      </c>
      <c r="I69" s="8" t="s">
        <v>89</v>
      </c>
      <c r="J69" s="7"/>
    </row>
    <row r="70" customFormat="false" ht="15" hidden="false" customHeight="true" outlineLevel="0" collapsed="false">
      <c r="A70" s="7" t="s">
        <v>415</v>
      </c>
      <c r="B70" s="7" t="s">
        <v>416</v>
      </c>
      <c r="C70" s="13" t="s">
        <v>83</v>
      </c>
      <c r="D70" s="13" t="s">
        <v>201</v>
      </c>
      <c r="E70" s="7" t="s">
        <v>85</v>
      </c>
      <c r="F70" s="7" t="s">
        <v>417</v>
      </c>
      <c r="G70" s="7" t="s">
        <v>418</v>
      </c>
      <c r="H70" s="7" t="s">
        <v>419</v>
      </c>
      <c r="I70" s="8" t="s">
        <v>89</v>
      </c>
      <c r="J70" s="7"/>
    </row>
    <row r="71" customFormat="false" ht="15" hidden="false" customHeight="true" outlineLevel="0" collapsed="false">
      <c r="A71" s="7" t="s">
        <v>420</v>
      </c>
      <c r="B71" s="7" t="s">
        <v>421</v>
      </c>
      <c r="C71" s="13" t="s">
        <v>130</v>
      </c>
      <c r="D71" s="13" t="s">
        <v>146</v>
      </c>
      <c r="E71" s="7" t="s">
        <v>85</v>
      </c>
      <c r="F71" s="7" t="s">
        <v>422</v>
      </c>
      <c r="G71" s="7" t="s">
        <v>423</v>
      </c>
      <c r="H71" s="7" t="s">
        <v>424</v>
      </c>
      <c r="I71" s="8" t="s">
        <v>89</v>
      </c>
      <c r="J71" s="7"/>
    </row>
    <row r="72" customFormat="false" ht="15" hidden="false" customHeight="true" outlineLevel="0" collapsed="false">
      <c r="A72" s="7" t="s">
        <v>425</v>
      </c>
      <c r="B72" s="7" t="s">
        <v>426</v>
      </c>
      <c r="C72" s="13" t="s">
        <v>130</v>
      </c>
      <c r="D72" s="13" t="s">
        <v>146</v>
      </c>
      <c r="E72" s="7" t="s">
        <v>85</v>
      </c>
      <c r="F72" s="7" t="s">
        <v>427</v>
      </c>
      <c r="G72" s="7" t="s">
        <v>428</v>
      </c>
      <c r="H72" s="7" t="s">
        <v>429</v>
      </c>
      <c r="I72" s="8" t="s">
        <v>89</v>
      </c>
      <c r="J72" s="7" t="s">
        <v>430</v>
      </c>
    </row>
    <row r="73" customFormat="false" ht="15" hidden="false" customHeight="true" outlineLevel="0" collapsed="false">
      <c r="A73" s="7" t="s">
        <v>431</v>
      </c>
      <c r="B73" s="7" t="s">
        <v>432</v>
      </c>
      <c r="C73" s="13" t="s">
        <v>130</v>
      </c>
      <c r="D73" s="13" t="s">
        <v>84</v>
      </c>
      <c r="E73" s="7" t="s">
        <v>85</v>
      </c>
      <c r="F73" s="7" t="s">
        <v>433</v>
      </c>
      <c r="G73" s="7" t="s">
        <v>434</v>
      </c>
      <c r="H73" s="7" t="s">
        <v>435</v>
      </c>
      <c r="I73" s="8" t="s">
        <v>89</v>
      </c>
      <c r="J73" s="7"/>
    </row>
    <row r="74" customFormat="false" ht="15" hidden="false" customHeight="true" outlineLevel="0" collapsed="false">
      <c r="A74" s="7" t="s">
        <v>436</v>
      </c>
      <c r="B74" s="7" t="s">
        <v>437</v>
      </c>
      <c r="C74" s="13" t="s">
        <v>162</v>
      </c>
      <c r="D74" s="13" t="s">
        <v>281</v>
      </c>
      <c r="E74" s="7" t="s">
        <v>85</v>
      </c>
      <c r="F74" s="7" t="s">
        <v>438</v>
      </c>
      <c r="G74" s="7" t="s">
        <v>135</v>
      </c>
      <c r="H74" s="7" t="s">
        <v>148</v>
      </c>
      <c r="I74" s="10" t="s">
        <v>137</v>
      </c>
      <c r="J74" s="7" t="s">
        <v>409</v>
      </c>
    </row>
    <row r="75" customFormat="false" ht="23.25" hidden="false" customHeight="true" outlineLevel="0" collapsed="false">
      <c r="A75" s="7" t="s">
        <v>439</v>
      </c>
      <c r="B75" s="7" t="s">
        <v>440</v>
      </c>
      <c r="C75" s="13" t="s">
        <v>130</v>
      </c>
      <c r="D75" s="13" t="s">
        <v>146</v>
      </c>
      <c r="E75" s="7" t="s">
        <v>85</v>
      </c>
      <c r="F75" s="7" t="s">
        <v>441</v>
      </c>
      <c r="G75" s="7" t="s">
        <v>442</v>
      </c>
      <c r="H75" s="7" t="s">
        <v>443</v>
      </c>
      <c r="I75" s="10" t="s">
        <v>137</v>
      </c>
      <c r="J75" s="7" t="s">
        <v>444</v>
      </c>
    </row>
    <row r="76" customFormat="false" ht="15" hidden="false" customHeight="true" outlineLevel="0" collapsed="false">
      <c r="A76" s="7" t="s">
        <v>445</v>
      </c>
      <c r="B76" s="7" t="s">
        <v>446</v>
      </c>
      <c r="C76" s="13" t="s">
        <v>162</v>
      </c>
      <c r="D76" s="13" t="s">
        <v>281</v>
      </c>
      <c r="E76" s="7" t="s">
        <v>85</v>
      </c>
      <c r="F76" s="7" t="s">
        <v>447</v>
      </c>
      <c r="G76" s="7" t="s">
        <v>448</v>
      </c>
      <c r="H76" s="7" t="s">
        <v>449</v>
      </c>
      <c r="I76" s="8" t="s">
        <v>89</v>
      </c>
      <c r="J76" s="7"/>
    </row>
    <row r="77" customFormat="false" ht="15" hidden="false" customHeight="true" outlineLevel="0" collapsed="false">
      <c r="A77" s="7" t="s">
        <v>450</v>
      </c>
      <c r="B77" s="7" t="s">
        <v>451</v>
      </c>
      <c r="C77" s="13" t="s">
        <v>162</v>
      </c>
      <c r="D77" s="13" t="s">
        <v>281</v>
      </c>
      <c r="E77" s="7" t="s">
        <v>85</v>
      </c>
      <c r="F77" s="7" t="s">
        <v>452</v>
      </c>
      <c r="G77" s="7" t="s">
        <v>453</v>
      </c>
      <c r="H77" s="7" t="s">
        <v>454</v>
      </c>
      <c r="I77" s="8" t="s">
        <v>89</v>
      </c>
      <c r="J77" s="7"/>
    </row>
    <row r="78" customFormat="false" ht="15" hidden="false" customHeight="true" outlineLevel="0" collapsed="false">
      <c r="A78" s="7" t="s">
        <v>455</v>
      </c>
      <c r="B78" s="7" t="s">
        <v>456</v>
      </c>
      <c r="C78" s="13" t="s">
        <v>162</v>
      </c>
      <c r="D78" s="13" t="s">
        <v>281</v>
      </c>
      <c r="E78" s="7" t="s">
        <v>85</v>
      </c>
      <c r="F78" s="7" t="s">
        <v>457</v>
      </c>
      <c r="G78" s="7" t="s">
        <v>458</v>
      </c>
      <c r="H78" s="7" t="s">
        <v>459</v>
      </c>
      <c r="I78" s="8" t="s">
        <v>89</v>
      </c>
      <c r="J78" s="7"/>
    </row>
    <row r="79" customFormat="false" ht="15" hidden="false" customHeight="true" outlineLevel="0" collapsed="false">
      <c r="A79" s="7" t="s">
        <v>460</v>
      </c>
      <c r="B79" s="7" t="s">
        <v>461</v>
      </c>
      <c r="C79" s="13" t="s">
        <v>130</v>
      </c>
      <c r="D79" s="13" t="s">
        <v>146</v>
      </c>
      <c r="E79" s="7" t="s">
        <v>85</v>
      </c>
      <c r="F79" s="7" t="s">
        <v>462</v>
      </c>
      <c r="G79" s="7" t="s">
        <v>135</v>
      </c>
      <c r="H79" s="7" t="s">
        <v>463</v>
      </c>
      <c r="I79" s="10" t="s">
        <v>137</v>
      </c>
      <c r="J79" s="7" t="s">
        <v>464</v>
      </c>
    </row>
    <row r="80" customFormat="false" ht="15" hidden="false" customHeight="true" outlineLevel="0" collapsed="false">
      <c r="A80" s="7" t="s">
        <v>465</v>
      </c>
      <c r="B80" s="7" t="s">
        <v>466</v>
      </c>
      <c r="C80" s="13" t="s">
        <v>130</v>
      </c>
      <c r="D80" s="13" t="s">
        <v>201</v>
      </c>
      <c r="E80" s="7" t="s">
        <v>85</v>
      </c>
      <c r="F80" s="7" t="s">
        <v>467</v>
      </c>
      <c r="G80" s="7" t="s">
        <v>468</v>
      </c>
      <c r="H80" s="7" t="s">
        <v>469</v>
      </c>
      <c r="I80" s="10" t="s">
        <v>137</v>
      </c>
      <c r="J80" s="7" t="s">
        <v>470</v>
      </c>
    </row>
    <row r="81" customFormat="false" ht="15" hidden="false" customHeight="true" outlineLevel="0" collapsed="false">
      <c r="A81" s="7" t="s">
        <v>471</v>
      </c>
      <c r="B81" s="7" t="s">
        <v>472</v>
      </c>
      <c r="C81" s="13" t="s">
        <v>130</v>
      </c>
      <c r="D81" s="13" t="s">
        <v>146</v>
      </c>
      <c r="E81" s="7" t="s">
        <v>85</v>
      </c>
      <c r="F81" s="7" t="s">
        <v>473</v>
      </c>
      <c r="G81" s="7" t="s">
        <v>474</v>
      </c>
      <c r="H81" s="7" t="s">
        <v>475</v>
      </c>
      <c r="I81" s="8" t="s">
        <v>89</v>
      </c>
      <c r="J81" s="7" t="s">
        <v>476</v>
      </c>
    </row>
    <row r="82" customFormat="false" ht="15" hidden="false" customHeight="true" outlineLevel="0" collapsed="false">
      <c r="A82" s="7" t="s">
        <v>477</v>
      </c>
      <c r="B82" s="7" t="s">
        <v>478</v>
      </c>
      <c r="C82" s="13" t="s">
        <v>130</v>
      </c>
      <c r="D82" s="13" t="s">
        <v>84</v>
      </c>
      <c r="E82" s="7" t="s">
        <v>85</v>
      </c>
      <c r="F82" s="7" t="s">
        <v>479</v>
      </c>
      <c r="G82" s="7" t="s">
        <v>480</v>
      </c>
      <c r="H82" s="7" t="s">
        <v>481</v>
      </c>
      <c r="I82" s="10" t="s">
        <v>137</v>
      </c>
      <c r="J82" s="7" t="s">
        <v>482</v>
      </c>
    </row>
    <row r="83" customFormat="false" ht="15" hidden="false" customHeight="true" outlineLevel="0" collapsed="false">
      <c r="A83" s="7" t="s">
        <v>483</v>
      </c>
      <c r="B83" s="7" t="s">
        <v>484</v>
      </c>
      <c r="C83" s="13" t="s">
        <v>130</v>
      </c>
      <c r="D83" s="13" t="s">
        <v>84</v>
      </c>
      <c r="E83" s="7" t="s">
        <v>85</v>
      </c>
      <c r="F83" s="7" t="s">
        <v>485</v>
      </c>
      <c r="G83" s="7" t="s">
        <v>486</v>
      </c>
      <c r="H83" s="7" t="s">
        <v>487</v>
      </c>
      <c r="I83" s="10" t="s">
        <v>137</v>
      </c>
      <c r="J83" s="7" t="s">
        <v>488</v>
      </c>
    </row>
    <row r="84" customFormat="false" ht="15" hidden="false" customHeight="true" outlineLevel="0" collapsed="false">
      <c r="A84" s="7" t="s">
        <v>489</v>
      </c>
      <c r="B84" s="7" t="s">
        <v>490</v>
      </c>
      <c r="C84" s="13" t="s">
        <v>83</v>
      </c>
      <c r="D84" s="13" t="s">
        <v>84</v>
      </c>
      <c r="E84" s="7" t="s">
        <v>85</v>
      </c>
      <c r="F84" s="7" t="s">
        <v>212</v>
      </c>
      <c r="G84" s="7" t="s">
        <v>491</v>
      </c>
      <c r="H84" s="7" t="s">
        <v>492</v>
      </c>
      <c r="I84" s="8" t="s">
        <v>89</v>
      </c>
      <c r="J84" s="7"/>
    </row>
    <row r="85" customFormat="false" ht="15" hidden="false" customHeight="true" outlineLevel="0" collapsed="false">
      <c r="A85" s="7" t="s">
        <v>493</v>
      </c>
      <c r="B85" s="7" t="s">
        <v>494</v>
      </c>
      <c r="C85" s="7" t="s">
        <v>130</v>
      </c>
      <c r="D85" s="7" t="s">
        <v>281</v>
      </c>
      <c r="E85" s="7" t="s">
        <v>495</v>
      </c>
      <c r="F85" s="7" t="s">
        <v>496</v>
      </c>
      <c r="G85" s="7" t="s">
        <v>497</v>
      </c>
      <c r="H85" s="7" t="s">
        <v>498</v>
      </c>
      <c r="I85" s="8" t="s">
        <v>89</v>
      </c>
      <c r="J85" s="7" t="s">
        <v>499</v>
      </c>
    </row>
    <row r="86" customFormat="false" ht="15" hidden="false" customHeight="true" outlineLevel="0" collapsed="false">
      <c r="A86" s="14" t="s">
        <v>500</v>
      </c>
      <c r="B86" s="14" t="s">
        <v>501</v>
      </c>
      <c r="C86" s="14" t="s">
        <v>130</v>
      </c>
      <c r="D86" s="14" t="s">
        <v>281</v>
      </c>
      <c r="E86" s="14" t="s">
        <v>495</v>
      </c>
      <c r="F86" s="14" t="s">
        <v>502</v>
      </c>
      <c r="G86" s="14" t="s">
        <v>503</v>
      </c>
      <c r="H86" s="14" t="s">
        <v>504</v>
      </c>
      <c r="I86" s="8" t="s">
        <v>89</v>
      </c>
      <c r="J86" s="14" t="s">
        <v>505</v>
      </c>
    </row>
    <row r="87" customFormat="false" ht="15" hidden="false" customHeight="true" outlineLevel="0" collapsed="false">
      <c r="A87" s="7" t="s">
        <v>506</v>
      </c>
      <c r="B87" s="7" t="s">
        <v>507</v>
      </c>
      <c r="C87" s="7" t="s">
        <v>162</v>
      </c>
      <c r="D87" s="7" t="s">
        <v>508</v>
      </c>
      <c r="E87" s="7" t="s">
        <v>495</v>
      </c>
      <c r="F87" s="7" t="s">
        <v>502</v>
      </c>
      <c r="G87" s="7" t="s">
        <v>509</v>
      </c>
      <c r="H87" s="7" t="s">
        <v>504</v>
      </c>
      <c r="I87" s="8" t="s">
        <v>89</v>
      </c>
      <c r="J87" s="7"/>
    </row>
    <row r="88" customFormat="false" ht="15" hidden="false" customHeight="true" outlineLevel="0" collapsed="false">
      <c r="A88" s="14" t="s">
        <v>510</v>
      </c>
      <c r="B88" s="14" t="s">
        <v>511</v>
      </c>
      <c r="C88" s="14" t="s">
        <v>162</v>
      </c>
      <c r="D88" s="14" t="s">
        <v>508</v>
      </c>
      <c r="E88" s="14" t="s">
        <v>495</v>
      </c>
      <c r="F88" s="14" t="s">
        <v>512</v>
      </c>
      <c r="G88" s="14" t="s">
        <v>513</v>
      </c>
      <c r="H88" s="14" t="s">
        <v>514</v>
      </c>
      <c r="I88" s="8" t="s">
        <v>89</v>
      </c>
      <c r="J88" s="14"/>
    </row>
    <row r="89" customFormat="false" ht="15" hidden="false" customHeight="true" outlineLevel="0" collapsed="false">
      <c r="A89" s="7" t="s">
        <v>515</v>
      </c>
      <c r="B89" s="7" t="s">
        <v>516</v>
      </c>
      <c r="C89" s="7" t="s">
        <v>130</v>
      </c>
      <c r="D89" s="7" t="s">
        <v>281</v>
      </c>
      <c r="E89" s="7" t="s">
        <v>495</v>
      </c>
      <c r="F89" s="7" t="s">
        <v>517</v>
      </c>
      <c r="G89" s="7" t="s">
        <v>518</v>
      </c>
      <c r="H89" s="7" t="s">
        <v>519</v>
      </c>
      <c r="I89" s="8" t="s">
        <v>89</v>
      </c>
      <c r="J89" s="7" t="s">
        <v>520</v>
      </c>
    </row>
    <row r="90" customFormat="false" ht="15" hidden="false" customHeight="true" outlineLevel="0" collapsed="false">
      <c r="A90" s="14" t="s">
        <v>521</v>
      </c>
      <c r="B90" s="14" t="s">
        <v>522</v>
      </c>
      <c r="C90" s="14" t="s">
        <v>162</v>
      </c>
      <c r="D90" s="14" t="s">
        <v>508</v>
      </c>
      <c r="E90" s="14" t="s">
        <v>495</v>
      </c>
      <c r="F90" s="14" t="s">
        <v>523</v>
      </c>
      <c r="G90" s="14" t="s">
        <v>524</v>
      </c>
      <c r="H90" s="14" t="s">
        <v>514</v>
      </c>
      <c r="I90" s="8" t="s">
        <v>89</v>
      </c>
      <c r="J90" s="14"/>
    </row>
    <row r="91" customFormat="false" ht="15" hidden="false" customHeight="true" outlineLevel="0" collapsed="false">
      <c r="A91" s="7" t="s">
        <v>525</v>
      </c>
      <c r="B91" s="7" t="s">
        <v>526</v>
      </c>
      <c r="C91" s="7" t="s">
        <v>162</v>
      </c>
      <c r="D91" s="7" t="s">
        <v>508</v>
      </c>
      <c r="E91" s="7" t="s">
        <v>495</v>
      </c>
      <c r="F91" s="7" t="s">
        <v>527</v>
      </c>
      <c r="G91" s="7" t="s">
        <v>528</v>
      </c>
      <c r="H91" s="7" t="s">
        <v>529</v>
      </c>
      <c r="I91" s="8" t="s">
        <v>89</v>
      </c>
      <c r="J91" s="7"/>
    </row>
    <row r="92" customFormat="false" ht="15" hidden="false" customHeight="true" outlineLevel="0" collapsed="false">
      <c r="A92" s="14" t="s">
        <v>530</v>
      </c>
      <c r="B92" s="14" t="s">
        <v>531</v>
      </c>
      <c r="C92" s="14" t="s">
        <v>162</v>
      </c>
      <c r="D92" s="14" t="s">
        <v>508</v>
      </c>
      <c r="E92" s="14" t="s">
        <v>495</v>
      </c>
      <c r="F92" s="14" t="s">
        <v>532</v>
      </c>
      <c r="G92" s="14" t="s">
        <v>533</v>
      </c>
      <c r="H92" s="14" t="s">
        <v>534</v>
      </c>
      <c r="I92" s="10" t="s">
        <v>137</v>
      </c>
      <c r="J92" s="14" t="s">
        <v>535</v>
      </c>
    </row>
    <row r="93" customFormat="false" ht="15" hidden="false" customHeight="true" outlineLevel="0" collapsed="false">
      <c r="A93" s="7" t="s">
        <v>536</v>
      </c>
      <c r="B93" s="7" t="s">
        <v>537</v>
      </c>
      <c r="C93" s="7" t="s">
        <v>162</v>
      </c>
      <c r="D93" s="7" t="s">
        <v>508</v>
      </c>
      <c r="E93" s="7" t="s">
        <v>495</v>
      </c>
      <c r="F93" s="7" t="s">
        <v>512</v>
      </c>
      <c r="G93" s="7" t="s">
        <v>533</v>
      </c>
      <c r="H93" s="7" t="s">
        <v>538</v>
      </c>
      <c r="I93" s="10" t="s">
        <v>137</v>
      </c>
      <c r="J93" s="7" t="s">
        <v>539</v>
      </c>
    </row>
    <row r="94" customFormat="false" ht="15" hidden="false" customHeight="true" outlineLevel="0" collapsed="false">
      <c r="A94" s="14" t="s">
        <v>540</v>
      </c>
      <c r="B94" s="14" t="s">
        <v>541</v>
      </c>
      <c r="C94" s="14" t="s">
        <v>162</v>
      </c>
      <c r="D94" s="14" t="s">
        <v>508</v>
      </c>
      <c r="E94" s="14" t="s">
        <v>495</v>
      </c>
      <c r="F94" s="14" t="s">
        <v>542</v>
      </c>
      <c r="G94" s="14" t="s">
        <v>533</v>
      </c>
      <c r="H94" s="14" t="s">
        <v>543</v>
      </c>
      <c r="I94" s="10" t="s">
        <v>137</v>
      </c>
      <c r="J94" s="14" t="s">
        <v>539</v>
      </c>
    </row>
    <row r="95" customFormat="false" ht="15" hidden="false" customHeight="true" outlineLevel="0" collapsed="false">
      <c r="A95" s="7" t="s">
        <v>544</v>
      </c>
      <c r="B95" s="7" t="s">
        <v>545</v>
      </c>
      <c r="C95" s="7" t="s">
        <v>162</v>
      </c>
      <c r="D95" s="7" t="s">
        <v>508</v>
      </c>
      <c r="E95" s="7" t="s">
        <v>495</v>
      </c>
      <c r="F95" s="7" t="s">
        <v>546</v>
      </c>
      <c r="G95" s="7" t="s">
        <v>547</v>
      </c>
      <c r="H95" s="7" t="s">
        <v>548</v>
      </c>
      <c r="I95" s="8" t="s">
        <v>89</v>
      </c>
      <c r="J95" s="7"/>
    </row>
    <row r="96" customFormat="false" ht="15" hidden="false" customHeight="true" outlineLevel="0" collapsed="false">
      <c r="A96" s="14" t="s">
        <v>549</v>
      </c>
      <c r="B96" s="14" t="s">
        <v>550</v>
      </c>
      <c r="C96" s="14" t="s">
        <v>162</v>
      </c>
      <c r="D96" s="14" t="s">
        <v>508</v>
      </c>
      <c r="E96" s="14" t="s">
        <v>495</v>
      </c>
      <c r="F96" s="14" t="s">
        <v>551</v>
      </c>
      <c r="G96" s="14" t="s">
        <v>552</v>
      </c>
      <c r="H96" s="14" t="s">
        <v>553</v>
      </c>
      <c r="I96" s="8" t="s">
        <v>89</v>
      </c>
      <c r="J96" s="14"/>
    </row>
    <row r="97" customFormat="false" ht="15" hidden="false" customHeight="true" outlineLevel="0" collapsed="false">
      <c r="A97" s="7" t="s">
        <v>554</v>
      </c>
      <c r="B97" s="7" t="s">
        <v>555</v>
      </c>
      <c r="C97" s="7" t="s">
        <v>162</v>
      </c>
      <c r="D97" s="7" t="s">
        <v>556</v>
      </c>
      <c r="E97" s="7" t="s">
        <v>557</v>
      </c>
      <c r="F97" s="7" t="s">
        <v>558</v>
      </c>
      <c r="G97" s="7" t="s">
        <v>559</v>
      </c>
      <c r="H97" s="7" t="s">
        <v>560</v>
      </c>
      <c r="I97" s="8" t="s">
        <v>89</v>
      </c>
      <c r="J97" s="7"/>
    </row>
    <row r="98" customFormat="false" ht="15" hidden="false" customHeight="true" outlineLevel="0" collapsed="false">
      <c r="A98" s="7" t="s">
        <v>561</v>
      </c>
      <c r="B98" s="7" t="s">
        <v>562</v>
      </c>
      <c r="C98" s="7" t="s">
        <v>162</v>
      </c>
      <c r="D98" s="7" t="s">
        <v>556</v>
      </c>
      <c r="E98" s="7" t="s">
        <v>557</v>
      </c>
      <c r="F98" s="7" t="s">
        <v>563</v>
      </c>
      <c r="G98" s="7" t="s">
        <v>564</v>
      </c>
      <c r="H98" s="7" t="s">
        <v>565</v>
      </c>
      <c r="I98" s="8" t="s">
        <v>89</v>
      </c>
      <c r="J98" s="7"/>
    </row>
    <row r="99" customFormat="false" ht="15" hidden="false" customHeight="true" outlineLevel="0" collapsed="false">
      <c r="A99" s="7" t="s">
        <v>566</v>
      </c>
      <c r="B99" s="7" t="s">
        <v>567</v>
      </c>
      <c r="C99" s="7" t="s">
        <v>162</v>
      </c>
      <c r="D99" s="7" t="s">
        <v>556</v>
      </c>
      <c r="E99" s="7" t="s">
        <v>557</v>
      </c>
      <c r="F99" s="7" t="s">
        <v>568</v>
      </c>
      <c r="G99" s="7" t="s">
        <v>569</v>
      </c>
      <c r="H99" s="7" t="s">
        <v>570</v>
      </c>
      <c r="I99" s="8" t="s">
        <v>89</v>
      </c>
      <c r="J99" s="7"/>
    </row>
    <row r="100" customFormat="false" ht="15" hidden="false" customHeight="true" outlineLevel="0" collapsed="false">
      <c r="A100" s="7" t="s">
        <v>571</v>
      </c>
      <c r="B100" s="7" t="s">
        <v>572</v>
      </c>
      <c r="C100" s="7" t="s">
        <v>162</v>
      </c>
      <c r="D100" s="7" t="s">
        <v>556</v>
      </c>
      <c r="E100" s="7" t="s">
        <v>557</v>
      </c>
      <c r="F100" s="7" t="s">
        <v>573</v>
      </c>
      <c r="G100" s="7" t="s">
        <v>574</v>
      </c>
      <c r="H100" s="7" t="s">
        <v>575</v>
      </c>
      <c r="I100" s="8" t="s">
        <v>89</v>
      </c>
      <c r="J100" s="7"/>
    </row>
    <row r="101" customFormat="false" ht="15" hidden="false" customHeight="true" outlineLevel="0" collapsed="false">
      <c r="A101" s="7" t="s">
        <v>576</v>
      </c>
      <c r="B101" s="7" t="s">
        <v>577</v>
      </c>
      <c r="C101" s="7" t="s">
        <v>162</v>
      </c>
      <c r="D101" s="7" t="s">
        <v>556</v>
      </c>
      <c r="E101" s="7" t="s">
        <v>557</v>
      </c>
      <c r="F101" s="7" t="s">
        <v>578</v>
      </c>
      <c r="G101" s="7" t="s">
        <v>579</v>
      </c>
      <c r="H101" s="7" t="s">
        <v>580</v>
      </c>
      <c r="I101" s="8" t="s">
        <v>89</v>
      </c>
      <c r="J101" s="7"/>
    </row>
    <row r="102" customFormat="false" ht="15" hidden="false" customHeight="true" outlineLevel="0" collapsed="false">
      <c r="A102" s="7" t="s">
        <v>581</v>
      </c>
      <c r="B102" s="7" t="s">
        <v>582</v>
      </c>
      <c r="C102" s="7" t="s">
        <v>162</v>
      </c>
      <c r="D102" s="7" t="s">
        <v>556</v>
      </c>
      <c r="E102" s="7" t="s">
        <v>557</v>
      </c>
      <c r="F102" s="7" t="s">
        <v>583</v>
      </c>
      <c r="G102" s="7" t="s">
        <v>584</v>
      </c>
      <c r="H102" s="7" t="s">
        <v>585</v>
      </c>
      <c r="I102" s="8" t="s">
        <v>89</v>
      </c>
      <c r="J102" s="7"/>
    </row>
    <row r="103" customFormat="false" ht="15" hidden="false" customHeight="true" outlineLevel="0" collapsed="false">
      <c r="A103" s="7" t="s">
        <v>586</v>
      </c>
      <c r="B103" s="7" t="s">
        <v>587</v>
      </c>
      <c r="C103" s="7" t="s">
        <v>162</v>
      </c>
      <c r="D103" s="7" t="s">
        <v>556</v>
      </c>
      <c r="E103" s="7" t="s">
        <v>557</v>
      </c>
      <c r="F103" s="7" t="s">
        <v>588</v>
      </c>
      <c r="G103" s="7" t="s">
        <v>589</v>
      </c>
      <c r="H103" s="7" t="s">
        <v>590</v>
      </c>
      <c r="I103" s="8" t="s">
        <v>89</v>
      </c>
      <c r="J103" s="7"/>
    </row>
    <row r="104" customFormat="false" ht="15" hidden="false" customHeight="true" outlineLevel="0" collapsed="false">
      <c r="A104" s="7" t="s">
        <v>591</v>
      </c>
      <c r="B104" s="7" t="s">
        <v>592</v>
      </c>
      <c r="C104" s="7" t="s">
        <v>162</v>
      </c>
      <c r="D104" s="7" t="s">
        <v>556</v>
      </c>
      <c r="E104" s="7" t="s">
        <v>557</v>
      </c>
      <c r="F104" s="7" t="s">
        <v>593</v>
      </c>
      <c r="G104" s="7" t="s">
        <v>594</v>
      </c>
      <c r="H104" s="7" t="s">
        <v>595</v>
      </c>
      <c r="I104" s="8" t="s">
        <v>89</v>
      </c>
      <c r="J104" s="7"/>
    </row>
    <row r="105" customFormat="false" ht="15" hidden="false" customHeight="true" outlineLevel="0" collapsed="false">
      <c r="A105" s="7" t="s">
        <v>596</v>
      </c>
      <c r="B105" s="7" t="s">
        <v>597</v>
      </c>
      <c r="C105" s="7" t="s">
        <v>162</v>
      </c>
      <c r="D105" s="7" t="s">
        <v>556</v>
      </c>
      <c r="E105" s="7" t="s">
        <v>557</v>
      </c>
      <c r="F105" s="7" t="s">
        <v>598</v>
      </c>
      <c r="G105" s="7" t="s">
        <v>533</v>
      </c>
      <c r="H105" s="7" t="s">
        <v>599</v>
      </c>
      <c r="I105" s="10" t="s">
        <v>137</v>
      </c>
      <c r="J105" s="7" t="s">
        <v>535</v>
      </c>
    </row>
    <row r="106" customFormat="false" ht="15" hidden="false" customHeight="true" outlineLevel="0" collapsed="false">
      <c r="A106" s="7" t="s">
        <v>600</v>
      </c>
      <c r="B106" s="7" t="s">
        <v>601</v>
      </c>
      <c r="C106" s="7" t="s">
        <v>162</v>
      </c>
      <c r="D106" s="7" t="s">
        <v>556</v>
      </c>
      <c r="E106" s="7" t="s">
        <v>557</v>
      </c>
      <c r="F106" s="7" t="s">
        <v>602</v>
      </c>
      <c r="G106" s="7" t="s">
        <v>603</v>
      </c>
      <c r="H106" s="7" t="s">
        <v>604</v>
      </c>
      <c r="I106" s="8" t="s">
        <v>89</v>
      </c>
      <c r="J106" s="7"/>
    </row>
    <row r="107" customFormat="false" ht="15" hidden="false" customHeight="true" outlineLevel="0" collapsed="false">
      <c r="A107" s="7" t="s">
        <v>605</v>
      </c>
      <c r="B107" s="7" t="s">
        <v>606</v>
      </c>
      <c r="C107" s="7" t="s">
        <v>130</v>
      </c>
      <c r="D107" s="7" t="s">
        <v>146</v>
      </c>
      <c r="E107" s="7" t="s">
        <v>607</v>
      </c>
      <c r="F107" s="7" t="s">
        <v>608</v>
      </c>
      <c r="G107" s="7" t="s">
        <v>609</v>
      </c>
      <c r="H107" s="7" t="s">
        <v>610</v>
      </c>
      <c r="I107" s="8" t="s">
        <v>89</v>
      </c>
      <c r="J107" s="7"/>
    </row>
    <row r="108" customFormat="false" ht="15" hidden="false" customHeight="true" outlineLevel="0" collapsed="false">
      <c r="A108" s="7" t="s">
        <v>611</v>
      </c>
      <c r="B108" s="7" t="s">
        <v>612</v>
      </c>
      <c r="C108" s="7" t="s">
        <v>130</v>
      </c>
      <c r="D108" s="7" t="s">
        <v>146</v>
      </c>
      <c r="E108" s="7" t="s">
        <v>607</v>
      </c>
      <c r="F108" s="7" t="s">
        <v>608</v>
      </c>
      <c r="G108" s="7" t="s">
        <v>613</v>
      </c>
      <c r="H108" s="7" t="s">
        <v>614</v>
      </c>
      <c r="I108" s="8" t="s">
        <v>89</v>
      </c>
      <c r="J108" s="7"/>
    </row>
    <row r="109" customFormat="false" ht="15" hidden="false" customHeight="true" outlineLevel="0" collapsed="false">
      <c r="A109" s="7" t="s">
        <v>615</v>
      </c>
      <c r="B109" s="7" t="s">
        <v>616</v>
      </c>
      <c r="C109" s="7" t="s">
        <v>130</v>
      </c>
      <c r="D109" s="7" t="s">
        <v>146</v>
      </c>
      <c r="E109" s="7" t="s">
        <v>607</v>
      </c>
      <c r="F109" s="7" t="s">
        <v>617</v>
      </c>
      <c r="G109" s="7" t="s">
        <v>618</v>
      </c>
      <c r="H109" s="7" t="s">
        <v>619</v>
      </c>
      <c r="I109" s="8" t="s">
        <v>89</v>
      </c>
      <c r="J109" s="7" t="s">
        <v>620</v>
      </c>
    </row>
    <row r="110" customFormat="false" ht="15" hidden="false" customHeight="true" outlineLevel="0" collapsed="false">
      <c r="A110" s="7" t="s">
        <v>621</v>
      </c>
      <c r="B110" s="7" t="s">
        <v>622</v>
      </c>
      <c r="C110" s="7" t="s">
        <v>162</v>
      </c>
      <c r="D110" s="7" t="s">
        <v>508</v>
      </c>
      <c r="E110" s="7" t="s">
        <v>607</v>
      </c>
      <c r="F110" s="7" t="s">
        <v>623</v>
      </c>
      <c r="G110" s="7" t="s">
        <v>624</v>
      </c>
      <c r="H110" s="7" t="s">
        <v>625</v>
      </c>
      <c r="I110" s="8" t="s">
        <v>89</v>
      </c>
      <c r="J110" s="7"/>
    </row>
    <row r="111" customFormat="false" ht="15" hidden="false" customHeight="true" outlineLevel="0" collapsed="false">
      <c r="A111" s="7" t="s">
        <v>626</v>
      </c>
      <c r="B111" s="7" t="s">
        <v>627</v>
      </c>
      <c r="C111" s="7" t="s">
        <v>130</v>
      </c>
      <c r="D111" s="7" t="s">
        <v>377</v>
      </c>
      <c r="E111" s="7" t="s">
        <v>607</v>
      </c>
      <c r="F111" s="7" t="s">
        <v>628</v>
      </c>
      <c r="G111" s="7" t="s">
        <v>629</v>
      </c>
      <c r="H111" s="7" t="s">
        <v>630</v>
      </c>
      <c r="I111" s="8" t="s">
        <v>89</v>
      </c>
      <c r="J111" s="7"/>
    </row>
    <row r="112" customFormat="false" ht="15" hidden="false" customHeight="true" outlineLevel="0" collapsed="false">
      <c r="A112" s="7" t="s">
        <v>631</v>
      </c>
      <c r="B112" s="7" t="s">
        <v>632</v>
      </c>
      <c r="C112" s="7" t="s">
        <v>130</v>
      </c>
      <c r="D112" s="7" t="s">
        <v>146</v>
      </c>
      <c r="E112" s="7" t="s">
        <v>607</v>
      </c>
      <c r="F112" s="7" t="s">
        <v>608</v>
      </c>
      <c r="G112" s="7" t="s">
        <v>633</v>
      </c>
      <c r="H112" s="7" t="s">
        <v>610</v>
      </c>
      <c r="I112" s="8" t="s">
        <v>89</v>
      </c>
      <c r="J112" s="7"/>
    </row>
    <row r="113" customFormat="false" ht="15" hidden="false" customHeight="true" outlineLevel="0" collapsed="false">
      <c r="A113" s="7" t="s">
        <v>634</v>
      </c>
      <c r="B113" s="7" t="s">
        <v>635</v>
      </c>
      <c r="C113" s="7" t="s">
        <v>130</v>
      </c>
      <c r="D113" s="7" t="s">
        <v>377</v>
      </c>
      <c r="E113" s="7" t="s">
        <v>636</v>
      </c>
      <c r="F113" s="7" t="s">
        <v>637</v>
      </c>
      <c r="G113" s="7" t="s">
        <v>638</v>
      </c>
      <c r="H113" s="7" t="s">
        <v>639</v>
      </c>
      <c r="I113" s="8" t="s">
        <v>89</v>
      </c>
      <c r="J113" s="7" t="s">
        <v>640</v>
      </c>
    </row>
    <row r="114" customFormat="false" ht="15" hidden="false" customHeight="true" outlineLevel="0" collapsed="false">
      <c r="A114" s="7" t="s">
        <v>641</v>
      </c>
      <c r="B114" s="7" t="s">
        <v>642</v>
      </c>
      <c r="C114" s="7" t="s">
        <v>130</v>
      </c>
      <c r="D114" s="7" t="s">
        <v>146</v>
      </c>
      <c r="E114" s="7" t="s">
        <v>636</v>
      </c>
      <c r="F114" s="7" t="s">
        <v>643</v>
      </c>
      <c r="G114" s="7" t="s">
        <v>644</v>
      </c>
      <c r="H114" s="7" t="s">
        <v>645</v>
      </c>
      <c r="I114" s="8" t="s">
        <v>89</v>
      </c>
      <c r="J114" s="7"/>
    </row>
    <row r="115" customFormat="false" ht="15" hidden="false" customHeight="true" outlineLevel="0" collapsed="false">
      <c r="A115" s="7" t="s">
        <v>646</v>
      </c>
      <c r="B115" s="7" t="s">
        <v>647</v>
      </c>
      <c r="C115" s="7" t="s">
        <v>130</v>
      </c>
      <c r="D115" s="7" t="s">
        <v>281</v>
      </c>
      <c r="E115" s="7" t="s">
        <v>636</v>
      </c>
      <c r="F115" s="7" t="s">
        <v>637</v>
      </c>
      <c r="G115" s="7" t="s">
        <v>648</v>
      </c>
      <c r="H115" s="7" t="s">
        <v>649</v>
      </c>
      <c r="I115" s="8" t="s">
        <v>89</v>
      </c>
      <c r="J115" s="7"/>
    </row>
    <row r="116" customFormat="false" ht="15" hidden="false" customHeight="true" outlineLevel="0" collapsed="false">
      <c r="A116" s="7" t="s">
        <v>650</v>
      </c>
      <c r="B116" s="7" t="s">
        <v>651</v>
      </c>
      <c r="C116" s="7" t="s">
        <v>130</v>
      </c>
      <c r="D116" s="7" t="s">
        <v>281</v>
      </c>
      <c r="E116" s="7" t="s">
        <v>636</v>
      </c>
      <c r="F116" s="7" t="s">
        <v>652</v>
      </c>
      <c r="G116" s="7" t="s">
        <v>653</v>
      </c>
      <c r="H116" s="7" t="s">
        <v>654</v>
      </c>
      <c r="I116" s="8" t="s">
        <v>89</v>
      </c>
      <c r="J116" s="7"/>
    </row>
    <row r="117" customFormat="false" ht="15" hidden="false" customHeight="true" outlineLevel="0" collapsed="false">
      <c r="A117" s="7" t="s">
        <v>655</v>
      </c>
      <c r="B117" s="7" t="s">
        <v>656</v>
      </c>
      <c r="C117" s="7" t="s">
        <v>162</v>
      </c>
      <c r="D117" s="7" t="s">
        <v>281</v>
      </c>
      <c r="E117" s="7" t="s">
        <v>636</v>
      </c>
      <c r="F117" s="7" t="s">
        <v>657</v>
      </c>
      <c r="G117" s="7" t="s">
        <v>658</v>
      </c>
      <c r="H117" s="7" t="s">
        <v>659</v>
      </c>
      <c r="I117" s="8" t="s">
        <v>89</v>
      </c>
      <c r="J117" s="7"/>
    </row>
    <row r="118" customFormat="false" ht="15" hidden="false" customHeight="true" outlineLevel="0" collapsed="false">
      <c r="A118" s="7" t="s">
        <v>660</v>
      </c>
      <c r="B118" s="7" t="s">
        <v>661</v>
      </c>
      <c r="C118" s="7" t="s">
        <v>162</v>
      </c>
      <c r="D118" s="7" t="s">
        <v>281</v>
      </c>
      <c r="E118" s="7" t="s">
        <v>636</v>
      </c>
      <c r="F118" s="7" t="s">
        <v>662</v>
      </c>
      <c r="G118" s="7" t="s">
        <v>663</v>
      </c>
      <c r="H118" s="7" t="s">
        <v>664</v>
      </c>
      <c r="I118" s="8" t="s">
        <v>89</v>
      </c>
      <c r="J118" s="7"/>
    </row>
    <row r="119" customFormat="false" ht="15" hidden="false" customHeight="true" outlineLevel="0" collapsed="false">
      <c r="A119" s="7" t="s">
        <v>665</v>
      </c>
      <c r="B119" s="7" t="s">
        <v>666</v>
      </c>
      <c r="C119" s="7" t="s">
        <v>130</v>
      </c>
      <c r="D119" s="7" t="s">
        <v>281</v>
      </c>
      <c r="E119" s="7" t="s">
        <v>667</v>
      </c>
      <c r="F119" s="7" t="s">
        <v>668</v>
      </c>
      <c r="G119" s="7" t="s">
        <v>669</v>
      </c>
      <c r="H119" s="7" t="s">
        <v>670</v>
      </c>
      <c r="I119" s="8" t="s">
        <v>89</v>
      </c>
      <c r="J119" s="7" t="s">
        <v>671</v>
      </c>
    </row>
    <row r="120" customFormat="false" ht="15" hidden="false" customHeight="true" outlineLevel="0" collapsed="false">
      <c r="A120" s="7" t="s">
        <v>672</v>
      </c>
      <c r="B120" s="7" t="s">
        <v>673</v>
      </c>
      <c r="C120" s="7" t="s">
        <v>130</v>
      </c>
      <c r="D120" s="7" t="s">
        <v>281</v>
      </c>
      <c r="E120" s="7" t="s">
        <v>667</v>
      </c>
      <c r="F120" s="7" t="s">
        <v>674</v>
      </c>
      <c r="G120" s="7" t="s">
        <v>675</v>
      </c>
      <c r="H120" s="7" t="s">
        <v>676</v>
      </c>
      <c r="I120" s="8" t="s">
        <v>89</v>
      </c>
      <c r="J120" s="7"/>
    </row>
    <row r="121" customFormat="false" ht="15" hidden="false" customHeight="true" outlineLevel="0" collapsed="false">
      <c r="A121" s="7" t="s">
        <v>677</v>
      </c>
      <c r="B121" s="7" t="s">
        <v>678</v>
      </c>
      <c r="C121" s="7" t="s">
        <v>162</v>
      </c>
      <c r="D121" s="7" t="s">
        <v>281</v>
      </c>
      <c r="E121" s="7" t="s">
        <v>667</v>
      </c>
      <c r="F121" s="7" t="s">
        <v>679</v>
      </c>
      <c r="G121" s="7" t="s">
        <v>680</v>
      </c>
      <c r="H121" s="7" t="s">
        <v>681</v>
      </c>
      <c r="I121" s="8" t="s">
        <v>89</v>
      </c>
      <c r="J121" s="7"/>
    </row>
    <row r="122" customFormat="false" ht="15" hidden="false" customHeight="true" outlineLevel="0" collapsed="false">
      <c r="A122" s="7" t="s">
        <v>682</v>
      </c>
      <c r="B122" s="7" t="s">
        <v>683</v>
      </c>
      <c r="C122" s="7" t="s">
        <v>130</v>
      </c>
      <c r="D122" s="7" t="s">
        <v>281</v>
      </c>
      <c r="E122" s="7" t="s">
        <v>667</v>
      </c>
      <c r="F122" s="7" t="s">
        <v>684</v>
      </c>
      <c r="G122" s="7" t="s">
        <v>685</v>
      </c>
      <c r="H122" s="7" t="s">
        <v>686</v>
      </c>
      <c r="I122" s="8" t="s">
        <v>89</v>
      </c>
      <c r="J122" s="7"/>
    </row>
    <row r="123" customFormat="false" ht="15" hidden="false" customHeight="true" outlineLevel="0" collapsed="false">
      <c r="A123" s="7" t="s">
        <v>687</v>
      </c>
      <c r="B123" s="7" t="s">
        <v>688</v>
      </c>
      <c r="C123" s="7" t="s">
        <v>130</v>
      </c>
      <c r="D123" s="7" t="s">
        <v>281</v>
      </c>
      <c r="E123" s="7" t="s">
        <v>667</v>
      </c>
      <c r="F123" s="7" t="s">
        <v>689</v>
      </c>
      <c r="G123" s="7" t="s">
        <v>690</v>
      </c>
      <c r="H123" s="7" t="s">
        <v>691</v>
      </c>
      <c r="I123" s="8" t="s">
        <v>89</v>
      </c>
      <c r="J123" s="7" t="s">
        <v>692</v>
      </c>
    </row>
    <row r="124" customFormat="false" ht="15" hidden="false" customHeight="true" outlineLevel="0" collapsed="false">
      <c r="A124" s="7" t="s">
        <v>693</v>
      </c>
      <c r="B124" s="7" t="s">
        <v>694</v>
      </c>
      <c r="C124" s="7" t="s">
        <v>162</v>
      </c>
      <c r="D124" s="7" t="s">
        <v>508</v>
      </c>
      <c r="E124" s="7" t="s">
        <v>667</v>
      </c>
      <c r="F124" s="7" t="s">
        <v>695</v>
      </c>
      <c r="G124" s="7" t="s">
        <v>696</v>
      </c>
      <c r="H124" s="7" t="s">
        <v>697</v>
      </c>
      <c r="I124" s="8" t="s">
        <v>89</v>
      </c>
      <c r="J124" s="7"/>
    </row>
    <row r="125" customFormat="false" ht="23.25" hidden="false" customHeight="true" outlineLevel="0" collapsed="false">
      <c r="A125" s="7" t="s">
        <v>698</v>
      </c>
      <c r="B125" s="7" t="s">
        <v>699</v>
      </c>
      <c r="C125" s="7" t="s">
        <v>130</v>
      </c>
      <c r="D125" s="7" t="s">
        <v>281</v>
      </c>
      <c r="E125" s="7" t="s">
        <v>700</v>
      </c>
      <c r="F125" s="7" t="s">
        <v>701</v>
      </c>
      <c r="G125" s="7" t="s">
        <v>702</v>
      </c>
      <c r="H125" s="7" t="s">
        <v>703</v>
      </c>
      <c r="I125" s="8" t="s">
        <v>89</v>
      </c>
      <c r="J125" s="7" t="s">
        <v>704</v>
      </c>
    </row>
    <row r="126" customFormat="false" ht="23.25" hidden="false" customHeight="true" outlineLevel="0" collapsed="false">
      <c r="A126" s="7" t="s">
        <v>705</v>
      </c>
      <c r="B126" s="7" t="s">
        <v>706</v>
      </c>
      <c r="C126" s="7" t="s">
        <v>130</v>
      </c>
      <c r="D126" s="7" t="s">
        <v>281</v>
      </c>
      <c r="E126" s="7" t="s">
        <v>700</v>
      </c>
      <c r="F126" s="7" t="s">
        <v>707</v>
      </c>
      <c r="G126" s="7" t="s">
        <v>708</v>
      </c>
      <c r="H126" s="7" t="s">
        <v>709</v>
      </c>
      <c r="I126" s="8" t="s">
        <v>89</v>
      </c>
      <c r="J126" s="7"/>
    </row>
    <row r="127" customFormat="false" ht="15" hidden="false" customHeight="true" outlineLevel="0" collapsed="false">
      <c r="A127" s="7" t="s">
        <v>710</v>
      </c>
      <c r="B127" s="7" t="s">
        <v>711</v>
      </c>
      <c r="C127" s="7" t="s">
        <v>162</v>
      </c>
      <c r="D127" s="7" t="s">
        <v>281</v>
      </c>
      <c r="E127" s="7" t="s">
        <v>700</v>
      </c>
      <c r="F127" s="7" t="s">
        <v>712</v>
      </c>
      <c r="G127" s="7" t="s">
        <v>713</v>
      </c>
      <c r="H127" s="7" t="s">
        <v>714</v>
      </c>
      <c r="I127" s="8" t="s">
        <v>89</v>
      </c>
      <c r="J127" s="7"/>
    </row>
    <row r="128" customFormat="false" ht="23.25" hidden="false" customHeight="true" outlineLevel="0" collapsed="false">
      <c r="A128" s="7" t="s">
        <v>715</v>
      </c>
      <c r="B128" s="7" t="s">
        <v>716</v>
      </c>
      <c r="C128" s="7" t="s">
        <v>162</v>
      </c>
      <c r="D128" s="7" t="s">
        <v>281</v>
      </c>
      <c r="E128" s="7" t="s">
        <v>700</v>
      </c>
      <c r="F128" s="7" t="s">
        <v>717</v>
      </c>
      <c r="G128" s="7" t="s">
        <v>718</v>
      </c>
      <c r="H128" s="7" t="s">
        <v>719</v>
      </c>
      <c r="I128" s="8" t="s">
        <v>89</v>
      </c>
      <c r="J128" s="7" t="s">
        <v>720</v>
      </c>
    </row>
    <row r="129" customFormat="false" ht="15" hidden="false" customHeight="true" outlineLevel="0" collapsed="false">
      <c r="A129" s="7" t="s">
        <v>721</v>
      </c>
      <c r="B129" s="7" t="s">
        <v>722</v>
      </c>
      <c r="C129" s="7" t="s">
        <v>130</v>
      </c>
      <c r="D129" s="7" t="s">
        <v>281</v>
      </c>
      <c r="E129" s="7" t="s">
        <v>700</v>
      </c>
      <c r="F129" s="7" t="s">
        <v>723</v>
      </c>
      <c r="G129" s="7" t="s">
        <v>724</v>
      </c>
      <c r="H129" s="7" t="s">
        <v>725</v>
      </c>
      <c r="I129" s="8" t="s">
        <v>89</v>
      </c>
      <c r="J129" s="7"/>
    </row>
    <row r="130" customFormat="false" ht="15" hidden="false" customHeight="true" outlineLevel="0" collapsed="false">
      <c r="A130" s="7" t="s">
        <v>726</v>
      </c>
      <c r="B130" s="7" t="s">
        <v>727</v>
      </c>
      <c r="C130" s="7" t="s">
        <v>162</v>
      </c>
      <c r="D130" s="7" t="s">
        <v>508</v>
      </c>
      <c r="E130" s="7" t="s">
        <v>700</v>
      </c>
      <c r="F130" s="7" t="s">
        <v>728</v>
      </c>
      <c r="G130" s="7" t="s">
        <v>729</v>
      </c>
      <c r="H130" s="7" t="s">
        <v>730</v>
      </c>
      <c r="I130" s="8" t="s">
        <v>89</v>
      </c>
      <c r="J130" s="7" t="s">
        <v>731</v>
      </c>
    </row>
    <row r="131" customFormat="false" ht="23.25" hidden="false" customHeight="true" outlineLevel="0" collapsed="false">
      <c r="A131" s="7" t="s">
        <v>732</v>
      </c>
      <c r="B131" s="7" t="s">
        <v>733</v>
      </c>
      <c r="C131" s="7" t="s">
        <v>130</v>
      </c>
      <c r="D131" s="7" t="s">
        <v>734</v>
      </c>
      <c r="E131" s="7" t="s">
        <v>495</v>
      </c>
      <c r="F131" s="7" t="s">
        <v>735</v>
      </c>
      <c r="G131" s="7" t="s">
        <v>736</v>
      </c>
      <c r="H131" s="7" t="s">
        <v>737</v>
      </c>
      <c r="I131" s="8" t="s">
        <v>89</v>
      </c>
      <c r="J131" s="7" t="s">
        <v>738</v>
      </c>
    </row>
    <row r="132" customFormat="false" ht="23.25" hidden="false" customHeight="true" outlineLevel="0" collapsed="false">
      <c r="A132" s="7" t="s">
        <v>739</v>
      </c>
      <c r="B132" s="7" t="s">
        <v>740</v>
      </c>
      <c r="C132" s="7" t="s">
        <v>162</v>
      </c>
      <c r="D132" s="7" t="s">
        <v>508</v>
      </c>
      <c r="E132" s="7" t="s">
        <v>495</v>
      </c>
      <c r="F132" s="7" t="s">
        <v>741</v>
      </c>
      <c r="G132" s="7" t="s">
        <v>742</v>
      </c>
      <c r="H132" s="7" t="s">
        <v>743</v>
      </c>
      <c r="I132" s="8" t="s">
        <v>89</v>
      </c>
      <c r="J132" s="7"/>
    </row>
    <row r="133" customFormat="false" ht="23.25" hidden="false" customHeight="true" outlineLevel="0" collapsed="false">
      <c r="A133" s="7" t="s">
        <v>744</v>
      </c>
      <c r="B133" s="7" t="s">
        <v>745</v>
      </c>
      <c r="C133" s="7" t="s">
        <v>162</v>
      </c>
      <c r="D133" s="7" t="s">
        <v>508</v>
      </c>
      <c r="E133" s="7" t="s">
        <v>495</v>
      </c>
      <c r="F133" s="7" t="s">
        <v>746</v>
      </c>
      <c r="G133" s="7" t="s">
        <v>747</v>
      </c>
      <c r="H133" s="7" t="s">
        <v>748</v>
      </c>
      <c r="I133" s="8" t="s">
        <v>89</v>
      </c>
      <c r="J133" s="7" t="s">
        <v>749</v>
      </c>
    </row>
    <row r="134" customFormat="false" ht="23.25" hidden="false" customHeight="true" outlineLevel="0" collapsed="false">
      <c r="A134" s="7" t="s">
        <v>750</v>
      </c>
      <c r="B134" s="7" t="s">
        <v>751</v>
      </c>
      <c r="C134" s="7" t="s">
        <v>162</v>
      </c>
      <c r="D134" s="7" t="s">
        <v>508</v>
      </c>
      <c r="E134" s="7" t="s">
        <v>495</v>
      </c>
      <c r="F134" s="7" t="s">
        <v>752</v>
      </c>
      <c r="G134" s="7" t="s">
        <v>753</v>
      </c>
      <c r="H134" s="7" t="s">
        <v>754</v>
      </c>
      <c r="I134" s="8" t="s">
        <v>89</v>
      </c>
      <c r="J134" s="7"/>
    </row>
    <row r="135" customFormat="false" ht="15" hidden="false" customHeight="true" outlineLevel="0" collapsed="false">
      <c r="A135" s="7" t="s">
        <v>755</v>
      </c>
      <c r="B135" s="7" t="s">
        <v>756</v>
      </c>
      <c r="C135" s="7" t="s">
        <v>162</v>
      </c>
      <c r="D135" s="7" t="s">
        <v>508</v>
      </c>
      <c r="E135" s="7" t="s">
        <v>495</v>
      </c>
      <c r="F135" s="7" t="s">
        <v>757</v>
      </c>
      <c r="G135" s="7" t="s">
        <v>758</v>
      </c>
      <c r="H135" s="7" t="s">
        <v>759</v>
      </c>
      <c r="I135" s="8" t="s">
        <v>89</v>
      </c>
      <c r="J135" s="7"/>
    </row>
    <row r="136" customFormat="false" ht="15" hidden="false" customHeight="true" outlineLevel="0" collapsed="false">
      <c r="A136" s="7" t="s">
        <v>760</v>
      </c>
      <c r="B136" s="7" t="s">
        <v>761</v>
      </c>
      <c r="C136" s="7" t="s">
        <v>130</v>
      </c>
      <c r="D136" s="7" t="s">
        <v>281</v>
      </c>
      <c r="E136" s="7" t="s">
        <v>495</v>
      </c>
      <c r="F136" s="7" t="s">
        <v>762</v>
      </c>
      <c r="G136" s="7" t="s">
        <v>763</v>
      </c>
      <c r="H136" s="7" t="s">
        <v>764</v>
      </c>
      <c r="I136" s="8" t="s">
        <v>89</v>
      </c>
      <c r="J136" s="7" t="s">
        <v>765</v>
      </c>
    </row>
    <row r="137" customFormat="false" ht="15" hidden="false" customHeight="true" outlineLevel="0" collapsed="false">
      <c r="A137" s="7" t="s">
        <v>766</v>
      </c>
      <c r="B137" s="7" t="s">
        <v>767</v>
      </c>
      <c r="C137" s="7" t="s">
        <v>130</v>
      </c>
      <c r="D137" s="7" t="s">
        <v>281</v>
      </c>
      <c r="E137" s="7" t="s">
        <v>495</v>
      </c>
      <c r="F137" s="7" t="s">
        <v>768</v>
      </c>
      <c r="G137" s="7" t="s">
        <v>769</v>
      </c>
      <c r="H137" s="7" t="s">
        <v>770</v>
      </c>
      <c r="I137" s="8" t="s">
        <v>89</v>
      </c>
      <c r="J137" s="7" t="s">
        <v>771</v>
      </c>
    </row>
    <row r="138" customFormat="false" ht="23.25" hidden="false" customHeight="true" outlineLevel="0" collapsed="false">
      <c r="A138" s="7" t="s">
        <v>772</v>
      </c>
      <c r="B138" s="7" t="s">
        <v>773</v>
      </c>
      <c r="C138" s="7" t="s">
        <v>130</v>
      </c>
      <c r="D138" s="7" t="s">
        <v>508</v>
      </c>
      <c r="E138" s="7" t="s">
        <v>495</v>
      </c>
      <c r="F138" s="7" t="s">
        <v>774</v>
      </c>
      <c r="G138" s="7" t="s">
        <v>775</v>
      </c>
      <c r="H138" s="7" t="s">
        <v>776</v>
      </c>
      <c r="I138" s="8" t="s">
        <v>89</v>
      </c>
      <c r="J138" s="7" t="s">
        <v>777</v>
      </c>
    </row>
    <row r="139" customFormat="false" ht="15" hidden="false" customHeight="true" outlineLevel="0" collapsed="false">
      <c r="A139" s="7" t="s">
        <v>778</v>
      </c>
      <c r="B139" s="7" t="s">
        <v>779</v>
      </c>
      <c r="C139" s="7" t="s">
        <v>162</v>
      </c>
      <c r="D139" s="7" t="s">
        <v>508</v>
      </c>
      <c r="E139" s="7" t="s">
        <v>495</v>
      </c>
      <c r="F139" s="7" t="s">
        <v>780</v>
      </c>
      <c r="G139" s="7" t="s">
        <v>775</v>
      </c>
      <c r="H139" s="7" t="s">
        <v>781</v>
      </c>
      <c r="I139" s="8" t="s">
        <v>89</v>
      </c>
      <c r="J139" s="7" t="s">
        <v>782</v>
      </c>
    </row>
    <row r="140" customFormat="false" ht="15" hidden="false" customHeight="true" outlineLevel="0" collapsed="false">
      <c r="A140" s="7" t="s">
        <v>783</v>
      </c>
      <c r="B140" s="7" t="s">
        <v>784</v>
      </c>
      <c r="C140" s="7" t="s">
        <v>162</v>
      </c>
      <c r="D140" s="7" t="s">
        <v>785</v>
      </c>
      <c r="E140" s="7" t="s">
        <v>786</v>
      </c>
      <c r="F140" s="7" t="s">
        <v>787</v>
      </c>
      <c r="G140" s="7" t="s">
        <v>788</v>
      </c>
      <c r="H140" s="7" t="s">
        <v>789</v>
      </c>
      <c r="I140" s="8" t="s">
        <v>89</v>
      </c>
      <c r="J140" s="7" t="s">
        <v>790</v>
      </c>
    </row>
    <row r="141" customFormat="false" ht="15" hidden="false" customHeight="true" outlineLevel="0" collapsed="false">
      <c r="A141" s="7" t="s">
        <v>791</v>
      </c>
      <c r="B141" s="7" t="s">
        <v>792</v>
      </c>
      <c r="C141" s="7" t="s">
        <v>162</v>
      </c>
      <c r="D141" s="7" t="s">
        <v>785</v>
      </c>
      <c r="E141" s="7" t="s">
        <v>786</v>
      </c>
      <c r="F141" s="7" t="s">
        <v>793</v>
      </c>
      <c r="G141" s="7" t="s">
        <v>794</v>
      </c>
      <c r="H141" s="7" t="s">
        <v>795</v>
      </c>
      <c r="I141" s="8" t="s">
        <v>89</v>
      </c>
      <c r="J141" s="7" t="s">
        <v>796</v>
      </c>
    </row>
    <row r="142" customFormat="false" ht="23.25" hidden="false" customHeight="true" outlineLevel="0" collapsed="false">
      <c r="A142" s="7" t="s">
        <v>797</v>
      </c>
      <c r="B142" s="7" t="s">
        <v>798</v>
      </c>
      <c r="C142" s="7" t="s">
        <v>162</v>
      </c>
      <c r="D142" s="7" t="s">
        <v>785</v>
      </c>
      <c r="E142" s="7" t="s">
        <v>786</v>
      </c>
      <c r="F142" s="7" t="s">
        <v>799</v>
      </c>
      <c r="G142" s="7" t="s">
        <v>800</v>
      </c>
      <c r="H142" s="7" t="s">
        <v>801</v>
      </c>
      <c r="I142" s="8" t="s">
        <v>89</v>
      </c>
      <c r="J142" s="7" t="s">
        <v>802</v>
      </c>
    </row>
    <row r="143" customFormat="false" ht="15" hidden="false" customHeight="true" outlineLevel="0" collapsed="false">
      <c r="A143" s="7" t="s">
        <v>803</v>
      </c>
      <c r="B143" s="7" t="s">
        <v>804</v>
      </c>
      <c r="C143" s="7" t="s">
        <v>162</v>
      </c>
      <c r="D143" s="7" t="s">
        <v>785</v>
      </c>
      <c r="E143" s="7" t="s">
        <v>786</v>
      </c>
      <c r="F143" s="7" t="s">
        <v>805</v>
      </c>
      <c r="G143" s="7" t="s">
        <v>806</v>
      </c>
      <c r="H143" s="7" t="s">
        <v>807</v>
      </c>
      <c r="I143" s="8" t="s">
        <v>89</v>
      </c>
      <c r="J143" s="7"/>
    </row>
    <row r="144" customFormat="false" ht="15" hidden="false" customHeight="true" outlineLevel="0" collapsed="false">
      <c r="A144" s="7" t="s">
        <v>808</v>
      </c>
      <c r="B144" s="7" t="s">
        <v>809</v>
      </c>
      <c r="C144" s="7" t="s">
        <v>162</v>
      </c>
      <c r="D144" s="7" t="s">
        <v>785</v>
      </c>
      <c r="E144" s="7" t="s">
        <v>786</v>
      </c>
      <c r="F144" s="7" t="s">
        <v>805</v>
      </c>
      <c r="G144" s="7" t="s">
        <v>810</v>
      </c>
      <c r="H144" s="7" t="s">
        <v>811</v>
      </c>
      <c r="I144" s="8" t="s">
        <v>89</v>
      </c>
      <c r="J144" s="7"/>
    </row>
    <row r="145" customFormat="false" ht="15" hidden="false" customHeight="true" outlineLevel="0" collapsed="false">
      <c r="A145" s="7" t="s">
        <v>812</v>
      </c>
      <c r="B145" s="7" t="s">
        <v>813</v>
      </c>
      <c r="C145" s="7" t="s">
        <v>162</v>
      </c>
      <c r="D145" s="7" t="s">
        <v>785</v>
      </c>
      <c r="E145" s="7" t="s">
        <v>786</v>
      </c>
      <c r="F145" s="7" t="s">
        <v>814</v>
      </c>
      <c r="G145" s="7" t="s">
        <v>815</v>
      </c>
      <c r="H145" s="7" t="s">
        <v>816</v>
      </c>
      <c r="I145" s="8" t="s">
        <v>89</v>
      </c>
      <c r="J145" s="7"/>
    </row>
    <row r="146" customFormat="false" ht="15" hidden="false" customHeight="true" outlineLevel="0" collapsed="false">
      <c r="A146" s="7" t="s">
        <v>817</v>
      </c>
      <c r="B146" s="7" t="s">
        <v>818</v>
      </c>
      <c r="C146" s="7" t="s">
        <v>162</v>
      </c>
      <c r="D146" s="7" t="s">
        <v>785</v>
      </c>
      <c r="E146" s="7" t="s">
        <v>786</v>
      </c>
      <c r="F146" s="7" t="s">
        <v>819</v>
      </c>
      <c r="G146" s="7" t="s">
        <v>820</v>
      </c>
      <c r="H146" s="7" t="s">
        <v>821</v>
      </c>
      <c r="I146" s="8" t="s">
        <v>89</v>
      </c>
      <c r="J146" s="7" t="s">
        <v>822</v>
      </c>
    </row>
    <row r="147" customFormat="false" ht="15" hidden="false" customHeight="true" outlineLevel="0" collapsed="false">
      <c r="A147" s="7" t="s">
        <v>823</v>
      </c>
      <c r="B147" s="7" t="s">
        <v>824</v>
      </c>
      <c r="C147" s="7" t="s">
        <v>162</v>
      </c>
      <c r="D147" s="7" t="s">
        <v>785</v>
      </c>
      <c r="E147" s="7" t="s">
        <v>786</v>
      </c>
      <c r="F147" s="7" t="s">
        <v>825</v>
      </c>
      <c r="G147" s="7" t="s">
        <v>788</v>
      </c>
      <c r="H147" s="7" t="s">
        <v>826</v>
      </c>
      <c r="I147" s="8" t="s">
        <v>89</v>
      </c>
      <c r="J147" s="7"/>
    </row>
    <row r="148" customFormat="false" ht="15" hidden="false" customHeight="true" outlineLevel="0" collapsed="false">
      <c r="A148" s="7" t="s">
        <v>827</v>
      </c>
      <c r="B148" s="7" t="s">
        <v>828</v>
      </c>
      <c r="C148" s="7" t="s">
        <v>162</v>
      </c>
      <c r="D148" s="7" t="s">
        <v>785</v>
      </c>
      <c r="E148" s="7" t="s">
        <v>786</v>
      </c>
      <c r="F148" s="7" t="s">
        <v>829</v>
      </c>
      <c r="G148" s="7" t="s">
        <v>830</v>
      </c>
      <c r="H148" s="7" t="s">
        <v>831</v>
      </c>
      <c r="I148" s="8" t="s">
        <v>89</v>
      </c>
      <c r="J148" s="7" t="s">
        <v>832</v>
      </c>
    </row>
    <row r="149" customFormat="false" ht="23.25" hidden="false" customHeight="true" outlineLevel="0" collapsed="false">
      <c r="A149" s="7" t="s">
        <v>833</v>
      </c>
      <c r="B149" s="7" t="s">
        <v>834</v>
      </c>
      <c r="C149" s="7" t="s">
        <v>130</v>
      </c>
      <c r="D149" s="7" t="s">
        <v>281</v>
      </c>
      <c r="E149" s="7" t="s">
        <v>835</v>
      </c>
      <c r="F149" s="7" t="s">
        <v>836</v>
      </c>
      <c r="G149" s="7" t="s">
        <v>837</v>
      </c>
      <c r="H149" s="7" t="s">
        <v>838</v>
      </c>
      <c r="I149" s="8" t="s">
        <v>89</v>
      </c>
      <c r="J149" s="7" t="s">
        <v>839</v>
      </c>
    </row>
    <row r="150" customFormat="false" ht="23.25" hidden="false" customHeight="true" outlineLevel="0" collapsed="false">
      <c r="A150" s="7" t="s">
        <v>840</v>
      </c>
      <c r="B150" s="7" t="s">
        <v>841</v>
      </c>
      <c r="C150" s="7" t="s">
        <v>130</v>
      </c>
      <c r="D150" s="7" t="s">
        <v>281</v>
      </c>
      <c r="E150" s="7" t="s">
        <v>835</v>
      </c>
      <c r="F150" s="7" t="s">
        <v>842</v>
      </c>
      <c r="G150" s="7" t="s">
        <v>843</v>
      </c>
      <c r="H150" s="7" t="s">
        <v>844</v>
      </c>
      <c r="I150" s="8" t="s">
        <v>89</v>
      </c>
      <c r="J150" s="7"/>
    </row>
    <row r="151" customFormat="false" ht="15" hidden="false" customHeight="true" outlineLevel="0" collapsed="false">
      <c r="A151" s="7" t="s">
        <v>845</v>
      </c>
      <c r="B151" s="7" t="s">
        <v>846</v>
      </c>
      <c r="C151" s="7" t="s">
        <v>130</v>
      </c>
      <c r="D151" s="7" t="s">
        <v>281</v>
      </c>
      <c r="E151" s="7" t="s">
        <v>835</v>
      </c>
      <c r="F151" s="7" t="s">
        <v>847</v>
      </c>
      <c r="G151" s="7" t="s">
        <v>848</v>
      </c>
      <c r="H151" s="7" t="s">
        <v>849</v>
      </c>
      <c r="I151" s="8" t="s">
        <v>89</v>
      </c>
      <c r="J151" s="7"/>
    </row>
    <row r="152" customFormat="false" ht="23.25" hidden="false" customHeight="true" outlineLevel="0" collapsed="false">
      <c r="A152" s="7" t="s">
        <v>850</v>
      </c>
      <c r="B152" s="7" t="s">
        <v>851</v>
      </c>
      <c r="C152" s="7" t="s">
        <v>130</v>
      </c>
      <c r="D152" s="7" t="s">
        <v>508</v>
      </c>
      <c r="E152" s="7" t="s">
        <v>835</v>
      </c>
      <c r="F152" s="7" t="s">
        <v>852</v>
      </c>
      <c r="G152" s="7" t="s">
        <v>853</v>
      </c>
      <c r="H152" s="7" t="s">
        <v>854</v>
      </c>
      <c r="I152" s="8" t="s">
        <v>89</v>
      </c>
      <c r="J152" s="7" t="s">
        <v>855</v>
      </c>
    </row>
    <row r="153" customFormat="false" ht="15" hidden="false" customHeight="true" outlineLevel="0" collapsed="false">
      <c r="A153" s="7" t="s">
        <v>856</v>
      </c>
      <c r="B153" s="7" t="s">
        <v>857</v>
      </c>
      <c r="C153" s="7" t="s">
        <v>130</v>
      </c>
      <c r="D153" s="7" t="s">
        <v>281</v>
      </c>
      <c r="E153" s="7" t="s">
        <v>835</v>
      </c>
      <c r="F153" s="7" t="s">
        <v>858</v>
      </c>
      <c r="G153" s="7" t="s">
        <v>859</v>
      </c>
      <c r="H153" s="7" t="s">
        <v>860</v>
      </c>
      <c r="I153" s="8" t="s">
        <v>89</v>
      </c>
      <c r="J153" s="7" t="s">
        <v>861</v>
      </c>
    </row>
    <row r="154" customFormat="false" ht="15" hidden="false" customHeight="true" outlineLevel="0" collapsed="false">
      <c r="A154" s="7" t="s">
        <v>862</v>
      </c>
      <c r="B154" s="7" t="s">
        <v>863</v>
      </c>
      <c r="C154" s="7" t="s">
        <v>130</v>
      </c>
      <c r="D154" s="7" t="s">
        <v>281</v>
      </c>
      <c r="E154" s="7" t="s">
        <v>835</v>
      </c>
      <c r="F154" s="7" t="s">
        <v>864</v>
      </c>
      <c r="G154" s="7" t="s">
        <v>837</v>
      </c>
      <c r="H154" s="7" t="s">
        <v>865</v>
      </c>
      <c r="I154" s="8" t="s">
        <v>89</v>
      </c>
      <c r="J154" s="7"/>
    </row>
    <row r="155" customFormat="false" ht="23.25" hidden="false" customHeight="true" outlineLevel="0" collapsed="false">
      <c r="A155" s="7" t="s">
        <v>866</v>
      </c>
      <c r="B155" s="7" t="s">
        <v>867</v>
      </c>
      <c r="C155" s="7" t="s">
        <v>130</v>
      </c>
      <c r="D155" s="7" t="s">
        <v>281</v>
      </c>
      <c r="E155" s="7" t="s">
        <v>835</v>
      </c>
      <c r="F155" s="7" t="s">
        <v>868</v>
      </c>
      <c r="G155" s="7" t="s">
        <v>869</v>
      </c>
      <c r="H155" s="7" t="s">
        <v>870</v>
      </c>
      <c r="I155" s="8" t="s">
        <v>89</v>
      </c>
      <c r="J155" s="7"/>
    </row>
    <row r="156" customFormat="false" ht="23.25" hidden="false" customHeight="true" outlineLevel="0" collapsed="false">
      <c r="A156" s="7" t="s">
        <v>871</v>
      </c>
      <c r="B156" s="7" t="s">
        <v>872</v>
      </c>
      <c r="C156" s="7" t="s">
        <v>162</v>
      </c>
      <c r="D156" s="7" t="s">
        <v>508</v>
      </c>
      <c r="E156" s="7" t="s">
        <v>835</v>
      </c>
      <c r="F156" s="7" t="s">
        <v>873</v>
      </c>
      <c r="G156" s="7" t="s">
        <v>533</v>
      </c>
      <c r="H156" s="7" t="s">
        <v>874</v>
      </c>
      <c r="I156" s="10" t="s">
        <v>137</v>
      </c>
      <c r="J156" s="7" t="s">
        <v>875</v>
      </c>
    </row>
    <row r="157" customFormat="false" ht="23.85" hidden="false" customHeight="false" outlineLevel="0" collapsed="false">
      <c r="A157" s="7" t="s">
        <v>876</v>
      </c>
      <c r="B157" s="7" t="s">
        <v>877</v>
      </c>
      <c r="C157" s="7" t="s">
        <v>130</v>
      </c>
      <c r="D157" s="7" t="s">
        <v>146</v>
      </c>
      <c r="E157" s="7" t="s">
        <v>878</v>
      </c>
      <c r="F157" s="7" t="s">
        <v>879</v>
      </c>
      <c r="G157" s="7" t="s">
        <v>880</v>
      </c>
      <c r="H157" s="7" t="s">
        <v>881</v>
      </c>
      <c r="I157" s="8" t="s">
        <v>89</v>
      </c>
      <c r="J157" s="7" t="s">
        <v>882</v>
      </c>
    </row>
    <row r="158" customFormat="false" ht="15" hidden="false" customHeight="false" outlineLevel="0" collapsed="false">
      <c r="A158" s="7" t="s">
        <v>883</v>
      </c>
      <c r="B158" s="7" t="s">
        <v>884</v>
      </c>
      <c r="C158" s="7" t="s">
        <v>130</v>
      </c>
      <c r="D158" s="7" t="s">
        <v>146</v>
      </c>
      <c r="E158" s="7" t="s">
        <v>878</v>
      </c>
      <c r="F158" s="7" t="s">
        <v>885</v>
      </c>
      <c r="G158" s="7" t="s">
        <v>886</v>
      </c>
      <c r="H158" s="7" t="s">
        <v>887</v>
      </c>
      <c r="I158" s="8" t="s">
        <v>89</v>
      </c>
      <c r="J158" s="7"/>
    </row>
    <row r="159" customFormat="false" ht="15" hidden="false" customHeight="false" outlineLevel="0" collapsed="false">
      <c r="A159" s="7" t="s">
        <v>888</v>
      </c>
      <c r="B159" s="7" t="s">
        <v>889</v>
      </c>
      <c r="C159" s="7" t="s">
        <v>130</v>
      </c>
      <c r="D159" s="7" t="s">
        <v>281</v>
      </c>
      <c r="E159" s="7" t="s">
        <v>878</v>
      </c>
      <c r="F159" s="7" t="s">
        <v>890</v>
      </c>
      <c r="G159" s="7" t="s">
        <v>891</v>
      </c>
      <c r="H159" s="7" t="s">
        <v>892</v>
      </c>
      <c r="I159" s="8" t="s">
        <v>89</v>
      </c>
      <c r="J159" s="7"/>
    </row>
    <row r="160" customFormat="false" ht="15" hidden="false" customHeight="false" outlineLevel="0" collapsed="false">
      <c r="A160" s="7" t="s">
        <v>893</v>
      </c>
      <c r="B160" s="7" t="s">
        <v>894</v>
      </c>
      <c r="C160" s="7" t="s">
        <v>130</v>
      </c>
      <c r="D160" s="7" t="s">
        <v>281</v>
      </c>
      <c r="E160" s="7" t="s">
        <v>878</v>
      </c>
      <c r="F160" s="7" t="s">
        <v>895</v>
      </c>
      <c r="G160" s="7" t="s">
        <v>896</v>
      </c>
      <c r="H160" s="7" t="s">
        <v>897</v>
      </c>
      <c r="I160" s="8" t="s">
        <v>89</v>
      </c>
      <c r="J160" s="7"/>
    </row>
    <row r="161" customFormat="false" ht="15" hidden="false" customHeight="false" outlineLevel="0" collapsed="false">
      <c r="A161" s="7" t="s">
        <v>898</v>
      </c>
      <c r="B161" s="7" t="s">
        <v>899</v>
      </c>
      <c r="C161" s="7" t="s">
        <v>130</v>
      </c>
      <c r="D161" s="7" t="s">
        <v>281</v>
      </c>
      <c r="E161" s="7" t="s">
        <v>878</v>
      </c>
      <c r="F161" s="7" t="s">
        <v>900</v>
      </c>
      <c r="G161" s="7" t="s">
        <v>901</v>
      </c>
      <c r="H161" s="7" t="s">
        <v>902</v>
      </c>
      <c r="I161" s="8" t="s">
        <v>89</v>
      </c>
      <c r="J161" s="7" t="s">
        <v>903</v>
      </c>
    </row>
    <row r="162" customFormat="false" ht="15" hidden="false" customHeight="false" outlineLevel="0" collapsed="false">
      <c r="A162" s="7" t="s">
        <v>904</v>
      </c>
      <c r="B162" s="7" t="s">
        <v>905</v>
      </c>
      <c r="C162" s="7" t="s">
        <v>130</v>
      </c>
      <c r="D162" s="7" t="s">
        <v>281</v>
      </c>
      <c r="E162" s="7" t="s">
        <v>878</v>
      </c>
      <c r="F162" s="7" t="s">
        <v>906</v>
      </c>
      <c r="G162" s="7" t="s">
        <v>907</v>
      </c>
      <c r="H162" s="7" t="s">
        <v>908</v>
      </c>
      <c r="I162" s="8" t="s">
        <v>89</v>
      </c>
      <c r="J162" s="7"/>
    </row>
    <row r="163" customFormat="false" ht="23.85" hidden="false" customHeight="false" outlineLevel="0" collapsed="false">
      <c r="A163" s="7" t="s">
        <v>909</v>
      </c>
      <c r="B163" s="7" t="s">
        <v>910</v>
      </c>
      <c r="C163" s="7" t="s">
        <v>130</v>
      </c>
      <c r="D163" s="7" t="s">
        <v>281</v>
      </c>
      <c r="E163" s="7" t="s">
        <v>495</v>
      </c>
      <c r="F163" s="7" t="s">
        <v>911</v>
      </c>
      <c r="G163" s="7" t="s">
        <v>912</v>
      </c>
      <c r="H163" s="7" t="s">
        <v>913</v>
      </c>
      <c r="I163" s="8" t="s">
        <v>89</v>
      </c>
      <c r="J163" s="7" t="s">
        <v>914</v>
      </c>
    </row>
    <row r="164" customFormat="false" ht="15" hidden="false" customHeight="false" outlineLevel="0" collapsed="false">
      <c r="A164" s="7" t="s">
        <v>915</v>
      </c>
      <c r="B164" s="7" t="s">
        <v>916</v>
      </c>
      <c r="C164" s="7" t="s">
        <v>130</v>
      </c>
      <c r="D164" s="7" t="s">
        <v>508</v>
      </c>
      <c r="E164" s="7" t="s">
        <v>495</v>
      </c>
      <c r="F164" s="7" t="s">
        <v>917</v>
      </c>
      <c r="G164" s="7" t="s">
        <v>918</v>
      </c>
      <c r="H164" s="7" t="s">
        <v>919</v>
      </c>
      <c r="I164" s="8" t="s">
        <v>89</v>
      </c>
      <c r="J164" s="7" t="s">
        <v>920</v>
      </c>
    </row>
    <row r="165" customFormat="false" ht="23.85" hidden="false" customHeight="false" outlineLevel="0" collapsed="false">
      <c r="A165" s="7" t="s">
        <v>921</v>
      </c>
      <c r="B165" s="7" t="s">
        <v>922</v>
      </c>
      <c r="C165" s="7" t="s">
        <v>130</v>
      </c>
      <c r="D165" s="7" t="s">
        <v>508</v>
      </c>
      <c r="E165" s="7" t="s">
        <v>495</v>
      </c>
      <c r="F165" s="7" t="s">
        <v>923</v>
      </c>
      <c r="G165" s="7" t="s">
        <v>924</v>
      </c>
      <c r="H165" s="7" t="s">
        <v>925</v>
      </c>
      <c r="I165" s="8" t="s">
        <v>89</v>
      </c>
      <c r="J165" s="7" t="s">
        <v>926</v>
      </c>
    </row>
    <row r="166" customFormat="false" ht="15" hidden="false" customHeight="false" outlineLevel="0" collapsed="false">
      <c r="A166" s="7" t="s">
        <v>927</v>
      </c>
      <c r="B166" s="7" t="s">
        <v>928</v>
      </c>
      <c r="C166" s="7" t="s">
        <v>130</v>
      </c>
      <c r="D166" s="7" t="s">
        <v>508</v>
      </c>
      <c r="E166" s="7" t="s">
        <v>495</v>
      </c>
      <c r="F166" s="7" t="s">
        <v>929</v>
      </c>
      <c r="G166" s="7" t="s">
        <v>930</v>
      </c>
      <c r="H166" s="7" t="s">
        <v>931</v>
      </c>
      <c r="I166" s="8" t="s">
        <v>89</v>
      </c>
      <c r="J166" s="7" t="s">
        <v>932</v>
      </c>
    </row>
    <row r="167" customFormat="false" ht="15" hidden="false" customHeight="false" outlineLevel="0" collapsed="false">
      <c r="A167" s="7" t="s">
        <v>933</v>
      </c>
      <c r="B167" s="7" t="s">
        <v>934</v>
      </c>
      <c r="C167" s="7" t="s">
        <v>130</v>
      </c>
      <c r="D167" s="7" t="s">
        <v>734</v>
      </c>
      <c r="E167" s="7" t="s">
        <v>495</v>
      </c>
      <c r="F167" s="7" t="s">
        <v>935</v>
      </c>
      <c r="G167" s="7" t="s">
        <v>936</v>
      </c>
      <c r="H167" s="7" t="s">
        <v>937</v>
      </c>
      <c r="I167" s="8" t="s">
        <v>89</v>
      </c>
      <c r="J167" s="7" t="s">
        <v>938</v>
      </c>
    </row>
    <row r="168" customFormat="false" ht="15" hidden="false" customHeight="false" outlineLevel="0" collapsed="false">
      <c r="A168" s="7" t="s">
        <v>939</v>
      </c>
      <c r="B168" s="7" t="s">
        <v>940</v>
      </c>
      <c r="C168" s="7" t="s">
        <v>130</v>
      </c>
      <c r="D168" s="7" t="s">
        <v>281</v>
      </c>
      <c r="E168" s="7" t="s">
        <v>700</v>
      </c>
      <c r="F168" s="7" t="s">
        <v>941</v>
      </c>
      <c r="G168" s="7" t="s">
        <v>942</v>
      </c>
      <c r="H168" s="7" t="s">
        <v>943</v>
      </c>
      <c r="I168" s="8" t="s">
        <v>89</v>
      </c>
      <c r="J168" s="7" t="s">
        <v>944</v>
      </c>
    </row>
    <row r="169" customFormat="false" ht="23.85" hidden="false" customHeight="false" outlineLevel="0" collapsed="false">
      <c r="A169" s="7" t="s">
        <v>945</v>
      </c>
      <c r="B169" s="7" t="s">
        <v>946</v>
      </c>
      <c r="C169" s="7" t="s">
        <v>130</v>
      </c>
      <c r="D169" s="7" t="s">
        <v>281</v>
      </c>
      <c r="E169" s="7" t="s">
        <v>700</v>
      </c>
      <c r="F169" s="7" t="s">
        <v>947</v>
      </c>
      <c r="G169" s="7" t="s">
        <v>948</v>
      </c>
      <c r="H169" s="7" t="s">
        <v>943</v>
      </c>
      <c r="I169" s="8" t="s">
        <v>89</v>
      </c>
      <c r="J169" s="7" t="s">
        <v>949</v>
      </c>
    </row>
  </sheetData>
  <autoFilter ref="A2:J1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32"/>
    <col collapsed="false" customWidth="true" hidden="false" outlineLevel="0" max="3" min="3" style="1" width="8"/>
    <col collapsed="false" customWidth="true" hidden="false" outlineLevel="0" max="4" min="4" style="1" width="10"/>
    <col collapsed="false" customWidth="true" hidden="false" outlineLevel="0" max="5" min="5" style="1" width="34"/>
    <col collapsed="false" customWidth="true" hidden="false" outlineLevel="0" max="6" min="6" style="1" width="32"/>
    <col collapsed="false" customWidth="true" hidden="false" outlineLevel="0" max="7" min="7" style="1" width="30"/>
    <col collapsed="false" customWidth="true" hidden="false" outlineLevel="0" max="8" min="8" style="1" width="15"/>
    <col collapsed="false" customWidth="true" hidden="false" outlineLevel="0" max="9" min="9" style="1" width="48"/>
  </cols>
  <sheetData>
    <row r="1" customFormat="false" ht="15" hidden="false" customHeight="true" outlineLevel="0" collapsed="false">
      <c r="A1" s="12" t="s">
        <v>950</v>
      </c>
    </row>
    <row r="2" customFormat="false" ht="15" hidden="false" customHeight="true" outlineLevel="0" collapsed="false">
      <c r="A2" s="6" t="s">
        <v>71</v>
      </c>
      <c r="B2" s="6" t="s">
        <v>72</v>
      </c>
      <c r="C2" s="6" t="s">
        <v>73</v>
      </c>
      <c r="D2" s="6" t="s">
        <v>75</v>
      </c>
      <c r="E2" s="6" t="s">
        <v>951</v>
      </c>
      <c r="F2" s="6" t="s">
        <v>952</v>
      </c>
      <c r="G2" s="6" t="s">
        <v>953</v>
      </c>
      <c r="H2" s="6" t="s">
        <v>79</v>
      </c>
      <c r="I2" s="6" t="s">
        <v>954</v>
      </c>
    </row>
    <row r="3" customFormat="false" ht="15" hidden="false" customHeight="true" outlineLevel="0" collapsed="false">
      <c r="A3" s="7" t="s">
        <v>955</v>
      </c>
      <c r="B3" s="7" t="s">
        <v>956</v>
      </c>
      <c r="C3" s="13" t="s">
        <v>83</v>
      </c>
      <c r="D3" s="7" t="s">
        <v>957</v>
      </c>
      <c r="E3" s="7" t="s">
        <v>958</v>
      </c>
      <c r="F3" s="7" t="s">
        <v>959</v>
      </c>
      <c r="G3" s="7" t="s">
        <v>960</v>
      </c>
      <c r="H3" s="8" t="s">
        <v>89</v>
      </c>
      <c r="I3" s="7"/>
    </row>
    <row r="4" customFormat="false" ht="15" hidden="false" customHeight="true" outlineLevel="0" collapsed="false">
      <c r="A4" s="7" t="s">
        <v>961</v>
      </c>
      <c r="B4" s="7" t="s">
        <v>962</v>
      </c>
      <c r="C4" s="13" t="s">
        <v>83</v>
      </c>
      <c r="D4" s="7" t="s">
        <v>957</v>
      </c>
      <c r="E4" s="7" t="s">
        <v>963</v>
      </c>
      <c r="F4" s="7" t="s">
        <v>964</v>
      </c>
      <c r="G4" s="7" t="s">
        <v>42</v>
      </c>
      <c r="H4" s="8" t="s">
        <v>89</v>
      </c>
      <c r="I4" s="7"/>
    </row>
    <row r="5" customFormat="false" ht="15" hidden="false" customHeight="true" outlineLevel="0" collapsed="false">
      <c r="A5" s="7" t="s">
        <v>965</v>
      </c>
      <c r="B5" s="7" t="s">
        <v>966</v>
      </c>
      <c r="C5" s="13" t="s">
        <v>83</v>
      </c>
      <c r="D5" s="7" t="s">
        <v>957</v>
      </c>
      <c r="E5" s="7" t="s">
        <v>967</v>
      </c>
      <c r="F5" s="7" t="s">
        <v>968</v>
      </c>
      <c r="G5" s="7" t="s">
        <v>42</v>
      </c>
      <c r="H5" s="8" t="s">
        <v>89</v>
      </c>
      <c r="I5" s="7"/>
    </row>
    <row r="6" customFormat="false" ht="15" hidden="false" customHeight="true" outlineLevel="0" collapsed="false">
      <c r="A6" s="7" t="s">
        <v>969</v>
      </c>
      <c r="B6" s="7" t="s">
        <v>970</v>
      </c>
      <c r="C6" s="13" t="s">
        <v>83</v>
      </c>
      <c r="D6" s="7" t="s">
        <v>957</v>
      </c>
      <c r="E6" s="7" t="s">
        <v>971</v>
      </c>
      <c r="F6" s="7" t="s">
        <v>972</v>
      </c>
      <c r="G6" s="7" t="s">
        <v>973</v>
      </c>
      <c r="H6" s="8" t="s">
        <v>89</v>
      </c>
      <c r="I6" s="7"/>
    </row>
    <row r="7" customFormat="false" ht="15" hidden="false" customHeight="true" outlineLevel="0" collapsed="false">
      <c r="A7" s="7" t="s">
        <v>974</v>
      </c>
      <c r="B7" s="7" t="s">
        <v>975</v>
      </c>
      <c r="C7" s="13" t="s">
        <v>130</v>
      </c>
      <c r="D7" s="7" t="s">
        <v>957</v>
      </c>
      <c r="E7" s="7" t="s">
        <v>976</v>
      </c>
      <c r="F7" s="7" t="s">
        <v>977</v>
      </c>
      <c r="G7" s="7" t="s">
        <v>42</v>
      </c>
      <c r="H7" s="8" t="s">
        <v>89</v>
      </c>
      <c r="I7" s="7"/>
    </row>
    <row r="8" customFormat="false" ht="15" hidden="false" customHeight="true" outlineLevel="0" collapsed="false">
      <c r="A8" s="7" t="s">
        <v>978</v>
      </c>
      <c r="B8" s="7" t="s">
        <v>979</v>
      </c>
      <c r="C8" s="13" t="s">
        <v>83</v>
      </c>
      <c r="D8" s="7" t="s">
        <v>957</v>
      </c>
      <c r="E8" s="7" t="s">
        <v>980</v>
      </c>
      <c r="F8" s="7" t="s">
        <v>981</v>
      </c>
      <c r="G8" s="7" t="s">
        <v>982</v>
      </c>
      <c r="H8" s="8" t="s">
        <v>89</v>
      </c>
      <c r="I8" s="7"/>
    </row>
    <row r="9" customFormat="false" ht="15" hidden="false" customHeight="true" outlineLevel="0" collapsed="false">
      <c r="A9" s="7" t="s">
        <v>983</v>
      </c>
      <c r="B9" s="7" t="s">
        <v>984</v>
      </c>
      <c r="C9" s="13" t="s">
        <v>130</v>
      </c>
      <c r="D9" s="7" t="s">
        <v>957</v>
      </c>
      <c r="E9" s="7" t="s">
        <v>985</v>
      </c>
      <c r="F9" s="7" t="s">
        <v>986</v>
      </c>
      <c r="G9" s="7" t="s">
        <v>987</v>
      </c>
      <c r="H9" s="8" t="s">
        <v>89</v>
      </c>
      <c r="I9" s="7"/>
    </row>
    <row r="10" customFormat="false" ht="15" hidden="false" customHeight="true" outlineLevel="0" collapsed="false">
      <c r="A10" s="7" t="s">
        <v>988</v>
      </c>
      <c r="B10" s="7" t="s">
        <v>989</v>
      </c>
      <c r="C10" s="13" t="s">
        <v>130</v>
      </c>
      <c r="D10" s="7" t="s">
        <v>957</v>
      </c>
      <c r="E10" s="7" t="s">
        <v>990</v>
      </c>
      <c r="F10" s="7" t="s">
        <v>991</v>
      </c>
      <c r="G10" s="7" t="s">
        <v>992</v>
      </c>
      <c r="H10" s="8" t="s">
        <v>89</v>
      </c>
      <c r="I10" s="7"/>
    </row>
    <row r="11" customFormat="false" ht="15" hidden="false" customHeight="true" outlineLevel="0" collapsed="false">
      <c r="A11" s="7" t="s">
        <v>993</v>
      </c>
      <c r="B11" s="7" t="s">
        <v>994</v>
      </c>
      <c r="C11" s="13" t="s">
        <v>83</v>
      </c>
      <c r="D11" s="7" t="s">
        <v>957</v>
      </c>
      <c r="E11" s="7" t="s">
        <v>995</v>
      </c>
      <c r="F11" s="7" t="s">
        <v>273</v>
      </c>
      <c r="G11" s="7" t="s">
        <v>996</v>
      </c>
      <c r="H11" s="8" t="s">
        <v>89</v>
      </c>
      <c r="I11" s="7"/>
    </row>
    <row r="12" customFormat="false" ht="15" hidden="false" customHeight="true" outlineLevel="0" collapsed="false">
      <c r="A12" s="7" t="s">
        <v>997</v>
      </c>
      <c r="B12" s="7" t="s">
        <v>998</v>
      </c>
      <c r="C12" s="13" t="s">
        <v>83</v>
      </c>
      <c r="D12" s="7" t="s">
        <v>957</v>
      </c>
      <c r="E12" s="7" t="s">
        <v>999</v>
      </c>
      <c r="F12" s="7" t="s">
        <v>1000</v>
      </c>
      <c r="G12" s="7" t="s">
        <v>1001</v>
      </c>
      <c r="H12" s="8" t="s">
        <v>89</v>
      </c>
      <c r="I12" s="7"/>
    </row>
    <row r="13" customFormat="false" ht="15" hidden="false" customHeight="true" outlineLevel="0" collapsed="false">
      <c r="A13" s="7" t="s">
        <v>1002</v>
      </c>
      <c r="B13" s="7" t="s">
        <v>1003</v>
      </c>
      <c r="C13" s="13" t="s">
        <v>83</v>
      </c>
      <c r="D13" s="7" t="s">
        <v>957</v>
      </c>
      <c r="E13" s="7" t="s">
        <v>1004</v>
      </c>
      <c r="F13" s="7" t="s">
        <v>1005</v>
      </c>
      <c r="G13" s="7" t="s">
        <v>42</v>
      </c>
      <c r="H13" s="8" t="s">
        <v>89</v>
      </c>
      <c r="I13" s="7" t="s">
        <v>1006</v>
      </c>
    </row>
    <row r="14" customFormat="false" ht="15" hidden="false" customHeight="true" outlineLevel="0" collapsed="false">
      <c r="A14" s="7" t="s">
        <v>1007</v>
      </c>
      <c r="B14" s="7" t="s">
        <v>1008</v>
      </c>
      <c r="C14" s="13" t="s">
        <v>130</v>
      </c>
      <c r="D14" s="7" t="s">
        <v>957</v>
      </c>
      <c r="E14" s="7" t="s">
        <v>1009</v>
      </c>
      <c r="F14" s="7" t="s">
        <v>1010</v>
      </c>
      <c r="G14" s="7" t="s">
        <v>1011</v>
      </c>
      <c r="H14" s="8" t="s">
        <v>89</v>
      </c>
      <c r="I14" s="7"/>
    </row>
    <row r="15" customFormat="false" ht="15" hidden="false" customHeight="true" outlineLevel="0" collapsed="false">
      <c r="A15" s="7" t="s">
        <v>1012</v>
      </c>
      <c r="B15" s="7" t="s">
        <v>1013</v>
      </c>
      <c r="C15" s="13" t="s">
        <v>83</v>
      </c>
      <c r="D15" s="7" t="s">
        <v>957</v>
      </c>
      <c r="E15" s="7" t="s">
        <v>1014</v>
      </c>
      <c r="F15" s="7" t="s">
        <v>1015</v>
      </c>
      <c r="G15" s="7" t="s">
        <v>1016</v>
      </c>
      <c r="H15" s="8" t="s">
        <v>89</v>
      </c>
      <c r="I15" s="7"/>
    </row>
    <row r="16" customFormat="false" ht="15" hidden="false" customHeight="true" outlineLevel="0" collapsed="false">
      <c r="A16" s="7" t="s">
        <v>1017</v>
      </c>
      <c r="B16" s="7" t="s">
        <v>1018</v>
      </c>
      <c r="C16" s="13" t="s">
        <v>83</v>
      </c>
      <c r="D16" s="7" t="s">
        <v>957</v>
      </c>
      <c r="E16" s="7" t="s">
        <v>1019</v>
      </c>
      <c r="F16" s="7" t="s">
        <v>1020</v>
      </c>
      <c r="G16" s="7" t="s">
        <v>42</v>
      </c>
      <c r="H16" s="8" t="s">
        <v>89</v>
      </c>
      <c r="I16" s="7"/>
    </row>
    <row r="17" customFormat="false" ht="15" hidden="false" customHeight="true" outlineLevel="0" collapsed="false">
      <c r="A17" s="7" t="s">
        <v>1021</v>
      </c>
      <c r="B17" s="7" t="s">
        <v>1022</v>
      </c>
      <c r="C17" s="13" t="s">
        <v>83</v>
      </c>
      <c r="D17" s="7" t="s">
        <v>957</v>
      </c>
      <c r="E17" s="7" t="s">
        <v>1023</v>
      </c>
      <c r="F17" s="7" t="s">
        <v>1024</v>
      </c>
      <c r="G17" s="7" t="s">
        <v>1025</v>
      </c>
      <c r="H17" s="8" t="s">
        <v>89</v>
      </c>
      <c r="I17" s="7"/>
    </row>
    <row r="18" customFormat="false" ht="15" hidden="false" customHeight="true" outlineLevel="0" collapsed="false">
      <c r="A18" s="7" t="s">
        <v>1026</v>
      </c>
      <c r="B18" s="7" t="s">
        <v>1027</v>
      </c>
      <c r="C18" s="13" t="s">
        <v>130</v>
      </c>
      <c r="D18" s="7" t="s">
        <v>957</v>
      </c>
      <c r="E18" s="7" t="s">
        <v>1028</v>
      </c>
      <c r="F18" s="7" t="s">
        <v>448</v>
      </c>
      <c r="G18" s="7" t="s">
        <v>1029</v>
      </c>
      <c r="H18" s="8" t="s">
        <v>89</v>
      </c>
      <c r="I18" s="7"/>
    </row>
    <row r="19" customFormat="false" ht="15" hidden="false" customHeight="true" outlineLevel="0" collapsed="false">
      <c r="A19" s="7" t="s">
        <v>1030</v>
      </c>
      <c r="B19" s="7" t="s">
        <v>1031</v>
      </c>
      <c r="C19" s="13" t="s">
        <v>130</v>
      </c>
      <c r="D19" s="7" t="s">
        <v>957</v>
      </c>
      <c r="E19" s="7" t="s">
        <v>1032</v>
      </c>
      <c r="F19" s="7" t="s">
        <v>1033</v>
      </c>
      <c r="G19" s="7" t="s">
        <v>1034</v>
      </c>
      <c r="H19" s="8" t="s">
        <v>89</v>
      </c>
      <c r="I19" s="7"/>
    </row>
    <row r="20" customFormat="false" ht="15" hidden="false" customHeight="true" outlineLevel="0" collapsed="false">
      <c r="A20" s="7" t="s">
        <v>1035</v>
      </c>
      <c r="B20" s="7" t="s">
        <v>587</v>
      </c>
      <c r="C20" s="13" t="s">
        <v>130</v>
      </c>
      <c r="D20" s="7" t="s">
        <v>957</v>
      </c>
      <c r="E20" s="7" t="s">
        <v>1036</v>
      </c>
      <c r="F20" s="7" t="s">
        <v>1037</v>
      </c>
      <c r="G20" s="7" t="s">
        <v>1038</v>
      </c>
      <c r="H20" s="10" t="s">
        <v>137</v>
      </c>
      <c r="I20" s="7" t="s">
        <v>1039</v>
      </c>
    </row>
    <row r="21" customFormat="false" ht="15" hidden="false" customHeight="true" outlineLevel="0" collapsed="false">
      <c r="A21" s="7" t="s">
        <v>1040</v>
      </c>
      <c r="B21" s="7" t="s">
        <v>1041</v>
      </c>
      <c r="C21" s="13" t="s">
        <v>83</v>
      </c>
      <c r="D21" s="7" t="s">
        <v>957</v>
      </c>
      <c r="E21" s="7" t="s">
        <v>1042</v>
      </c>
      <c r="F21" s="7" t="s">
        <v>1043</v>
      </c>
      <c r="G21" s="7" t="s">
        <v>42</v>
      </c>
      <c r="H21" s="8" t="s">
        <v>89</v>
      </c>
      <c r="I21" s="7"/>
    </row>
    <row r="22" customFormat="false" ht="15" hidden="false" customHeight="true" outlineLevel="0" collapsed="false">
      <c r="A22" s="7" t="s">
        <v>1044</v>
      </c>
      <c r="B22" s="7" t="s">
        <v>1045</v>
      </c>
      <c r="C22" s="13" t="s">
        <v>83</v>
      </c>
      <c r="D22" s="7" t="s">
        <v>957</v>
      </c>
      <c r="E22" s="7" t="s">
        <v>42</v>
      </c>
      <c r="F22" s="7" t="s">
        <v>1046</v>
      </c>
      <c r="G22" s="7" t="s">
        <v>42</v>
      </c>
      <c r="H22" s="8" t="s">
        <v>89</v>
      </c>
      <c r="I22" s="7"/>
    </row>
    <row r="23" customFormat="false" ht="15" hidden="false" customHeight="true" outlineLevel="0" collapsed="false">
      <c r="A23" s="7" t="s">
        <v>1047</v>
      </c>
      <c r="B23" s="7" t="s">
        <v>1048</v>
      </c>
      <c r="C23" s="13" t="s">
        <v>83</v>
      </c>
      <c r="D23" s="7" t="s">
        <v>957</v>
      </c>
      <c r="E23" s="7" t="s">
        <v>1049</v>
      </c>
      <c r="F23" s="7" t="s">
        <v>1050</v>
      </c>
      <c r="G23" s="7" t="s">
        <v>42</v>
      </c>
      <c r="H23" s="8" t="s">
        <v>89</v>
      </c>
      <c r="I23" s="7"/>
    </row>
    <row r="24" customFormat="false" ht="15" hidden="false" customHeight="true" outlineLevel="0" collapsed="false">
      <c r="A24" s="7" t="s">
        <v>1051</v>
      </c>
      <c r="B24" s="7" t="s">
        <v>1052</v>
      </c>
      <c r="C24" s="13" t="s">
        <v>162</v>
      </c>
      <c r="D24" s="7" t="s">
        <v>957</v>
      </c>
      <c r="E24" s="7" t="s">
        <v>42</v>
      </c>
      <c r="F24" s="7" t="s">
        <v>1053</v>
      </c>
      <c r="G24" s="7" t="s">
        <v>42</v>
      </c>
      <c r="H24" s="10" t="s">
        <v>137</v>
      </c>
      <c r="I24" s="7" t="s">
        <v>1054</v>
      </c>
    </row>
    <row r="25" customFormat="false" ht="15" hidden="false" customHeight="true" outlineLevel="0" collapsed="false">
      <c r="A25" s="7" t="s">
        <v>1055</v>
      </c>
      <c r="B25" s="7" t="s">
        <v>1056</v>
      </c>
      <c r="C25" s="13" t="s">
        <v>83</v>
      </c>
      <c r="D25" s="7" t="s">
        <v>957</v>
      </c>
      <c r="E25" s="7" t="s">
        <v>1057</v>
      </c>
      <c r="F25" s="7" t="s">
        <v>1058</v>
      </c>
      <c r="G25" s="7" t="s">
        <v>1059</v>
      </c>
      <c r="H25" s="8" t="s">
        <v>89</v>
      </c>
      <c r="I25" s="7"/>
    </row>
    <row r="26" customFormat="false" ht="15" hidden="false" customHeight="true" outlineLevel="0" collapsed="false">
      <c r="A26" s="7" t="s">
        <v>1060</v>
      </c>
      <c r="B26" s="7" t="s">
        <v>1061</v>
      </c>
      <c r="C26" s="13" t="s">
        <v>83</v>
      </c>
      <c r="D26" s="7" t="s">
        <v>957</v>
      </c>
      <c r="E26" s="7" t="s">
        <v>1062</v>
      </c>
      <c r="F26" s="7" t="s">
        <v>1063</v>
      </c>
      <c r="G26" s="7" t="s">
        <v>1064</v>
      </c>
      <c r="H26" s="8" t="s">
        <v>89</v>
      </c>
      <c r="I26" s="7"/>
    </row>
    <row r="27" customFormat="false" ht="15" hidden="false" customHeight="true" outlineLevel="0" collapsed="false">
      <c r="A27" s="7" t="s">
        <v>1065</v>
      </c>
      <c r="B27" s="7" t="s">
        <v>1066</v>
      </c>
      <c r="C27" s="13" t="s">
        <v>130</v>
      </c>
      <c r="D27" s="7" t="s">
        <v>957</v>
      </c>
      <c r="E27" s="7" t="s">
        <v>1067</v>
      </c>
      <c r="F27" s="7" t="s">
        <v>1068</v>
      </c>
      <c r="G27" s="7" t="s">
        <v>1069</v>
      </c>
      <c r="H27" s="8" t="s">
        <v>89</v>
      </c>
      <c r="I27" s="7"/>
    </row>
    <row r="28" customFormat="false" ht="15" hidden="false" customHeight="true" outlineLevel="0" collapsed="false">
      <c r="A28" s="7" t="s">
        <v>1070</v>
      </c>
      <c r="B28" s="7" t="s">
        <v>1071</v>
      </c>
      <c r="C28" s="13" t="s">
        <v>130</v>
      </c>
      <c r="D28" s="7" t="s">
        <v>957</v>
      </c>
      <c r="E28" s="7" t="s">
        <v>42</v>
      </c>
      <c r="F28" s="7" t="s">
        <v>135</v>
      </c>
      <c r="G28" s="7" t="s">
        <v>1072</v>
      </c>
      <c r="H28" s="10" t="s">
        <v>137</v>
      </c>
      <c r="I28" s="7" t="s">
        <v>1073</v>
      </c>
    </row>
    <row r="29" customFormat="false" ht="15" hidden="false" customHeight="true" outlineLevel="0" collapsed="false">
      <c r="A29" s="7" t="s">
        <v>1074</v>
      </c>
      <c r="B29" s="7" t="s">
        <v>1075</v>
      </c>
      <c r="C29" s="13" t="s">
        <v>130</v>
      </c>
      <c r="D29" s="7" t="s">
        <v>957</v>
      </c>
      <c r="E29" s="7" t="s">
        <v>42</v>
      </c>
      <c r="F29" s="7" t="s">
        <v>1076</v>
      </c>
      <c r="G29" s="7" t="s">
        <v>1077</v>
      </c>
      <c r="H29" s="10" t="s">
        <v>137</v>
      </c>
      <c r="I29" s="7" t="s">
        <v>1078</v>
      </c>
    </row>
    <row r="30" customFormat="false" ht="15" hidden="false" customHeight="true" outlineLevel="0" collapsed="false">
      <c r="A30" s="7" t="s">
        <v>1079</v>
      </c>
      <c r="B30" s="7" t="s">
        <v>1080</v>
      </c>
      <c r="C30" s="13" t="s">
        <v>83</v>
      </c>
      <c r="D30" s="7" t="s">
        <v>957</v>
      </c>
      <c r="E30" s="7" t="s">
        <v>1081</v>
      </c>
      <c r="F30" s="7" t="s">
        <v>1082</v>
      </c>
      <c r="G30" s="7" t="s">
        <v>42</v>
      </c>
      <c r="H30" s="8" t="s">
        <v>89</v>
      </c>
      <c r="I30" s="7"/>
    </row>
    <row r="31" customFormat="false" ht="15" hidden="false" customHeight="true" outlineLevel="0" collapsed="false">
      <c r="A31" s="7" t="s">
        <v>1083</v>
      </c>
      <c r="B31" s="7" t="s">
        <v>1084</v>
      </c>
      <c r="C31" s="13" t="s">
        <v>83</v>
      </c>
      <c r="D31" s="7" t="s">
        <v>957</v>
      </c>
      <c r="E31" s="7" t="s">
        <v>1085</v>
      </c>
      <c r="F31" s="7" t="s">
        <v>1086</v>
      </c>
      <c r="G31" s="7" t="s">
        <v>42</v>
      </c>
      <c r="H31" s="8" t="s">
        <v>89</v>
      </c>
      <c r="I31" s="7"/>
    </row>
    <row r="32" customFormat="false" ht="15" hidden="false" customHeight="true" outlineLevel="0" collapsed="false">
      <c r="A32" s="7" t="s">
        <v>1087</v>
      </c>
      <c r="B32" s="7" t="s">
        <v>1088</v>
      </c>
      <c r="C32" s="13" t="s">
        <v>130</v>
      </c>
      <c r="D32" s="7" t="s">
        <v>957</v>
      </c>
      <c r="E32" s="7" t="s">
        <v>479</v>
      </c>
      <c r="F32" s="7" t="s">
        <v>480</v>
      </c>
      <c r="G32" s="7" t="s">
        <v>1089</v>
      </c>
      <c r="H32" s="10" t="s">
        <v>137</v>
      </c>
      <c r="I32" s="7" t="s">
        <v>1090</v>
      </c>
    </row>
    <row r="33" customFormat="false" ht="15" hidden="false" customHeight="true" outlineLevel="0" collapsed="false">
      <c r="A33" s="7" t="s">
        <v>1091</v>
      </c>
      <c r="B33" s="7" t="s">
        <v>1092</v>
      </c>
      <c r="C33" s="13" t="s">
        <v>83</v>
      </c>
      <c r="D33" s="7" t="s">
        <v>957</v>
      </c>
      <c r="E33" s="7" t="s">
        <v>1093</v>
      </c>
      <c r="F33" s="7" t="s">
        <v>1094</v>
      </c>
      <c r="G33" s="7" t="s">
        <v>42</v>
      </c>
      <c r="H33" s="8" t="s">
        <v>89</v>
      </c>
      <c r="I33" s="7"/>
    </row>
    <row r="34" customFormat="false" ht="23.25" hidden="false" customHeight="true" outlineLevel="0" collapsed="false">
      <c r="A34" s="7" t="s">
        <v>1095</v>
      </c>
      <c r="B34" s="7" t="s">
        <v>1096</v>
      </c>
      <c r="C34" s="7" t="s">
        <v>162</v>
      </c>
      <c r="D34" s="7" t="s">
        <v>495</v>
      </c>
      <c r="E34" s="7" t="s">
        <v>1097</v>
      </c>
      <c r="F34" s="7" t="s">
        <v>1098</v>
      </c>
      <c r="G34" s="7" t="s">
        <v>548</v>
      </c>
      <c r="H34" s="8" t="s">
        <v>89</v>
      </c>
      <c r="I34" s="7"/>
    </row>
    <row r="35" customFormat="false" ht="15" hidden="false" customHeight="true" outlineLevel="0" collapsed="false">
      <c r="A35" s="7" t="s">
        <v>1099</v>
      </c>
      <c r="B35" s="7" t="s">
        <v>1100</v>
      </c>
      <c r="C35" s="7" t="s">
        <v>162</v>
      </c>
      <c r="D35" s="7" t="s">
        <v>495</v>
      </c>
      <c r="E35" s="7" t="s">
        <v>1101</v>
      </c>
      <c r="F35" s="7" t="s">
        <v>1102</v>
      </c>
      <c r="G35" s="7" t="s">
        <v>1103</v>
      </c>
      <c r="H35" s="8" t="s">
        <v>89</v>
      </c>
      <c r="I35" s="7"/>
    </row>
    <row r="36" customFormat="false" ht="15" hidden="false" customHeight="true" outlineLevel="0" collapsed="false">
      <c r="A36" s="7" t="s">
        <v>1104</v>
      </c>
      <c r="B36" s="7" t="s">
        <v>1105</v>
      </c>
      <c r="C36" s="7" t="s">
        <v>162</v>
      </c>
      <c r="D36" s="7" t="s">
        <v>557</v>
      </c>
      <c r="E36" s="7" t="s">
        <v>1106</v>
      </c>
      <c r="F36" s="7" t="s">
        <v>1107</v>
      </c>
      <c r="G36" s="7" t="s">
        <v>1108</v>
      </c>
      <c r="H36" s="8" t="s">
        <v>89</v>
      </c>
      <c r="I36" s="7"/>
    </row>
    <row r="37" customFormat="false" ht="15" hidden="false" customHeight="true" outlineLevel="0" collapsed="false">
      <c r="A37" s="7" t="s">
        <v>1109</v>
      </c>
      <c r="B37" s="7" t="s">
        <v>1110</v>
      </c>
      <c r="C37" s="7" t="s">
        <v>162</v>
      </c>
      <c r="D37" s="7" t="s">
        <v>557</v>
      </c>
      <c r="E37" s="7" t="s">
        <v>1111</v>
      </c>
      <c r="F37" s="7" t="s">
        <v>1112</v>
      </c>
      <c r="G37" s="7" t="s">
        <v>1113</v>
      </c>
      <c r="H37" s="8" t="s">
        <v>89</v>
      </c>
      <c r="I37" s="7"/>
    </row>
    <row r="38" customFormat="false" ht="15" hidden="false" customHeight="true" outlineLevel="0" collapsed="false">
      <c r="A38" s="7" t="s">
        <v>1114</v>
      </c>
      <c r="B38" s="7" t="s">
        <v>1115</v>
      </c>
      <c r="C38" s="7" t="s">
        <v>162</v>
      </c>
      <c r="D38" s="7" t="s">
        <v>557</v>
      </c>
      <c r="E38" s="7" t="s">
        <v>1116</v>
      </c>
      <c r="F38" s="7" t="s">
        <v>1117</v>
      </c>
      <c r="G38" s="7" t="s">
        <v>1118</v>
      </c>
      <c r="H38" s="8" t="s">
        <v>89</v>
      </c>
      <c r="I38" s="7"/>
    </row>
    <row r="39" customFormat="false" ht="15" hidden="false" customHeight="true" outlineLevel="0" collapsed="false">
      <c r="A39" s="7" t="s">
        <v>1119</v>
      </c>
      <c r="B39" s="7" t="s">
        <v>1120</v>
      </c>
      <c r="C39" s="7" t="s">
        <v>162</v>
      </c>
      <c r="D39" s="7" t="s">
        <v>557</v>
      </c>
      <c r="E39" s="7" t="s">
        <v>1121</v>
      </c>
      <c r="F39" s="7" t="s">
        <v>594</v>
      </c>
      <c r="G39" s="7" t="s">
        <v>1122</v>
      </c>
      <c r="H39" s="8" t="s">
        <v>89</v>
      </c>
      <c r="I39" s="7"/>
    </row>
    <row r="40" customFormat="false" ht="23.25" hidden="false" customHeight="true" outlineLevel="0" collapsed="false">
      <c r="A40" s="7" t="s">
        <v>1123</v>
      </c>
      <c r="B40" s="7" t="s">
        <v>1124</v>
      </c>
      <c r="C40" s="7" t="s">
        <v>130</v>
      </c>
      <c r="D40" s="7" t="s">
        <v>607</v>
      </c>
      <c r="E40" s="7" t="s">
        <v>1125</v>
      </c>
      <c r="F40" s="7" t="s">
        <v>1126</v>
      </c>
      <c r="G40" s="7" t="s">
        <v>1127</v>
      </c>
      <c r="H40" s="8" t="s">
        <v>89</v>
      </c>
      <c r="I40" s="7"/>
    </row>
    <row r="41" customFormat="false" ht="15" hidden="false" customHeight="true" outlineLevel="0" collapsed="false">
      <c r="A41" s="7" t="s">
        <v>1128</v>
      </c>
      <c r="B41" s="7" t="s">
        <v>1129</v>
      </c>
      <c r="C41" s="7" t="s">
        <v>1130</v>
      </c>
      <c r="D41" s="7" t="s">
        <v>607</v>
      </c>
      <c r="E41" s="7" t="s">
        <v>1131</v>
      </c>
      <c r="F41" s="7" t="s">
        <v>1132</v>
      </c>
      <c r="G41" s="7" t="s">
        <v>1133</v>
      </c>
      <c r="H41" s="8" t="s">
        <v>89</v>
      </c>
      <c r="I41" s="7" t="s">
        <v>1134</v>
      </c>
    </row>
    <row r="42" customFormat="false" ht="23.25" hidden="false" customHeight="true" outlineLevel="0" collapsed="false">
      <c r="A42" s="7" t="s">
        <v>1135</v>
      </c>
      <c r="B42" s="7" t="s">
        <v>1136</v>
      </c>
      <c r="C42" s="7" t="s">
        <v>130</v>
      </c>
      <c r="D42" s="7" t="s">
        <v>636</v>
      </c>
      <c r="E42" s="7" t="s">
        <v>1137</v>
      </c>
      <c r="F42" s="7" t="s">
        <v>644</v>
      </c>
      <c r="G42" s="7" t="s">
        <v>1138</v>
      </c>
      <c r="H42" s="8" t="s">
        <v>89</v>
      </c>
      <c r="I42" s="7"/>
    </row>
    <row r="43" customFormat="false" ht="15" hidden="false" customHeight="true" outlineLevel="0" collapsed="false">
      <c r="A43" s="7" t="s">
        <v>1139</v>
      </c>
      <c r="B43" s="7" t="s">
        <v>1140</v>
      </c>
      <c r="C43" s="7" t="s">
        <v>130</v>
      </c>
      <c r="D43" s="7" t="s">
        <v>636</v>
      </c>
      <c r="E43" s="7" t="s">
        <v>1141</v>
      </c>
      <c r="F43" s="7" t="s">
        <v>653</v>
      </c>
      <c r="G43" s="7" t="s">
        <v>1142</v>
      </c>
      <c r="H43" s="8" t="s">
        <v>89</v>
      </c>
      <c r="I43" s="7"/>
    </row>
    <row r="44" customFormat="false" ht="15" hidden="false" customHeight="true" outlineLevel="0" collapsed="false">
      <c r="A44" s="7" t="s">
        <v>1143</v>
      </c>
      <c r="B44" s="7" t="s">
        <v>1144</v>
      </c>
      <c r="C44" s="7" t="s">
        <v>1130</v>
      </c>
      <c r="D44" s="7" t="s">
        <v>636</v>
      </c>
      <c r="E44" s="7" t="s">
        <v>1145</v>
      </c>
      <c r="F44" s="7" t="s">
        <v>1146</v>
      </c>
      <c r="G44" s="7" t="s">
        <v>1147</v>
      </c>
      <c r="H44" s="8" t="s">
        <v>89</v>
      </c>
      <c r="I44" s="7" t="s">
        <v>1148</v>
      </c>
    </row>
    <row r="45" customFormat="false" ht="15" hidden="false" customHeight="true" outlineLevel="0" collapsed="false">
      <c r="A45" s="7" t="s">
        <v>1149</v>
      </c>
      <c r="B45" s="7" t="s">
        <v>1150</v>
      </c>
      <c r="C45" s="7" t="s">
        <v>130</v>
      </c>
      <c r="D45" s="7" t="s">
        <v>667</v>
      </c>
      <c r="E45" s="7" t="s">
        <v>1151</v>
      </c>
      <c r="F45" s="7" t="s">
        <v>680</v>
      </c>
      <c r="G45" s="7" t="s">
        <v>1152</v>
      </c>
      <c r="H45" s="8" t="s">
        <v>89</v>
      </c>
      <c r="I45" s="7"/>
    </row>
    <row r="46" customFormat="false" ht="23.25" hidden="false" customHeight="true" outlineLevel="0" collapsed="false">
      <c r="A46" s="7" t="s">
        <v>1153</v>
      </c>
      <c r="B46" s="7" t="s">
        <v>1154</v>
      </c>
      <c r="C46" s="7" t="s">
        <v>1130</v>
      </c>
      <c r="D46" s="7" t="s">
        <v>667</v>
      </c>
      <c r="E46" s="7" t="s">
        <v>1155</v>
      </c>
      <c r="F46" s="7" t="s">
        <v>1156</v>
      </c>
      <c r="G46" s="7" t="s">
        <v>1157</v>
      </c>
      <c r="H46" s="8" t="s">
        <v>89</v>
      </c>
      <c r="I46" s="7" t="s">
        <v>1158</v>
      </c>
    </row>
    <row r="47" customFormat="false" ht="23.25" hidden="false" customHeight="true" outlineLevel="0" collapsed="false">
      <c r="A47" s="7" t="s">
        <v>1159</v>
      </c>
      <c r="B47" s="7" t="s">
        <v>1160</v>
      </c>
      <c r="C47" s="7" t="s">
        <v>130</v>
      </c>
      <c r="D47" s="7" t="s">
        <v>700</v>
      </c>
      <c r="E47" s="7" t="s">
        <v>1161</v>
      </c>
      <c r="F47" s="7" t="s">
        <v>1162</v>
      </c>
      <c r="G47" s="7" t="s">
        <v>1163</v>
      </c>
      <c r="H47" s="8" t="s">
        <v>89</v>
      </c>
      <c r="I47" s="7"/>
    </row>
    <row r="48" customFormat="false" ht="15" hidden="false" customHeight="true" outlineLevel="0" collapsed="false">
      <c r="A48" s="7" t="s">
        <v>1164</v>
      </c>
      <c r="B48" s="7" t="s">
        <v>1165</v>
      </c>
      <c r="C48" s="7" t="s">
        <v>130</v>
      </c>
      <c r="D48" s="7" t="s">
        <v>700</v>
      </c>
      <c r="E48" s="7" t="s">
        <v>1166</v>
      </c>
      <c r="F48" s="7" t="s">
        <v>1167</v>
      </c>
      <c r="G48" s="7" t="s">
        <v>1168</v>
      </c>
      <c r="H48" s="8" t="s">
        <v>89</v>
      </c>
      <c r="I48" s="7" t="s">
        <v>1169</v>
      </c>
    </row>
    <row r="49" customFormat="false" ht="23.25" hidden="false" customHeight="true" outlineLevel="0" collapsed="false">
      <c r="A49" s="7" t="s">
        <v>1170</v>
      </c>
      <c r="B49" s="7" t="s">
        <v>1171</v>
      </c>
      <c r="C49" s="7" t="s">
        <v>1130</v>
      </c>
      <c r="D49" s="7" t="s">
        <v>700</v>
      </c>
      <c r="E49" s="7" t="s">
        <v>1172</v>
      </c>
      <c r="F49" s="7" t="s">
        <v>1173</v>
      </c>
      <c r="G49" s="7" t="s">
        <v>1174</v>
      </c>
      <c r="H49" s="8" t="s">
        <v>89</v>
      </c>
      <c r="I49" s="7" t="s">
        <v>1175</v>
      </c>
    </row>
    <row r="50" customFormat="false" ht="23.25" hidden="false" customHeight="true" outlineLevel="0" collapsed="false">
      <c r="A50" s="7" t="s">
        <v>1176</v>
      </c>
      <c r="B50" s="7" t="s">
        <v>1177</v>
      </c>
      <c r="C50" s="7" t="s">
        <v>130</v>
      </c>
      <c r="D50" s="7" t="s">
        <v>700</v>
      </c>
      <c r="E50" s="7" t="s">
        <v>1178</v>
      </c>
      <c r="F50" s="7" t="s">
        <v>1179</v>
      </c>
      <c r="G50" s="7" t="s">
        <v>1180</v>
      </c>
      <c r="H50" s="8" t="s">
        <v>89</v>
      </c>
      <c r="I50" s="7" t="s">
        <v>1181</v>
      </c>
    </row>
    <row r="51" customFormat="false" ht="23.25" hidden="false" customHeight="true" outlineLevel="0" collapsed="false">
      <c r="A51" s="7" t="s">
        <v>1182</v>
      </c>
      <c r="B51" s="7" t="s">
        <v>1183</v>
      </c>
      <c r="C51" s="7" t="s">
        <v>162</v>
      </c>
      <c r="D51" s="7" t="s">
        <v>495</v>
      </c>
      <c r="E51" s="7" t="s">
        <v>1184</v>
      </c>
      <c r="F51" s="7" t="s">
        <v>1185</v>
      </c>
      <c r="G51" s="7" t="s">
        <v>1186</v>
      </c>
      <c r="H51" s="8" t="s">
        <v>89</v>
      </c>
      <c r="I51" s="7" t="s">
        <v>1187</v>
      </c>
    </row>
    <row r="52" customFormat="false" ht="23.25" hidden="false" customHeight="true" outlineLevel="0" collapsed="false">
      <c r="A52" s="7" t="s">
        <v>1188</v>
      </c>
      <c r="B52" s="7" t="s">
        <v>1189</v>
      </c>
      <c r="C52" s="7" t="s">
        <v>162</v>
      </c>
      <c r="D52" s="7" t="s">
        <v>495</v>
      </c>
      <c r="E52" s="7" t="s">
        <v>1190</v>
      </c>
      <c r="F52" s="7" t="s">
        <v>1191</v>
      </c>
      <c r="G52" s="7" t="s">
        <v>1192</v>
      </c>
      <c r="H52" s="8" t="s">
        <v>89</v>
      </c>
      <c r="I52" s="7" t="s">
        <v>1193</v>
      </c>
    </row>
    <row r="53" customFormat="false" ht="15" hidden="false" customHeight="true" outlineLevel="0" collapsed="false">
      <c r="A53" s="7" t="s">
        <v>1194</v>
      </c>
      <c r="B53" s="7" t="s">
        <v>1195</v>
      </c>
      <c r="C53" s="7" t="s">
        <v>162</v>
      </c>
      <c r="D53" s="7" t="s">
        <v>786</v>
      </c>
      <c r="E53" s="7" t="s">
        <v>1196</v>
      </c>
      <c r="F53" s="7" t="s">
        <v>830</v>
      </c>
      <c r="G53" s="7" t="s">
        <v>1197</v>
      </c>
      <c r="H53" s="8" t="s">
        <v>89</v>
      </c>
      <c r="I53" s="7"/>
    </row>
    <row r="54" customFormat="false" ht="23.25" hidden="false" customHeight="true" outlineLevel="0" collapsed="false">
      <c r="A54" s="7" t="s">
        <v>1198</v>
      </c>
      <c r="B54" s="7" t="s">
        <v>1199</v>
      </c>
      <c r="C54" s="7" t="s">
        <v>162</v>
      </c>
      <c r="D54" s="7" t="s">
        <v>786</v>
      </c>
      <c r="E54" s="7" t="s">
        <v>1200</v>
      </c>
      <c r="F54" s="7" t="s">
        <v>1201</v>
      </c>
      <c r="G54" s="7" t="s">
        <v>1202</v>
      </c>
      <c r="H54" s="8" t="s">
        <v>89</v>
      </c>
      <c r="I54" s="7"/>
    </row>
    <row r="55" customFormat="false" ht="23.25" hidden="false" customHeight="true" outlineLevel="0" collapsed="false">
      <c r="A55" s="7" t="s">
        <v>1203</v>
      </c>
      <c r="B55" s="7" t="s">
        <v>1204</v>
      </c>
      <c r="C55" s="7" t="s">
        <v>162</v>
      </c>
      <c r="D55" s="7" t="s">
        <v>786</v>
      </c>
      <c r="E55" s="7" t="s">
        <v>1205</v>
      </c>
      <c r="F55" s="7" t="s">
        <v>1206</v>
      </c>
      <c r="G55" s="7" t="s">
        <v>1207</v>
      </c>
      <c r="H55" s="8" t="s">
        <v>89</v>
      </c>
      <c r="I55" s="7" t="s">
        <v>1208</v>
      </c>
    </row>
    <row r="56" customFormat="false" ht="23.25" hidden="false" customHeight="true" outlineLevel="0" collapsed="false">
      <c r="A56" s="7" t="s">
        <v>1209</v>
      </c>
      <c r="B56" s="7" t="s">
        <v>1210</v>
      </c>
      <c r="C56" s="7" t="s">
        <v>130</v>
      </c>
      <c r="D56" s="7" t="s">
        <v>835</v>
      </c>
      <c r="E56" s="7" t="s">
        <v>1211</v>
      </c>
      <c r="F56" s="7" t="s">
        <v>1212</v>
      </c>
      <c r="G56" s="7" t="s">
        <v>1213</v>
      </c>
      <c r="H56" s="8" t="s">
        <v>89</v>
      </c>
      <c r="I56" s="7" t="s">
        <v>1214</v>
      </c>
    </row>
    <row r="57" customFormat="false" ht="23.25" hidden="false" customHeight="true" outlineLevel="0" collapsed="false">
      <c r="A57" s="7" t="s">
        <v>1215</v>
      </c>
      <c r="B57" s="7" t="s">
        <v>1216</v>
      </c>
      <c r="C57" s="7" t="s">
        <v>130</v>
      </c>
      <c r="D57" s="7" t="s">
        <v>835</v>
      </c>
      <c r="E57" s="7" t="s">
        <v>1217</v>
      </c>
      <c r="F57" s="7" t="s">
        <v>1218</v>
      </c>
      <c r="G57" s="7" t="s">
        <v>1219</v>
      </c>
      <c r="H57" s="8" t="s">
        <v>89</v>
      </c>
      <c r="I57" s="7"/>
    </row>
    <row r="58" customFormat="false" ht="23.25" hidden="false" customHeight="true" outlineLevel="0" collapsed="false">
      <c r="A58" s="7" t="s">
        <v>1220</v>
      </c>
      <c r="B58" s="7" t="s">
        <v>1221</v>
      </c>
      <c r="C58" s="7" t="s">
        <v>130</v>
      </c>
      <c r="D58" s="7" t="s">
        <v>835</v>
      </c>
      <c r="E58" s="7" t="s">
        <v>1222</v>
      </c>
      <c r="F58" s="7" t="s">
        <v>1223</v>
      </c>
      <c r="G58" s="7" t="s">
        <v>1224</v>
      </c>
      <c r="H58" s="8" t="s">
        <v>89</v>
      </c>
      <c r="I58" s="7" t="s">
        <v>1225</v>
      </c>
    </row>
    <row r="59" customFormat="false" ht="23.85" hidden="false" customHeight="false" outlineLevel="0" collapsed="false">
      <c r="A59" s="7" t="s">
        <v>1226</v>
      </c>
      <c r="B59" s="7" t="s">
        <v>1227</v>
      </c>
      <c r="C59" s="7" t="s">
        <v>130</v>
      </c>
      <c r="D59" s="7" t="s">
        <v>878</v>
      </c>
      <c r="E59" s="7" t="s">
        <v>1228</v>
      </c>
      <c r="F59" s="7" t="s">
        <v>880</v>
      </c>
      <c r="G59" s="7" t="s">
        <v>1229</v>
      </c>
      <c r="H59" s="8" t="s">
        <v>89</v>
      </c>
      <c r="I59" s="7"/>
    </row>
    <row r="60" customFormat="false" ht="15" hidden="false" customHeight="false" outlineLevel="0" collapsed="false">
      <c r="A60" s="7" t="s">
        <v>1230</v>
      </c>
      <c r="B60" s="7" t="s">
        <v>1231</v>
      </c>
      <c r="C60" s="7" t="s">
        <v>1130</v>
      </c>
      <c r="D60" s="7" t="s">
        <v>878</v>
      </c>
      <c r="E60" s="7" t="s">
        <v>1232</v>
      </c>
      <c r="F60" s="7" t="s">
        <v>1233</v>
      </c>
      <c r="G60" s="7" t="s">
        <v>1234</v>
      </c>
      <c r="H60" s="8" t="s">
        <v>89</v>
      </c>
      <c r="I60" s="7" t="s">
        <v>1235</v>
      </c>
    </row>
    <row r="61" customFormat="false" ht="15" hidden="false" customHeight="false" outlineLevel="0" collapsed="false">
      <c r="A61" s="7" t="s">
        <v>1236</v>
      </c>
      <c r="B61" s="7" t="s">
        <v>1237</v>
      </c>
      <c r="C61" s="7" t="s">
        <v>130</v>
      </c>
      <c r="D61" s="7" t="s">
        <v>878</v>
      </c>
      <c r="E61" s="7" t="s">
        <v>1238</v>
      </c>
      <c r="F61" s="7" t="s">
        <v>886</v>
      </c>
      <c r="G61" s="7" t="s">
        <v>1239</v>
      </c>
      <c r="H61" s="8" t="s">
        <v>89</v>
      </c>
      <c r="I61" s="7"/>
    </row>
    <row r="62" customFormat="false" ht="23.85" hidden="false" customHeight="false" outlineLevel="0" collapsed="false">
      <c r="A62" s="7" t="s">
        <v>1240</v>
      </c>
      <c r="B62" s="7" t="s">
        <v>1241</v>
      </c>
      <c r="C62" s="7" t="s">
        <v>130</v>
      </c>
      <c r="D62" s="7" t="s">
        <v>495</v>
      </c>
      <c r="E62" s="7" t="s">
        <v>1242</v>
      </c>
      <c r="F62" s="7" t="s">
        <v>1243</v>
      </c>
      <c r="G62" s="7" t="s">
        <v>1244</v>
      </c>
      <c r="H62" s="8" t="s">
        <v>89</v>
      </c>
      <c r="I62" s="7"/>
    </row>
    <row r="63" customFormat="false" ht="15" hidden="false" customHeight="false" outlineLevel="0" collapsed="false">
      <c r="A63" s="7" t="s">
        <v>1245</v>
      </c>
      <c r="B63" s="7" t="s">
        <v>1246</v>
      </c>
      <c r="C63" s="7" t="s">
        <v>130</v>
      </c>
      <c r="D63" s="7" t="s">
        <v>700</v>
      </c>
      <c r="E63" s="7" t="s">
        <v>1247</v>
      </c>
      <c r="F63" s="7" t="s">
        <v>942</v>
      </c>
      <c r="G63" s="7" t="s">
        <v>1248</v>
      </c>
      <c r="H63" s="8" t="s">
        <v>89</v>
      </c>
      <c r="I63" s="7"/>
    </row>
  </sheetData>
  <autoFilter ref="A2:I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74"/>
    <col collapsed="false" customWidth="true" hidden="false" outlineLevel="0" max="3" min="3" style="1" width="20"/>
    <col collapsed="false" customWidth="true" hidden="false" outlineLevel="0" max="5" min="4" style="1" width="16"/>
    <col collapsed="false" customWidth="true" hidden="false" outlineLevel="0" max="6" min="6" style="1" width="26"/>
  </cols>
  <sheetData>
    <row r="1" customFormat="false" ht="15" hidden="false" customHeight="true" outlineLevel="0" collapsed="false">
      <c r="A1" s="12" t="s">
        <v>1249</v>
      </c>
    </row>
    <row r="2" customFormat="false" ht="15" hidden="false" customHeight="true" outlineLevel="0" collapsed="false">
      <c r="A2" s="6" t="s">
        <v>13</v>
      </c>
      <c r="B2" s="6" t="s">
        <v>16</v>
      </c>
      <c r="C2" s="6" t="s">
        <v>1250</v>
      </c>
      <c r="D2" s="6" t="s">
        <v>73</v>
      </c>
      <c r="E2" s="6" t="s">
        <v>1251</v>
      </c>
      <c r="F2" s="6" t="s">
        <v>1252</v>
      </c>
    </row>
    <row r="3" customFormat="false" ht="23.25" hidden="false" customHeight="true" outlineLevel="0" collapsed="false">
      <c r="A3" s="7" t="s">
        <v>1253</v>
      </c>
      <c r="B3" s="7" t="s">
        <v>1254</v>
      </c>
      <c r="C3" s="7" t="s">
        <v>1255</v>
      </c>
      <c r="D3" s="9" t="s">
        <v>23</v>
      </c>
      <c r="E3" s="7" t="s">
        <v>1256</v>
      </c>
      <c r="F3" s="7" t="s">
        <v>1257</v>
      </c>
    </row>
    <row r="4" customFormat="false" ht="34.5" hidden="false" customHeight="true" outlineLevel="0" collapsed="false">
      <c r="A4" s="7" t="s">
        <v>1258</v>
      </c>
      <c r="B4" s="7" t="s">
        <v>1259</v>
      </c>
      <c r="C4" s="7" t="s">
        <v>1255</v>
      </c>
      <c r="D4" s="9" t="s">
        <v>23</v>
      </c>
      <c r="E4" s="7" t="s">
        <v>1260</v>
      </c>
      <c r="F4" s="7" t="s">
        <v>1261</v>
      </c>
    </row>
    <row r="5" customFormat="false" ht="23.25" hidden="false" customHeight="true" outlineLevel="0" collapsed="false">
      <c r="A5" s="7" t="s">
        <v>1262</v>
      </c>
      <c r="B5" s="7" t="s">
        <v>1263</v>
      </c>
      <c r="C5" s="7" t="s">
        <v>1264</v>
      </c>
      <c r="D5" s="9" t="s">
        <v>23</v>
      </c>
      <c r="E5" s="7" t="s">
        <v>1265</v>
      </c>
      <c r="F5" s="7" t="s">
        <v>1266</v>
      </c>
    </row>
    <row r="6" customFormat="false" ht="34.5" hidden="false" customHeight="true" outlineLevel="0" collapsed="false">
      <c r="A6" s="7" t="s">
        <v>31</v>
      </c>
      <c r="B6" s="7" t="s">
        <v>1267</v>
      </c>
      <c r="C6" s="7" t="s">
        <v>1268</v>
      </c>
      <c r="D6" s="10" t="s">
        <v>30</v>
      </c>
      <c r="E6" s="7" t="s">
        <v>1269</v>
      </c>
      <c r="F6" s="7" t="s">
        <v>1270</v>
      </c>
    </row>
    <row r="7" customFormat="false" ht="34.5" hidden="false" customHeight="true" outlineLevel="0" collapsed="false">
      <c r="A7" s="7" t="s">
        <v>1271</v>
      </c>
      <c r="B7" s="7" t="s">
        <v>1272</v>
      </c>
      <c r="C7" s="7" t="s">
        <v>1273</v>
      </c>
      <c r="D7" s="9" t="s">
        <v>23</v>
      </c>
      <c r="E7" s="7" t="s">
        <v>1274</v>
      </c>
      <c r="F7" s="7" t="s">
        <v>1275</v>
      </c>
    </row>
    <row r="8" customFormat="false" ht="23.25" hidden="false" customHeight="true" outlineLevel="0" collapsed="false">
      <c r="A8" s="7" t="s">
        <v>1276</v>
      </c>
      <c r="B8" s="7" t="s">
        <v>1277</v>
      </c>
      <c r="C8" s="7" t="s">
        <v>1264</v>
      </c>
      <c r="D8" s="10" t="s">
        <v>30</v>
      </c>
      <c r="E8" s="7" t="s">
        <v>1278</v>
      </c>
      <c r="F8" s="7" t="s">
        <v>1279</v>
      </c>
    </row>
    <row r="9" customFormat="false" ht="34.5" hidden="false" customHeight="true" outlineLevel="0" collapsed="false">
      <c r="A9" s="7" t="s">
        <v>1280</v>
      </c>
      <c r="B9" s="7" t="s">
        <v>1281</v>
      </c>
      <c r="C9" s="7" t="s">
        <v>1282</v>
      </c>
      <c r="D9" s="11" t="s">
        <v>37</v>
      </c>
      <c r="E9" s="7" t="s">
        <v>1283</v>
      </c>
      <c r="F9" s="7" t="s">
        <v>1284</v>
      </c>
    </row>
    <row r="10" customFormat="false" ht="34.5" hidden="false" customHeight="true" outlineLevel="0" collapsed="false">
      <c r="A10" s="7" t="s">
        <v>38</v>
      </c>
      <c r="B10" s="7" t="s">
        <v>1285</v>
      </c>
      <c r="C10" s="7" t="s">
        <v>1286</v>
      </c>
      <c r="D10" s="10" t="s">
        <v>30</v>
      </c>
      <c r="E10" s="7" t="s">
        <v>1269</v>
      </c>
      <c r="F10" s="7" t="s">
        <v>1287</v>
      </c>
    </row>
    <row r="11" customFormat="false" ht="23.25" hidden="false" customHeight="true" outlineLevel="0" collapsed="false">
      <c r="A11" s="7" t="s">
        <v>1288</v>
      </c>
      <c r="B11" s="7" t="s">
        <v>1289</v>
      </c>
      <c r="C11" s="7" t="s">
        <v>1290</v>
      </c>
      <c r="D11" s="10" t="s">
        <v>30</v>
      </c>
      <c r="E11" s="7" t="s">
        <v>1269</v>
      </c>
      <c r="F11" s="7" t="s">
        <v>1291</v>
      </c>
    </row>
    <row r="12" customFormat="false" ht="15" hidden="false" customHeight="true" outlineLevel="0" collapsed="false">
      <c r="A12" s="7" t="s">
        <v>1292</v>
      </c>
      <c r="B12" s="7" t="s">
        <v>1293</v>
      </c>
      <c r="C12" s="7" t="s">
        <v>1290</v>
      </c>
      <c r="D12" s="11" t="s">
        <v>37</v>
      </c>
      <c r="E12" s="7" t="s">
        <v>1294</v>
      </c>
      <c r="F12" s="7" t="s">
        <v>1291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2026-08-19T12:41:36Z</dcterms:created>
  <dc:creator>openpyxl</dc:creator>
  <dc:description/>
  <dc:language>en-US</dc:language>
  <cp:lastModifiedBy/>
  <dcterms:modified xsi:type="dcterms:W3CDTF">2026-08-23T11:57:21Z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